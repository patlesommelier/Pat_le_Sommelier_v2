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alyse des plats" sheetId="1" state="visible" r:id="rId3"/>
    <sheet name="Notes analyse" sheetId="2" state="visible" r:id="rId4"/>
    <sheet name="Matrice des notes" sheetId="3" state="visible" r:id="rId5"/>
    <sheet name="Commentaires" sheetId="4" state="visible" r:id="rId6"/>
    <sheet name="Meilleurs accords" sheetId="5" state="visible" r:id="rId7"/>
    <sheet name="Détail (filtrable)" sheetId="6" state="visible" r:id="rId8"/>
    <sheet name="Principes de Pat" sheetId="7" state="visible" r:id="rId9"/>
    <sheet name="Méthode &amp; hypothèses" sheetId="8" state="visible" r:id="rId10"/>
  </sheets>
  <definedNames>
    <definedName function="false" hidden="true" localSheetId="5" name="_xlnm._FilterDatabase" vbProcedure="false">'Détail (filtrable)'!$A$1:$G$2770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81" authorId="0">
      <text>
        <r>
          <rPr>
            <sz val="10"/>
            <rFont val="Arial"/>
            <family val="2"/>
          </rPr>
          <t xml:space="preserve">Prix au verre (15 €) : vin servi uniquement au verre.</t>
        </r>
      </text>
    </comment>
    <comment ref="D7" authorId="0">
      <text>
        <r>
          <rPr>
            <sz val="10"/>
            <rFont val="Arial"/>
            <family val="2"/>
          </rPr>
          <t xml:space="preserve">3/5 — correct
Blanc correct sur le bœuf cru, mais le sel du parmesan autorise et appelle un rouge léger (P28, P20).
Principes de Pat : P28, P20</t>
        </r>
      </text>
    </comment>
    <comment ref="D8" authorId="0">
      <text>
        <r>
          <rPr>
            <sz val="10"/>
            <rFont val="Arial"/>
            <family val="2"/>
          </rPr>
          <t xml:space="preserve">3/5 — correct
Blanc correct sur le bœuf cru, mais le sel du parmesan autorise et appelle un rouge léger (P28, P20).
Principes de Pat : P28, P20</t>
        </r>
      </text>
    </comment>
    <comment ref="D9" authorId="0">
      <text>
        <r>
          <rPr>
            <sz val="10"/>
            <rFont val="Arial"/>
            <family val="2"/>
          </rPr>
          <t xml:space="preserve">3/5 — correct
Blanc correct sur le bœuf cru, mais le sel du parmesan autorise et appelle un rouge léger (P28, P20).
Principes de Pat : P28, P20</t>
        </r>
      </text>
    </comment>
    <comment ref="D10" authorId="0">
      <text>
        <r>
          <rPr>
            <sz val="10"/>
            <rFont val="Arial"/>
            <family val="2"/>
          </rPr>
          <t xml:space="preserve">2/5 — médiocre
Le bois couvre la finesse et amplifie l'amertume (P30).
Principes de Pat : P30</t>
        </r>
      </text>
    </comment>
    <comment ref="D11" authorId="0">
      <text>
        <r>
          <rPr>
            <sz val="10"/>
            <rFont val="Arial"/>
            <family val="2"/>
          </rPr>
          <t xml:space="preserve">3/5 — correct
Blanc correct sur le bœuf cru, mais le sel du parmesan autorise et appelle un rouge léger (P28, P20).
Principes de Pat : P28, P20</t>
        </r>
      </text>
    </comment>
    <comment ref="D12" authorId="0">
      <text>
        <r>
          <rPr>
            <sz val="10"/>
            <rFont val="Arial"/>
            <family val="2"/>
          </rPr>
          <t xml:space="preserve">3/5 — correct
Blanc correct sur le bœuf cru, mais le sel du parmesan autorise et appelle un rouge léger (P28, P20).
Principes de Pat : P28, P20</t>
        </r>
      </text>
    </comment>
    <comment ref="D13" authorId="0">
      <text>
        <r>
          <rPr>
            <sz val="10"/>
            <rFont val="Arial"/>
            <family val="2"/>
          </rPr>
          <t xml:space="preserve">3/5 — correct
Blanc correct sur le bœuf cru, mais le sel du parmesan autorise et appelle un rouge léger (P28, P20).
Principes de Pat : P28, P20</t>
        </r>
      </text>
    </comment>
    <comment ref="D14" authorId="0">
      <text>
        <r>
          <rPr>
            <sz val="10"/>
            <rFont val="Arial"/>
            <family val="2"/>
          </rPr>
          <t xml:space="preserve">1/5 — pas bon du tout
Le bois couvre la finesse et amplifie l'amertume (P30) ; trop puissant, il écrase le plat (P20).
Principes de Pat : P30, P20</t>
        </r>
      </text>
    </comment>
    <comment ref="D15" authorId="0">
      <text>
        <r>
          <rPr>
            <sz val="10"/>
            <rFont val="Arial"/>
            <family val="2"/>
          </rPr>
          <t xml:space="preserve">1/5 — pas bon du tout
Le bois couvre la finesse et amplifie l'amertume (P30) ; trop puissant, il écrase le plat (P20).
Principes de Pat : P30, P20</t>
        </r>
      </text>
    </comment>
    <comment ref="D16" authorId="0">
      <text>
        <r>
          <rPr>
            <sz val="10"/>
            <rFont val="Arial"/>
            <family val="2"/>
          </rPr>
          <t xml:space="preserve">1/5 — pas bon du tout
Le bois couvre la finesse et amplifie l'amertume (P30) ; trop puissant, il écrase le plat (P20).
Principes de Pat : P30, P20</t>
        </r>
      </text>
    </comment>
    <comment ref="D17" authorId="0">
      <text>
        <r>
          <rPr>
            <sz val="10"/>
            <rFont val="Arial"/>
            <family val="2"/>
          </rPr>
          <t xml:space="preserve">1/5 — pas bon du tout
Le bois couvre la finesse et amplifie l'amertume (P30) ; trop puissant, il écrase le plat (P20).
Principes de Pat : P30, P20</t>
        </r>
      </text>
    </comment>
    <comment ref="D18" authorId="0">
      <text>
        <r>
          <rPr>
            <sz val="10"/>
            <rFont val="Arial"/>
            <family val="2"/>
          </rPr>
          <t xml:space="preserve">1/5 — pas bon du tout
Le bois couvre la finesse et amplifie l'amertume (P30) ; trop puissant, il écrase le plat (P20).
Principes de Pat : P30, P20</t>
        </r>
      </text>
    </comment>
    <comment ref="D19" authorId="0">
      <text>
        <r>
          <rPr>
            <sz val="10"/>
            <rFont val="Arial"/>
            <family val="2"/>
          </rPr>
          <t xml:space="preserve">1/5 — pas bon du tout
Le bois couvre la finesse et amplifie l'amertume (P30) ; trop puissant, il écrase le plat (P20).
Principes de Pat : P30, P20</t>
        </r>
      </text>
    </comment>
    <comment ref="D20" authorId="0">
      <text>
        <r>
          <rPr>
            <sz val="10"/>
            <rFont val="Arial"/>
            <family val="2"/>
          </rPr>
          <t xml:space="preserve">2/5 — médiocre
Le bois couvre la finesse et amplifie l'amertume (P30) ; trop puissant, il écrase le plat (P20).
Principes de Pat : P30, P20</t>
        </r>
      </text>
    </comment>
    <comment ref="D21" authorId="0">
      <text>
        <r>
          <rPr>
            <sz val="10"/>
            <rFont val="Arial"/>
            <family val="2"/>
          </rPr>
          <t xml:space="preserve">1/5 — pas bon du tout
Le bois couvre la finesse et amplifie l'amertume (P30) ; acidité trop faible face à l'huile et le parmesan (P23) ; trop puissant, il écrase le plat (P20).
Principes de Pat : P30, P23, P20</t>
        </r>
      </text>
    </comment>
    <comment ref="D22" authorId="0">
      <text>
        <r>
          <rPr>
            <sz val="10"/>
            <rFont val="Arial"/>
            <family val="2"/>
          </rPr>
          <t xml:space="preserve">1/5 — pas bon du tout
Le bois couvre la finesse et amplifie l'amertume (P30) ; acidité trop faible face à l'huile et le parmesan (P23) ; trop puissant, il écrase le plat (P20).
Principes de Pat : P30, P23, P20</t>
        </r>
      </text>
    </comment>
    <comment ref="D23" authorId="0">
      <text>
        <r>
          <rPr>
            <sz val="10"/>
            <rFont val="Arial"/>
            <family val="2"/>
          </rPr>
          <t xml:space="preserve">3/5 — correct
Blanc correct sur le bœuf cru, mais le sel du parmesan autorise et appelle un rouge léger (P28, P20).
Principes de Pat : P28, P20</t>
        </r>
      </text>
    </comment>
    <comment ref="D24" authorId="0">
      <text>
        <r>
          <rPr>
            <sz val="10"/>
            <rFont val="Arial"/>
            <family val="2"/>
          </rPr>
          <t xml:space="preserve">3/5 — correct
Blanc correct sur le bœuf cru, mais le sel du parmesan autorise et appelle un rouge léger (P28, P20).
Principes de Pat : P28, P20</t>
        </r>
      </text>
    </comment>
    <comment ref="D25" authorId="0">
      <text>
        <r>
          <rPr>
            <sz val="10"/>
            <rFont val="Arial"/>
            <family val="2"/>
          </rPr>
          <t xml:space="preserve">2/5 — médiocre
Le bois couvre la finesse et amplifie l'amertume (P30) ; trop puissant, il écrase le plat (P20).
Principes de Pat : P30, P20</t>
        </r>
      </text>
    </comment>
    <comment ref="D26" authorId="0">
      <text>
        <r>
          <rPr>
            <sz val="10"/>
            <rFont val="Arial"/>
            <family val="2"/>
          </rPr>
          <t xml:space="preserve">3/5 — correct
Le bois couvre la finesse et amplifie l'amertume (P30).
Principes de Pat : P30</t>
        </r>
      </text>
    </comment>
    <comment ref="D27" authorId="0">
      <text>
        <r>
          <rPr>
            <sz val="10"/>
            <rFont val="Arial"/>
            <family val="2"/>
          </rPr>
          <t xml:space="preserve">3/5 — correct
Blanc correct sur le bœuf cru, mais le sel du parmesan autorise et appelle un rouge léger (P28, P20).
Principes de Pat : P28, P20</t>
        </r>
      </text>
    </comment>
    <comment ref="D29" authorId="0">
      <text>
        <r>
          <rPr>
            <sz val="10"/>
            <rFont val="Arial"/>
            <family val="2"/>
          </rPr>
          <t xml:space="preserve">5/5 — accord parfait
Rouge léger, vif et peu tannique : il épouse le bœuf cru sans durcir sur la roquette (P30, P28, P37).
Principes de Pat : P30, P28, P37</t>
        </r>
      </text>
    </comment>
    <comment ref="D30" authorId="0">
      <text>
        <r>
          <rPr>
            <sz val="10"/>
            <rFont val="Arial"/>
            <family val="2"/>
          </rPr>
          <t xml:space="preserve">4/5 — très bon
Rouge de poids moyen aux tanins fins : profil qui convient, sans point d'ancrage décisif (P20, P30).
Principes de Pat : P20, P30</t>
        </r>
      </text>
    </comment>
    <comment ref="D31" authorId="0">
      <text>
        <r>
          <rPr>
            <sz val="10"/>
            <rFont val="Arial"/>
            <family val="2"/>
          </rPr>
          <t xml:space="preserve">2/5 — médiocre
Le bois couvre la finesse et amplifie l'amertume (P30) ; trop puissant, il écrase le plat (P20).
Principes de Pat : P30, P20</t>
        </r>
      </text>
    </comment>
    <comment ref="D32" authorId="0">
      <text>
        <r>
          <rPr>
            <sz val="10"/>
            <rFont val="Arial"/>
            <family val="2"/>
          </rPr>
          <t xml:space="preserve">4/5 — très bon
Rouge léger aux tanins fins : profil qui convient, sans point d'ancrage décisif (P20, P30).
Principes de Pat : P20, P30</t>
        </r>
      </text>
    </comment>
    <comment ref="D33" authorId="0">
      <text>
        <r>
          <rPr>
            <sz val="10"/>
            <rFont val="Arial"/>
            <family val="2"/>
          </rPr>
          <t xml:space="preserve">3/5 — correct
Le bois couvre la finesse et amplifie l'amertume (P30).
Principes de Pat : P30</t>
        </r>
      </text>
    </comment>
    <comment ref="D34"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35" authorId="0">
      <text>
        <r>
          <rPr>
            <sz val="10"/>
            <rFont val="Arial"/>
            <family val="2"/>
          </rPr>
          <t xml:space="preserve">1/5 — pas bon du tout
Le bois couvre la finesse et amplifie l'amertume (P30) ; tanin trop présent pour l'amertume de la roquette (P30).
Principes de Pat : P30</t>
        </r>
      </text>
    </comment>
    <comment ref="D36" authorId="0">
      <text>
        <r>
          <rPr>
            <sz val="10"/>
            <rFont val="Arial"/>
            <family val="2"/>
          </rPr>
          <t xml:space="preserve">1/5 — pas bon du tout
Tanin trop présent pour l'amertume de la roquette (P30) ; le bois couvre la finesse et amplifie l'amertume (P30) ; trop puissant, il écrase le plat (P20).
Principes de Pat : P30, P20</t>
        </r>
      </text>
    </comment>
    <comment ref="D37"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38" authorId="0">
      <text>
        <r>
          <rPr>
            <sz val="10"/>
            <rFont val="Arial"/>
            <family val="2"/>
          </rPr>
          <t xml:space="preserve">5/5 — accord parfait
Rouge léger, vif et peu tannique : il épouse le bœuf cru sans durcir sur la roquette (P30, P28, P37).
Principes de Pat : P30, P28, P37</t>
        </r>
      </text>
    </comment>
    <comment ref="D39" authorId="0">
      <text>
        <r>
          <rPr>
            <sz val="10"/>
            <rFont val="Arial"/>
            <family val="2"/>
          </rPr>
          <t xml:space="preserve">5/5 — accord parfait
Rouge léger, vif et peu tannique : il épouse le bœuf cru sans durcir sur la roquette (P30, P28, P37).
Principes de Pat : P30, P28, P37</t>
        </r>
      </text>
    </comment>
    <comment ref="D40" authorId="0">
      <text>
        <r>
          <rPr>
            <sz val="10"/>
            <rFont val="Arial"/>
            <family val="2"/>
          </rPr>
          <t xml:space="preserve">2/5 — médiocre
Tanin trop présent pour l'amertume de la roquette (P30) ; le bois couvre la finesse et amplifie l'amertume (P30).
Principes de Pat : P30</t>
        </r>
      </text>
    </comment>
    <comment ref="D41" authorId="0">
      <text>
        <r>
          <rPr>
            <sz val="10"/>
            <rFont val="Arial"/>
            <family val="2"/>
          </rPr>
          <t xml:space="preserve">2/5 — médiocre
Tanin trop présent pour l'amertume de la roquette (P30) ; le bois couvre la finesse et amplifie l'amertume (P30).
Principes de Pat : P30</t>
        </r>
      </text>
    </comment>
    <comment ref="D42" authorId="0">
      <text>
        <r>
          <rPr>
            <sz val="10"/>
            <rFont val="Arial"/>
            <family val="2"/>
          </rPr>
          <t xml:space="preserve">1/5 — pas bon du tout
Tanin trop présent pour l'amertume de la roquette (P30) ; le bois couvre la finesse et amplifie l'amertume (P30) ; trop puissant, il écrase le plat (P20).
Principes de Pat : P30, P20</t>
        </r>
      </text>
    </comment>
    <comment ref="D43" authorId="0">
      <text>
        <r>
          <rPr>
            <sz val="10"/>
            <rFont val="Arial"/>
            <family val="2"/>
          </rPr>
          <t xml:space="preserve">1/5 — pas bon du tout
Le bois couvre la finesse et amplifie l'amertume (P30) ; tanin trop présent pour l'amertume de la roquette (P30).
Principes de Pat : P30</t>
        </r>
      </text>
    </comment>
    <comment ref="D44" authorId="0">
      <text>
        <r>
          <rPr>
            <sz val="10"/>
            <rFont val="Arial"/>
            <family val="2"/>
          </rPr>
          <t xml:space="preserve">1/5 — pas bon du tout
Le bois couvre la finesse et amplifie l'amertume (P30) ; tanin trop présent pour l'amertume de la roquette (P30).
Principes de Pat : P30</t>
        </r>
      </text>
    </comment>
    <comment ref="D45" authorId="0">
      <text>
        <r>
          <rPr>
            <sz val="10"/>
            <rFont val="Arial"/>
            <family val="2"/>
          </rPr>
          <t xml:space="preserve">1/5 — pas bon du tout
Le bois couvre la finesse et amplifie l'amertume (P30) ; tanin trop présent pour l'amertume de la roquette (P30).
Principes de Pat : P30</t>
        </r>
      </text>
    </comment>
    <comment ref="D46" authorId="0">
      <text>
        <r>
          <rPr>
            <sz val="10"/>
            <rFont val="Arial"/>
            <family val="2"/>
          </rPr>
          <t xml:space="preserve">1/5 — pas bon du tout
Le bois couvre la finesse et amplifie l'amertume (P30) ; tanin trop présent pour l'amertume de la roquette (P30).
Principes de Pat : P30</t>
        </r>
      </text>
    </comment>
    <comment ref="D47" authorId="0">
      <text>
        <r>
          <rPr>
            <sz val="10"/>
            <rFont val="Arial"/>
            <family val="2"/>
          </rPr>
          <t xml:space="preserve">1/5 — pas bon du tout
Le bois couvre la finesse et amplifie l'amertume (P30) ; tanin trop présent pour l'amertume de la roquette (P30).
Principes de Pat : P30</t>
        </r>
      </text>
    </comment>
    <comment ref="D48"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49"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50"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51" authorId="0">
      <text>
        <r>
          <rPr>
            <sz val="10"/>
            <rFont val="Arial"/>
            <family val="2"/>
          </rPr>
          <t xml:space="preserve">2/5 — médiocre
Le bois couvre la finesse et amplifie l'amertume (P30).
Principes de Pat : P30</t>
        </r>
      </text>
    </comment>
    <comment ref="D52"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53" authorId="0">
      <text>
        <r>
          <rPr>
            <sz val="10"/>
            <rFont val="Arial"/>
            <family val="2"/>
          </rPr>
          <t xml:space="preserve">1/5 — pas bon du tout
Le bois couvre la finesse et amplifie l'amertume (P30) ; tanin trop présent pour l'amertume de la roquette (P30).
Principes de Pat : P30</t>
        </r>
      </text>
    </comment>
    <comment ref="D54" authorId="0">
      <text>
        <r>
          <rPr>
            <sz val="10"/>
            <rFont val="Arial"/>
            <family val="2"/>
          </rPr>
          <t xml:space="preserve">1/5 — pas bon du tout
Tanin trop présent pour l'amertume de la roquette (P30) ; le bois couvre la finesse et amplifie l'amertume (P30) ; trop puissant, il écrase le plat (P20).
Principes de Pat : P30, P20</t>
        </r>
      </text>
    </comment>
    <comment ref="D55" authorId="0">
      <text>
        <r>
          <rPr>
            <sz val="10"/>
            <rFont val="Arial"/>
            <family val="2"/>
          </rPr>
          <t xml:space="preserve">1/5 — pas bon du tout
Tanin trop présent pour l'amertume de la roquette (P30) ; le bois couvre la finesse et amplifie l'amertume (P30) ; trop puissant, il écrase le plat (P20).
Principes de Pat : P30, P20</t>
        </r>
      </text>
    </comment>
    <comment ref="D56" authorId="0">
      <text>
        <r>
          <rPr>
            <sz val="10"/>
            <rFont val="Arial"/>
            <family val="2"/>
          </rPr>
          <t xml:space="preserve">2/5 — médiocre
Le bois couvre la finesse et amplifie l'amertume (P30).
Principes de Pat : P30</t>
        </r>
      </text>
    </comment>
    <comment ref="D57"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58" authorId="0">
      <text>
        <r>
          <rPr>
            <sz val="10"/>
            <rFont val="Arial"/>
            <family val="2"/>
          </rPr>
          <t xml:space="preserve">5/5 — accord parfait
Rouge léger, vif et peu tannique : il épouse le bœuf cru sans durcir sur la roquette (P30, P28, P37).
Principes de Pat : P30, P28, P37</t>
        </r>
      </text>
    </comment>
    <comment ref="D59" authorId="0">
      <text>
        <r>
          <rPr>
            <sz val="10"/>
            <rFont val="Arial"/>
            <family val="2"/>
          </rPr>
          <t xml:space="preserve">2/5 — médiocre
Tanin trop présent pour l'amertume de la roquette (P30) ; le bois couvre la finesse et amplifie l'amertume (P30).
Principes de Pat : P30</t>
        </r>
      </text>
    </comment>
    <comment ref="D60" authorId="0">
      <text>
        <r>
          <rPr>
            <sz val="10"/>
            <rFont val="Arial"/>
            <family val="2"/>
          </rPr>
          <t xml:space="preserve">2/5 — médiocre
Tanin trop présent pour l'amertume de la roquette (P30) ; le bois couvre la finesse et amplifie l'amertume (P30).
Principes de Pat : P30</t>
        </r>
      </text>
    </comment>
    <comment ref="D61"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62"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63"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64" authorId="0">
      <text>
        <r>
          <rPr>
            <sz val="10"/>
            <rFont val="Arial"/>
            <family val="2"/>
          </rPr>
          <t xml:space="preserve">1/5 — pas bon du tout
Le bois couvre la finesse et amplifie l'amertume (P30) ; tanin trop présent pour l'amertume de la roquette (P30).
Principes de Pat : P30</t>
        </r>
      </text>
    </comment>
    <comment ref="D65" authorId="0">
      <text>
        <r>
          <rPr>
            <sz val="10"/>
            <rFont val="Arial"/>
            <family val="2"/>
          </rPr>
          <t xml:space="preserve">1/5 — pas bon du tout
Le bois couvre la finesse et amplifie l'amertume (P30) ; tanin trop présent pour l'amertume de la roquette (P30) ; trop puissant, il écrase le plat (P20).
Principes de Pat : P30, P20</t>
        </r>
      </text>
    </comment>
    <comment ref="D66" authorId="0">
      <text>
        <r>
          <rPr>
            <sz val="10"/>
            <rFont val="Arial"/>
            <family val="2"/>
          </rPr>
          <t xml:space="preserve">3/5 — correct
Le bois couvre la finesse et amplifie l'amertume (P30).
Principes de Pat : P30</t>
        </r>
      </text>
    </comment>
    <comment ref="D67" authorId="0">
      <text>
        <r>
          <rPr>
            <sz val="10"/>
            <rFont val="Arial"/>
            <family val="2"/>
          </rPr>
          <t xml:space="preserve">1/5 — pas bon du tout
Tanin trop présent pour l'amertume de la roquette (P30) ; le bois couvre la finesse et amplifie l'amertume (P30) ; trop puissant, il écrase le plat (P20).
Principes de Pat : P30, P20</t>
        </r>
      </text>
    </comment>
    <comment ref="D68" authorId="0">
      <text>
        <r>
          <rPr>
            <sz val="10"/>
            <rFont val="Arial"/>
            <family val="2"/>
          </rPr>
          <t xml:space="preserve">1/5 — pas bon du tout
Tanin trop présent pour l'amertume de la roquette (P30) ; le bois couvre la finesse et amplifie l'amertume (P30) ; trop puissant, il écrase le plat (P20).
Principes de Pat : P30, P20</t>
        </r>
      </text>
    </comment>
    <comment ref="D70" authorId="0">
      <text>
        <r>
          <rPr>
            <sz val="10"/>
            <rFont val="Arial"/>
            <family val="2"/>
          </rPr>
          <t xml:space="preserve">3/5 — correct
Blanc correct sur le bœuf cru, mais le sel du parmesan autorise et appelle un rouge léger (P28, P20).
Principes de Pat : P28, P20</t>
        </r>
      </text>
    </comment>
    <comment ref="D71" authorId="0">
      <text>
        <r>
          <rPr>
            <sz val="10"/>
            <rFont val="Arial"/>
            <family val="2"/>
          </rPr>
          <t xml:space="preserve">3/5 — correct
Blanc correct sur le bœuf cru, mais le sel du parmesan autorise et appelle un rouge léger (P28, P20).
Principes de Pat : P28, P20</t>
        </r>
      </text>
    </comment>
    <comment ref="D73" authorId="0">
      <text>
        <r>
          <rPr>
            <sz val="10"/>
            <rFont val="Arial"/>
            <family val="2"/>
          </rPr>
          <t xml:space="preserve">3/5 — correct
Blanc correct sur le bœuf cru, mais le sel du parmesan autorise et appelle un rouge léger (P28, P20).
Principes de Pat : P28, P20</t>
        </r>
      </text>
    </comment>
    <comment ref="D74" authorId="0">
      <text>
        <r>
          <rPr>
            <sz val="10"/>
            <rFont val="Arial"/>
            <family val="2"/>
          </rPr>
          <t xml:space="preserve">3/5 — correct
Blanc correct sur le bœuf cru, mais le sel du parmesan autorise et appelle un rouge léger (P28, P20).
Principes de Pat : P28, P20</t>
        </r>
      </text>
    </comment>
    <comment ref="D75" authorId="0">
      <text>
        <r>
          <rPr>
            <sz val="10"/>
            <rFont val="Arial"/>
            <family val="2"/>
          </rPr>
          <t xml:space="preserve">3/5 — correct
Blanc correct sur le bœuf cru, mais le sel du parmesan autorise et appelle un rouge léger (P28, P20).
Principes de Pat : P28, P20</t>
        </r>
      </text>
    </comment>
    <comment ref="D76" authorId="0">
      <text>
        <r>
          <rPr>
            <sz val="10"/>
            <rFont val="Arial"/>
            <family val="2"/>
          </rPr>
          <t xml:space="preserve">3/5 — correct
Blanc correct sur le bœuf cru, mais le sel du parmesan autorise et appelle un rouge léger (P28, P20).
Principes de Pat : P28, P20</t>
        </r>
      </text>
    </comment>
    <comment ref="D77" authorId="0">
      <text>
        <r>
          <rPr>
            <sz val="10"/>
            <rFont val="Arial"/>
            <family val="2"/>
          </rPr>
          <t xml:space="preserve">3/5 — correct
Blanc correct sur le bœuf cru, mais le sel du parmesan autorise et appelle un rouge léger (P28, P20).
Principes de Pat : P28, P20</t>
        </r>
      </text>
    </comment>
    <comment ref="D78" authorId="0">
      <text>
        <r>
          <rPr>
            <sz val="10"/>
            <rFont val="Arial"/>
            <family val="2"/>
          </rPr>
          <t xml:space="preserve">3/5 — correct
Blanc correct sur le bœuf cru, mais le sel du parmesan autorise et appelle un rouge léger (P28, P20).
Principes de Pat : P28, P20</t>
        </r>
      </text>
    </comment>
    <comment ref="D79" authorId="0">
      <text>
        <r>
          <rPr>
            <sz val="10"/>
            <rFont val="Arial"/>
            <family val="2"/>
          </rPr>
          <t xml:space="preserve">3/5 — correct
Trop puissant, il écrase le plat (P20).
Principes de Pat : P20</t>
        </r>
      </text>
    </comment>
    <comment ref="D81" authorId="0">
      <text>
        <r>
          <rPr>
            <sz val="10"/>
            <rFont val="Arial"/>
            <family val="2"/>
          </rPr>
          <t xml:space="preserve">1/5 — pas bon du tout
Liquoreux hors de propos sur un plat salé qui n'appelle pas de sucre (P20, P4).
Principes de Pat : P20, P4</t>
        </r>
      </text>
    </comment>
    <comment ref="E7" authorId="0">
      <text>
        <r>
          <rPr>
            <sz val="10"/>
            <rFont val="Arial"/>
            <family val="2"/>
          </rPr>
          <t xml:space="preserve">4/5 — très bon
Le citron vert nature plafonne l'accord (P7, P35) ; tension saline d'un vin de bord d'eau sur le bar cru (P9).
Principes de Pat : P7, P35, P9</t>
        </r>
      </text>
    </comment>
    <comment ref="E8" authorId="0">
      <text>
        <r>
          <rPr>
            <sz val="10"/>
            <rFont val="Arial"/>
            <family val="2"/>
          </rPr>
          <t xml:space="preserve">4/5 — très bon
Le citron vert nature plafonne l'accord (P7, P35) ; tension saline d'un vin de bord d'eau sur le bar cru (P9).
Principes de Pat : P7, P35, P9</t>
        </r>
      </text>
    </comment>
    <comment ref="E9" authorId="0">
      <text>
        <r>
          <rPr>
            <sz val="10"/>
            <rFont val="Arial"/>
            <family val="2"/>
          </rPr>
          <t xml:space="preserve">4/5 — très bon
Le citron vert nature plafonne l'accord (P7, P35) ; tension saline d'un vin de bord d'eau sur le bar cru (P9).
Principes de Pat : P7, P35, P9</t>
        </r>
      </text>
    </comment>
    <comment ref="E10" authorId="0">
      <text>
        <r>
          <rPr>
            <sz val="10"/>
            <rFont val="Arial"/>
            <family val="2"/>
          </rPr>
          <t xml:space="preserve">2/5 — médiocre
Le bois couvre la finesse et amplifie l'amertume (P19).
Principes de Pat : P19</t>
        </r>
      </text>
    </comment>
    <comment ref="E11" authorId="0">
      <text>
        <r>
          <rPr>
            <sz val="10"/>
            <rFont val="Arial"/>
            <family val="2"/>
          </rPr>
          <t xml:space="preserve">4/5 — très bon
Le citron vert nature plafonne l'accord (P7, P35) ; tension saline d'un vin de bord d'eau sur le bar cru (P9).
Principes de Pat : P7, P35, P9</t>
        </r>
      </text>
    </comment>
    <comment ref="E12" authorId="0">
      <text>
        <r>
          <rPr>
            <sz val="10"/>
            <rFont val="Arial"/>
            <family val="2"/>
          </rPr>
          <t xml:space="preserve">2/5 — médiocre
Le bois couvre la finesse et amplifie l'amertume (P19) ; acidité trop faible face au citron vert (P23).
Principes de Pat : P19, P23</t>
        </r>
      </text>
    </comment>
    <comment ref="E13" authorId="0">
      <text>
        <r>
          <rPr>
            <sz val="10"/>
            <rFont val="Arial"/>
            <family val="2"/>
          </rPr>
          <t xml:space="preserve">2/5 — médiocre
Le bois couvre la finesse et amplifie l'amertume (P19) ; acidité trop faible face au citron vert (P23).
Principes de Pat : P19, P23</t>
        </r>
      </text>
    </comment>
    <comment ref="E14" authorId="0">
      <text>
        <r>
          <rPr>
            <sz val="10"/>
            <rFont val="Arial"/>
            <family val="2"/>
          </rPr>
          <t xml:space="preserve">1/5 — pas bon du tout
Le bois couvre la finesse et amplifie l'amertume (P19) ; trop puissant, il écrase le plat (P20).
Principes de Pat : P19, P20</t>
        </r>
      </text>
    </comment>
    <comment ref="E15" authorId="0">
      <text>
        <r>
          <rPr>
            <sz val="10"/>
            <rFont val="Arial"/>
            <family val="2"/>
          </rPr>
          <t xml:space="preserve">1/5 — pas bon du tout
Le bois couvre la finesse et amplifie l'amertume (P19) ; trop puissant, il écrase le plat (P20).
Principes de Pat : P19, P20</t>
        </r>
      </text>
    </comment>
    <comment ref="E16" authorId="0">
      <text>
        <r>
          <rPr>
            <sz val="10"/>
            <rFont val="Arial"/>
            <family val="2"/>
          </rPr>
          <t xml:space="preserve">1/5 — pas bon du tout
Le bois couvre la finesse et amplifie l'amertume (P19) ; acidité trop faible face au citron vert (P23) ; trop puissant, il écrase le plat (P20).
Principes de Pat : P19, P23, P20</t>
        </r>
      </text>
    </comment>
    <comment ref="E17" authorId="0">
      <text>
        <r>
          <rPr>
            <sz val="10"/>
            <rFont val="Arial"/>
            <family val="2"/>
          </rPr>
          <t xml:space="preserve">1/5 — pas bon du tout
Le bois couvre la finesse et amplifie l'amertume (P19) ; acidité trop faible face au citron vert (P23) ; trop puissant, il écrase le plat (P20).
Principes de Pat : P19, P23, P20</t>
        </r>
      </text>
    </comment>
    <comment ref="E18" authorId="0">
      <text>
        <r>
          <rPr>
            <sz val="10"/>
            <rFont val="Arial"/>
            <family val="2"/>
          </rPr>
          <t xml:space="preserve">1/5 — pas bon du tout
Le bois couvre la finesse et amplifie l'amertume (P19) ; acidité trop faible face au citron vert (P23) ; trop puissant, il écrase le plat (P20).
Principes de Pat : P19, P23, P20</t>
        </r>
      </text>
    </comment>
    <comment ref="E19" authorId="0">
      <text>
        <r>
          <rPr>
            <sz val="10"/>
            <rFont val="Arial"/>
            <family val="2"/>
          </rPr>
          <t xml:space="preserve">1/5 — pas bon du tout
Le bois couvre la finesse et amplifie l'amertume (P19) ; trop puissant, il écrase le plat (P20).
Principes de Pat : P19, P20</t>
        </r>
      </text>
    </comment>
    <comment ref="E20" authorId="0">
      <text>
        <r>
          <rPr>
            <sz val="10"/>
            <rFont val="Arial"/>
            <family val="2"/>
          </rPr>
          <t xml:space="preserve">1/5 — pas bon du tout
Le bois couvre la finesse et amplifie l'amertume (P19) ; acidité trop faible face au citron vert (P23) ; trop puissant, il écrase le plat (P20).
Principes de Pat : P19, P23, P20</t>
        </r>
      </text>
    </comment>
    <comment ref="E21" authorId="0">
      <text>
        <r>
          <rPr>
            <sz val="10"/>
            <rFont val="Arial"/>
            <family val="2"/>
          </rPr>
          <t xml:space="preserve">1/5 — pas bon du tout
Acidité trop faible face au citron vert (P23) ; le bois couvre la finesse et amplifie l'amertume (P19) ; trop puissant, il écrase le plat (P20).
Principes de Pat : P23, P19, P20</t>
        </r>
      </text>
    </comment>
    <comment ref="E22" authorId="0">
      <text>
        <r>
          <rPr>
            <sz val="10"/>
            <rFont val="Arial"/>
            <family val="2"/>
          </rPr>
          <t xml:space="preserve">1/5 — pas bon du tout
Acidité trop faible face au citron vert (P23) ; le bois couvre la finesse et amplifie l'amertume (P19) ; trop puissant, il écrase le plat (P20).
Principes de Pat : P23, P19, P20</t>
        </r>
      </text>
    </comment>
    <comment ref="E23" authorId="0">
      <text>
        <r>
          <rPr>
            <sz val="10"/>
            <rFont val="Arial"/>
            <family val="2"/>
          </rPr>
          <t xml:space="preserve">3/5 — correct
Acidité trop faible face au citron vert (P23).
Principes de Pat : P23</t>
        </r>
      </text>
    </comment>
    <comment ref="E24" authorId="0">
      <text>
        <r>
          <rPr>
            <sz val="10"/>
            <rFont val="Arial"/>
            <family val="2"/>
          </rPr>
          <t xml:space="preserve">4/5 — très bon
Le citron vert nature plafonne l'accord (P7, P35) ; tension saline d'un vin de bord d'eau sur le bar cru (P9).
Principes de Pat : P7, P35, P9</t>
        </r>
      </text>
    </comment>
    <comment ref="E25" authorId="0">
      <text>
        <r>
          <rPr>
            <sz val="10"/>
            <rFont val="Arial"/>
            <family val="2"/>
          </rPr>
          <t xml:space="preserve">1/5 — pas bon du tout
Le bois couvre la finesse et amplifie l'amertume (P19) ; acidité trop faible face au citron vert (P23) ; trop puissant, il écrase le plat (P20).
Principes de Pat : P19, P23, P20</t>
        </r>
      </text>
    </comment>
    <comment ref="E26" authorId="0">
      <text>
        <r>
          <rPr>
            <sz val="10"/>
            <rFont val="Arial"/>
            <family val="2"/>
          </rPr>
          <t xml:space="preserve">3/5 — correct
Le bois couvre la finesse et amplifie l'amertume (P19).
Principes de Pat : P19</t>
        </r>
      </text>
    </comment>
    <comment ref="E27" authorId="0">
      <text>
        <r>
          <rPr>
            <sz val="10"/>
            <rFont val="Arial"/>
            <family val="2"/>
          </rPr>
          <t xml:space="preserve">4/5 — très bon
Le citron vert nature plafonne l'accord (P7, P35) ; tension saline d'un vin de bord d'eau sur le bar cru (P9).
Principes de Pat : P7, P35, P9</t>
        </r>
      </text>
    </comment>
    <comment ref="E29" authorId="0">
      <text>
        <r>
          <rPr>
            <sz val="10"/>
            <rFont val="Arial"/>
            <family val="2"/>
          </rPr>
          <t xml:space="preserve">2/5 — médiocre
Rouge : son tanin durcit au contact du poisson cru (P27) ; seule sa légèreté limite les dégâts (P20).
Principes de Pat : P27, P20</t>
        </r>
      </text>
    </comment>
    <comment ref="E30" authorId="0">
      <text>
        <r>
          <rPr>
            <sz val="10"/>
            <rFont val="Arial"/>
            <family val="2"/>
          </rPr>
          <t xml:space="preserve">1/5 — pas bon du tout
Rouge : son tanin durcit au contact du poisson cru (P27).
Principes de Pat : P27</t>
        </r>
      </text>
    </comment>
    <comment ref="E31" authorId="0">
      <text>
        <r>
          <rPr>
            <sz val="10"/>
            <rFont val="Arial"/>
            <family val="2"/>
          </rPr>
          <t xml:space="preserve">1/5 — pas bon du tout
Rouge : son tanin durcit au contact du poisson cru (P27).
Principes de Pat : P27</t>
        </r>
      </text>
    </comment>
    <comment ref="E32" authorId="0">
      <text>
        <r>
          <rPr>
            <sz val="10"/>
            <rFont val="Arial"/>
            <family val="2"/>
          </rPr>
          <t xml:space="preserve">2/5 — médiocre
Rouge : son tanin durcit au contact du poisson cru (P27) ; seule sa légèreté limite les dégâts (P20).
Principes de Pat : P27, P20</t>
        </r>
      </text>
    </comment>
    <comment ref="E33" authorId="0">
      <text>
        <r>
          <rPr>
            <sz val="10"/>
            <rFont val="Arial"/>
            <family val="2"/>
          </rPr>
          <t xml:space="preserve">1/5 — pas bon du tout
Rouge : son tanin durcit au contact du poisson cru (P27).
Principes de Pat : P27</t>
        </r>
      </text>
    </comment>
    <comment ref="E34" authorId="0">
      <text>
        <r>
          <rPr>
            <sz val="10"/>
            <rFont val="Arial"/>
            <family val="2"/>
          </rPr>
          <t xml:space="preserve">1/5 — pas bon du tout
Rouge : son tanin durcit au contact du poisson cru (P27).
Principes de Pat : P27</t>
        </r>
      </text>
    </comment>
    <comment ref="E35" authorId="0">
      <text>
        <r>
          <rPr>
            <sz val="10"/>
            <rFont val="Arial"/>
            <family val="2"/>
          </rPr>
          <t xml:space="preserve">1/5 — pas bon du tout
Rouge : son tanin durcit au contact du poisson cru (P27).
Principes de Pat : P27</t>
        </r>
      </text>
    </comment>
    <comment ref="E36" authorId="0">
      <text>
        <r>
          <rPr>
            <sz val="10"/>
            <rFont val="Arial"/>
            <family val="2"/>
          </rPr>
          <t xml:space="preserve">1/5 — pas bon du tout
Rouge : son tanin durcit au contact du poisson cru (P27).
Principes de Pat : P27</t>
        </r>
      </text>
    </comment>
    <comment ref="E37" authorId="0">
      <text>
        <r>
          <rPr>
            <sz val="10"/>
            <rFont val="Arial"/>
            <family val="2"/>
          </rPr>
          <t xml:space="preserve">1/5 — pas bon du tout
Rouge : son tanin durcit au contact du poisson cru (P27).
Principes de Pat : P27</t>
        </r>
      </text>
    </comment>
    <comment ref="E38" authorId="0">
      <text>
        <r>
          <rPr>
            <sz val="10"/>
            <rFont val="Arial"/>
            <family val="2"/>
          </rPr>
          <t xml:space="preserve">2/5 — médiocre
Rouge : son tanin durcit au contact du poisson cru (P27) ; seule sa légèreté limite les dégâts (P20).
Principes de Pat : P27, P20</t>
        </r>
      </text>
    </comment>
    <comment ref="E39" authorId="0">
      <text>
        <r>
          <rPr>
            <sz val="10"/>
            <rFont val="Arial"/>
            <family val="2"/>
          </rPr>
          <t xml:space="preserve">2/5 — médiocre
Rouge : son tanin durcit au contact du poisson cru (P27) ; seule sa légèreté limite les dégâts (P20).
Principes de Pat : P27, P20</t>
        </r>
      </text>
    </comment>
    <comment ref="E40" authorId="0">
      <text>
        <r>
          <rPr>
            <sz val="10"/>
            <rFont val="Arial"/>
            <family val="2"/>
          </rPr>
          <t xml:space="preserve">1/5 — pas bon du tout
Rouge : son tanin durcit au contact du poisson cru (P27).
Principes de Pat : P27</t>
        </r>
      </text>
    </comment>
    <comment ref="E41" authorId="0">
      <text>
        <r>
          <rPr>
            <sz val="10"/>
            <rFont val="Arial"/>
            <family val="2"/>
          </rPr>
          <t xml:space="preserve">1/5 — pas bon du tout
Rouge : son tanin durcit au contact du poisson cru (P27).
Principes de Pat : P27</t>
        </r>
      </text>
    </comment>
    <comment ref="E42" authorId="0">
      <text>
        <r>
          <rPr>
            <sz val="10"/>
            <rFont val="Arial"/>
            <family val="2"/>
          </rPr>
          <t xml:space="preserve">1/5 — pas bon du tout
Rouge : son tanin durcit au contact du poisson cru (P27).
Principes de Pat : P27</t>
        </r>
      </text>
    </comment>
    <comment ref="E43" authorId="0">
      <text>
        <r>
          <rPr>
            <sz val="10"/>
            <rFont val="Arial"/>
            <family val="2"/>
          </rPr>
          <t xml:space="preserve">1/5 — pas bon du tout
Rouge : son tanin durcit au contact du poisson cru (P27).
Principes de Pat : P27</t>
        </r>
      </text>
    </comment>
    <comment ref="E44" authorId="0">
      <text>
        <r>
          <rPr>
            <sz val="10"/>
            <rFont val="Arial"/>
            <family val="2"/>
          </rPr>
          <t xml:space="preserve">1/5 — pas bon du tout
Rouge : son tanin durcit au contact du poisson cru (P27).
Principes de Pat : P27</t>
        </r>
      </text>
    </comment>
    <comment ref="E45" authorId="0">
      <text>
        <r>
          <rPr>
            <sz val="10"/>
            <rFont val="Arial"/>
            <family val="2"/>
          </rPr>
          <t xml:space="preserve">1/5 — pas bon du tout
Rouge : son tanin durcit au contact du poisson cru (P27).
Principes de Pat : P27</t>
        </r>
      </text>
    </comment>
    <comment ref="E46" authorId="0">
      <text>
        <r>
          <rPr>
            <sz val="10"/>
            <rFont val="Arial"/>
            <family val="2"/>
          </rPr>
          <t xml:space="preserve">1/5 — pas bon du tout
Rouge : son tanin durcit au contact du poisson cru (P27).
Principes de Pat : P27</t>
        </r>
      </text>
    </comment>
    <comment ref="E47" authorId="0">
      <text>
        <r>
          <rPr>
            <sz val="10"/>
            <rFont val="Arial"/>
            <family val="2"/>
          </rPr>
          <t xml:space="preserve">1/5 — pas bon du tout
Rouge : son tanin durcit au contact du poisson cru (P27).
Principes de Pat : P27</t>
        </r>
      </text>
    </comment>
    <comment ref="E48" authorId="0">
      <text>
        <r>
          <rPr>
            <sz val="10"/>
            <rFont val="Arial"/>
            <family val="2"/>
          </rPr>
          <t xml:space="preserve">1/5 — pas bon du tout
Rouge : son tanin durcit au contact du poisson cru (P27).
Principes de Pat : P27</t>
        </r>
      </text>
    </comment>
    <comment ref="E49" authorId="0">
      <text>
        <r>
          <rPr>
            <sz val="10"/>
            <rFont val="Arial"/>
            <family val="2"/>
          </rPr>
          <t xml:space="preserve">1/5 — pas bon du tout
Rouge : son tanin durcit au contact du poisson cru (P27).
Principes de Pat : P27</t>
        </r>
      </text>
    </comment>
    <comment ref="E50" authorId="0">
      <text>
        <r>
          <rPr>
            <sz val="10"/>
            <rFont val="Arial"/>
            <family val="2"/>
          </rPr>
          <t xml:space="preserve">1/5 — pas bon du tout
Rouge : son tanin durcit au contact du poisson cru (P27).
Principes de Pat : P27</t>
        </r>
      </text>
    </comment>
    <comment ref="E51" authorId="0">
      <text>
        <r>
          <rPr>
            <sz val="10"/>
            <rFont val="Arial"/>
            <family val="2"/>
          </rPr>
          <t xml:space="preserve">1/5 — pas bon du tout
Rouge : son tanin durcit au contact du poisson cru (P27).
Principes de Pat : P27</t>
        </r>
      </text>
    </comment>
    <comment ref="E52" authorId="0">
      <text>
        <r>
          <rPr>
            <sz val="10"/>
            <rFont val="Arial"/>
            <family val="2"/>
          </rPr>
          <t xml:space="preserve">1/5 — pas bon du tout
Rouge : son tanin durcit au contact du poisson cru (P27).
Principes de Pat : P27</t>
        </r>
      </text>
    </comment>
    <comment ref="E53" authorId="0">
      <text>
        <r>
          <rPr>
            <sz val="10"/>
            <rFont val="Arial"/>
            <family val="2"/>
          </rPr>
          <t xml:space="preserve">1/5 — pas bon du tout
Rouge : son tanin durcit au contact du poisson cru (P27).
Principes de Pat : P27</t>
        </r>
      </text>
    </comment>
    <comment ref="E54" authorId="0">
      <text>
        <r>
          <rPr>
            <sz val="10"/>
            <rFont val="Arial"/>
            <family val="2"/>
          </rPr>
          <t xml:space="preserve">1/5 — pas bon du tout
Rouge : son tanin durcit au contact du poisson cru (P27).
Principes de Pat : P27</t>
        </r>
      </text>
    </comment>
    <comment ref="E55" authorId="0">
      <text>
        <r>
          <rPr>
            <sz val="10"/>
            <rFont val="Arial"/>
            <family val="2"/>
          </rPr>
          <t xml:space="preserve">1/5 — pas bon du tout
Rouge : son tanin durcit au contact du poisson cru (P27).
Principes de Pat : P27</t>
        </r>
      </text>
    </comment>
    <comment ref="E56" authorId="0">
      <text>
        <r>
          <rPr>
            <sz val="10"/>
            <rFont val="Arial"/>
            <family val="2"/>
          </rPr>
          <t xml:space="preserve">1/5 — pas bon du tout
Rouge : son tanin durcit au contact du poisson cru (P27).
Principes de Pat : P27</t>
        </r>
      </text>
    </comment>
    <comment ref="E57" authorId="0">
      <text>
        <r>
          <rPr>
            <sz val="10"/>
            <rFont val="Arial"/>
            <family val="2"/>
          </rPr>
          <t xml:space="preserve">1/5 — pas bon du tout
Rouge : son tanin durcit au contact du poisson cru (P27).
Principes de Pat : P27</t>
        </r>
      </text>
    </comment>
    <comment ref="E58" authorId="0">
      <text>
        <r>
          <rPr>
            <sz val="10"/>
            <rFont val="Arial"/>
            <family val="2"/>
          </rPr>
          <t xml:space="preserve">2/5 — médiocre
Rouge : son tanin durcit au contact du poisson cru (P27) ; seule sa légèreté limite les dégâts (P20).
Principes de Pat : P27, P20</t>
        </r>
      </text>
    </comment>
    <comment ref="E59" authorId="0">
      <text>
        <r>
          <rPr>
            <sz val="10"/>
            <rFont val="Arial"/>
            <family val="2"/>
          </rPr>
          <t xml:space="preserve">1/5 — pas bon du tout
Rouge : son tanin durcit au contact du poisson cru (P27).
Principes de Pat : P27</t>
        </r>
      </text>
    </comment>
    <comment ref="E60" authorId="0">
      <text>
        <r>
          <rPr>
            <sz val="10"/>
            <rFont val="Arial"/>
            <family val="2"/>
          </rPr>
          <t xml:space="preserve">1/5 — pas bon du tout
Rouge : son tanin durcit au contact du poisson cru (P27).
Principes de Pat : P27</t>
        </r>
      </text>
    </comment>
    <comment ref="E61" authorId="0">
      <text>
        <r>
          <rPr>
            <sz val="10"/>
            <rFont val="Arial"/>
            <family val="2"/>
          </rPr>
          <t xml:space="preserve">1/5 — pas bon du tout
Rouge : son tanin durcit au contact du poisson cru (P27).
Principes de Pat : P27</t>
        </r>
      </text>
    </comment>
    <comment ref="E62" authorId="0">
      <text>
        <r>
          <rPr>
            <sz val="10"/>
            <rFont val="Arial"/>
            <family val="2"/>
          </rPr>
          <t xml:space="preserve">1/5 — pas bon du tout
Rouge : son tanin durcit au contact du poisson cru (P27).
Principes de Pat : P27</t>
        </r>
      </text>
    </comment>
    <comment ref="E63" authorId="0">
      <text>
        <r>
          <rPr>
            <sz val="10"/>
            <rFont val="Arial"/>
            <family val="2"/>
          </rPr>
          <t xml:space="preserve">1/5 — pas bon du tout
Rouge : son tanin durcit au contact du poisson cru (P27).
Principes de Pat : P27</t>
        </r>
      </text>
    </comment>
    <comment ref="E64" authorId="0">
      <text>
        <r>
          <rPr>
            <sz val="10"/>
            <rFont val="Arial"/>
            <family val="2"/>
          </rPr>
          <t xml:space="preserve">1/5 — pas bon du tout
Rouge : son tanin durcit au contact du poisson cru (P27).
Principes de Pat : P27</t>
        </r>
      </text>
    </comment>
    <comment ref="E65" authorId="0">
      <text>
        <r>
          <rPr>
            <sz val="10"/>
            <rFont val="Arial"/>
            <family val="2"/>
          </rPr>
          <t xml:space="preserve">1/5 — pas bon du tout
Rouge : son tanin durcit au contact du poisson cru (P27).
Principes de Pat : P27</t>
        </r>
      </text>
    </comment>
    <comment ref="E66" authorId="0">
      <text>
        <r>
          <rPr>
            <sz val="10"/>
            <rFont val="Arial"/>
            <family val="2"/>
          </rPr>
          <t xml:space="preserve">1/5 — pas bon du tout
Rouge : son tanin durcit au contact du poisson cru (P27).
Principes de Pat : P27</t>
        </r>
      </text>
    </comment>
    <comment ref="E67" authorId="0">
      <text>
        <r>
          <rPr>
            <sz val="10"/>
            <rFont val="Arial"/>
            <family val="2"/>
          </rPr>
          <t xml:space="preserve">1/5 — pas bon du tout
Rouge : son tanin durcit au contact du poisson cru (P27).
Principes de Pat : P27</t>
        </r>
      </text>
    </comment>
    <comment ref="E68" authorId="0">
      <text>
        <r>
          <rPr>
            <sz val="10"/>
            <rFont val="Arial"/>
            <family val="2"/>
          </rPr>
          <t xml:space="preserve">1/5 — pas bon du tout
Rouge : son tanin durcit au contact du poisson cru (P27).
Principes de Pat : P27</t>
        </r>
      </text>
    </comment>
    <comment ref="E70" authorId="0">
      <text>
        <r>
          <rPr>
            <sz val="10"/>
            <rFont val="Arial"/>
            <family val="2"/>
          </rPr>
          <t xml:space="preserve">3/5 — correct
Acidité trop faible face au citron vert (P23).
Principes de Pat : P23</t>
        </r>
      </text>
    </comment>
    <comment ref="E71" authorId="0">
      <text>
        <r>
          <rPr>
            <sz val="10"/>
            <rFont val="Arial"/>
            <family val="2"/>
          </rPr>
          <t xml:space="preserve">3/5 — correct
Acidité trop faible face au citron vert (P23).
Principes de Pat : P23</t>
        </r>
      </text>
    </comment>
    <comment ref="E73" authorId="0">
      <text>
        <r>
          <rPr>
            <sz val="10"/>
            <rFont val="Arial"/>
            <family val="2"/>
          </rPr>
          <t xml:space="preserve">3/5 — correct
Acidité trop faible face au citron vert (P23).
Principes de Pat : P23</t>
        </r>
      </text>
    </comment>
    <comment ref="E74" authorId="0">
      <text>
        <r>
          <rPr>
            <sz val="10"/>
            <rFont val="Arial"/>
            <family val="2"/>
          </rPr>
          <t xml:space="preserve">4/5 — très bon
Effervescent vineux : profil qui convient, sans point d'ancrage décisif (P20, P23) ; le citron vert nature plafonne l'accord (P7, P35).
Principes de Pat : P20, P23, P7, P35</t>
        </r>
      </text>
    </comment>
    <comment ref="E75" authorId="0">
      <text>
        <r>
          <rPr>
            <sz val="10"/>
            <rFont val="Arial"/>
            <family val="2"/>
          </rPr>
          <t xml:space="preserve">4/5 — très bon
Effervescent vineux : profil qui convient, sans point d'ancrage décisif (P20, P23) ; le citron vert nature plafonne l'accord (P7, P35).
Principes de Pat : P20, P23, P7, P35</t>
        </r>
      </text>
    </comment>
    <comment ref="E76" authorId="0">
      <text>
        <r>
          <rPr>
            <sz val="10"/>
            <rFont val="Arial"/>
            <family val="2"/>
          </rPr>
          <t xml:space="preserve">2/5 — médiocre
Tanin trop présent pour le poisson cru (P27) ; acidité trop faible face au citron vert (P23).
Principes de Pat : P27, P23</t>
        </r>
      </text>
    </comment>
    <comment ref="E77" authorId="0">
      <text>
        <r>
          <rPr>
            <sz val="10"/>
            <rFont val="Arial"/>
            <family val="2"/>
          </rPr>
          <t xml:space="preserve">4/5 — très bon
Le citron vert nature plafonne l'accord (P7, P35) ; blanc de blancs tendu, fait pour le poisson cru (P41).
Principes de Pat : P7, P35, P41</t>
        </r>
      </text>
    </comment>
    <comment ref="E78" authorId="0">
      <text>
        <r>
          <rPr>
            <sz val="10"/>
            <rFont val="Arial"/>
            <family val="2"/>
          </rPr>
          <t xml:space="preserve">4/5 — très bon
Le citron vert nature plafonne l'accord (P7, P35) ; blanc de blancs tendu, fait pour le poisson cru (P41).
Principes de Pat : P7, P35, P41</t>
        </r>
      </text>
    </comment>
    <comment ref="E79" authorId="0">
      <text>
        <r>
          <rPr>
            <sz val="10"/>
            <rFont val="Arial"/>
            <family val="2"/>
          </rPr>
          <t xml:space="preserve">4/5 — très bon
Blanc de blancs tendu, fait pour le poisson cru (P41) ; trop puissant, il écrase le plat (P20) ; le citron vert nature plafonne l'accord (P7, P35).
Principes de Pat : P41, P20, P7, P35</t>
        </r>
      </text>
    </comment>
    <comment ref="E81" authorId="0">
      <text>
        <r>
          <rPr>
            <sz val="10"/>
            <rFont val="Arial"/>
            <family val="2"/>
          </rPr>
          <t xml:space="preserve">1/5 — pas bon du tout
Liquoreux hors de propos sur un plat salé qui n'appelle pas de sucre (P20, P4).
Principes de Pat : P20, P4</t>
        </r>
      </text>
    </comment>
    <comment ref="F7" authorId="0">
      <text>
        <r>
          <rPr>
            <sz val="10"/>
            <rFont val="Arial"/>
            <family val="2"/>
          </rPr>
          <t xml:space="preserve">4/5 — très bon
Blanc tendu, léger, sans bois : profil qui convient, sans point d'ancrage décisif (P20, P23) ; l'émulsion à l'œuf de la tartare plafonne l'accord (P10, P35).
Principes de Pat : P20, P23, P10, P35</t>
        </r>
      </text>
    </comment>
    <comment ref="F8" authorId="0">
      <text>
        <r>
          <rPr>
            <sz val="10"/>
            <rFont val="Arial"/>
            <family val="2"/>
          </rPr>
          <t xml:space="preserve">4/5 — très bon
Blanc tendu, de poids moyen, sans bois : profil qui convient, sans point d'ancrage décisif (P20, P23) ; l'émulsion à l'œuf de la tartare plafonne l'accord (P10, P35).
Principes de Pat : P20, P23, P10, P35</t>
        </r>
      </text>
    </comment>
    <comment ref="F9" authorId="0">
      <text>
        <r>
          <rPr>
            <sz val="10"/>
            <rFont val="Arial"/>
            <family val="2"/>
          </rPr>
          <t xml:space="preserve">4/5 — très bon
Blanc tendu, de poids moyen, sans bois : profil qui convient, sans point d'ancrage décisif (P20, P23) ; l'émulsion à l'œuf de la tartare plafonne l'accord (P10, P35).
Principes de Pat : P20, P23, P10, P35</t>
        </r>
      </text>
    </comment>
    <comment ref="F10" authorId="0">
      <text>
        <r>
          <rPr>
            <sz val="10"/>
            <rFont val="Arial"/>
            <family val="2"/>
          </rPr>
          <t xml:space="preserve">2/5 — médiocre
Le bois couvre la finesse et amplifie l'amertume (P34).
Principes de Pat : P34</t>
        </r>
      </text>
    </comment>
    <comment ref="F11" authorId="0">
      <text>
        <r>
          <rPr>
            <sz val="10"/>
            <rFont val="Arial"/>
            <family val="2"/>
          </rPr>
          <t xml:space="preserve">4/5 — très bon
Blanc tendu, léger, sans bois : profil qui convient, sans point d'ancrage décisif (P20, P23) ; l'émulsion à l'œuf de la tartare plafonne l'accord (P10, P35).
Principes de Pat : P20, P23, P10, P35</t>
        </r>
      </text>
    </comment>
    <comment ref="F12" authorId="0">
      <text>
        <r>
          <rPr>
            <sz val="10"/>
            <rFont val="Arial"/>
            <family val="2"/>
          </rPr>
          <t xml:space="preserve">2/5 — médiocre
Le bois couvre la finesse et amplifie l'amertume (P34) ; acidité trop faible face aux câpres et cornichons (P23).
Principes de Pat : P34, P23</t>
        </r>
      </text>
    </comment>
    <comment ref="F13" authorId="0">
      <text>
        <r>
          <rPr>
            <sz val="10"/>
            <rFont val="Arial"/>
            <family val="2"/>
          </rPr>
          <t xml:space="preserve">2/5 — médiocre
Le bois couvre la finesse et amplifie l'amertume (P34) ; acidité trop faible face aux câpres et cornichons (P23).
Principes de Pat : P34, P23</t>
        </r>
      </text>
    </comment>
    <comment ref="F14" authorId="0">
      <text>
        <r>
          <rPr>
            <sz val="10"/>
            <rFont val="Arial"/>
            <family val="2"/>
          </rPr>
          <t xml:space="preserve">2/5 — médiocre
Le bois couvre la finesse et amplifie l'amertume (P34).
Principes de Pat : P34</t>
        </r>
      </text>
    </comment>
    <comment ref="F15" authorId="0">
      <text>
        <r>
          <rPr>
            <sz val="10"/>
            <rFont val="Arial"/>
            <family val="2"/>
          </rPr>
          <t xml:space="preserve">2/5 — médiocre
Le bois couvre la finesse et amplifie l'amertume (P34).
Principes de Pat : P34</t>
        </r>
      </text>
    </comment>
    <comment ref="F16" authorId="0">
      <text>
        <r>
          <rPr>
            <sz val="10"/>
            <rFont val="Arial"/>
            <family val="2"/>
          </rPr>
          <t xml:space="preserve">1/5 — pas bon du tout
Le bois couvre la finesse et amplifie l'amertume (P34) ; acidité trop faible face aux câpres et cornichons (P23).
Principes de Pat : P34, P23</t>
        </r>
      </text>
    </comment>
    <comment ref="F17" authorId="0">
      <text>
        <r>
          <rPr>
            <sz val="10"/>
            <rFont val="Arial"/>
            <family val="2"/>
          </rPr>
          <t xml:space="preserve">1/5 — pas bon du tout
Le bois couvre la finesse et amplifie l'amertume (P34) ; acidité trop faible face aux câpres et cornichons (P23).
Principes de Pat : P34, P23</t>
        </r>
      </text>
    </comment>
    <comment ref="F18" authorId="0">
      <text>
        <r>
          <rPr>
            <sz val="10"/>
            <rFont val="Arial"/>
            <family val="2"/>
          </rPr>
          <t xml:space="preserve">1/5 — pas bon du tout
Le bois couvre la finesse et amplifie l'amertume (P34) ; acidité trop faible face aux câpres et cornichons (P23).
Principes de Pat : P34, P23</t>
        </r>
      </text>
    </comment>
    <comment ref="F19" authorId="0">
      <text>
        <r>
          <rPr>
            <sz val="10"/>
            <rFont val="Arial"/>
            <family val="2"/>
          </rPr>
          <t xml:space="preserve">2/5 — médiocre
Le bois couvre la finesse et amplifie l'amertume (P34).
Principes de Pat : P34</t>
        </r>
      </text>
    </comment>
    <comment ref="F20" authorId="0">
      <text>
        <r>
          <rPr>
            <sz val="10"/>
            <rFont val="Arial"/>
            <family val="2"/>
          </rPr>
          <t xml:space="preserve">2/5 — médiocre
Le bois couvre la finesse et amplifie l'amertume (P34) ; acidité trop faible face aux câpres et cornichons (P23).
Principes de Pat : P34, P23</t>
        </r>
      </text>
    </comment>
    <comment ref="F21" authorId="0">
      <text>
        <r>
          <rPr>
            <sz val="10"/>
            <rFont val="Arial"/>
            <family val="2"/>
          </rPr>
          <t xml:space="preserve">1/5 — pas bon du tout
Acidité trop faible face aux câpres et cornichons (P23) ; le bois couvre la finesse et amplifie l'amertume (P34).
Principes de Pat : P23, P34</t>
        </r>
      </text>
    </comment>
    <comment ref="F22" authorId="0">
      <text>
        <r>
          <rPr>
            <sz val="10"/>
            <rFont val="Arial"/>
            <family val="2"/>
          </rPr>
          <t xml:space="preserve">1/5 — pas bon du tout
Acidité trop faible face aux câpres et cornichons (P23) ; le bois couvre la finesse et amplifie l'amertume (P34).
Principes de Pat : P23, P34</t>
        </r>
      </text>
    </comment>
    <comment ref="F23" authorId="0">
      <text>
        <r>
          <rPr>
            <sz val="10"/>
            <rFont val="Arial"/>
            <family val="2"/>
          </rPr>
          <t xml:space="preserve">3/5 — correct
Acidité trop faible face aux câpres et cornichons (P23).
Principes de Pat : P23</t>
        </r>
      </text>
    </comment>
    <comment ref="F24" authorId="0">
      <text>
        <r>
          <rPr>
            <sz val="10"/>
            <rFont val="Arial"/>
            <family val="2"/>
          </rPr>
          <t xml:space="preserve">4/5 — très bon
Blanc tendu, léger, sans bois : profil qui convient, sans point d'ancrage décisif (P20, P23) ; l'émulsion à l'œuf de la tartare plafonne l'accord (P10, P35).
Principes de Pat : P20, P23, P10, P35</t>
        </r>
      </text>
    </comment>
    <comment ref="F25" authorId="0">
      <text>
        <r>
          <rPr>
            <sz val="10"/>
            <rFont val="Arial"/>
            <family val="2"/>
          </rPr>
          <t xml:space="preserve">2/5 — médiocre
Le bois couvre la finesse et amplifie l'amertume (P34) ; acidité trop faible face aux câpres et cornichons (P23).
Principes de Pat : P34, P23</t>
        </r>
      </text>
    </comment>
    <comment ref="F26" authorId="0">
      <text>
        <r>
          <rPr>
            <sz val="10"/>
            <rFont val="Arial"/>
            <family val="2"/>
          </rPr>
          <t xml:space="preserve">3/5 — correct
Le bois couvre la finesse et amplifie l'amertume (P34).
Principes de Pat : P34</t>
        </r>
      </text>
    </comment>
    <comment ref="F27" authorId="0">
      <text>
        <r>
          <rPr>
            <sz val="10"/>
            <rFont val="Arial"/>
            <family val="2"/>
          </rPr>
          <t xml:space="preserve">4/5 — très bon
Blanc tendu, léger, sans bois : profil qui convient, sans point d'ancrage décisif (P20, P23) ; l'émulsion à l'œuf de la tartare plafonne l'accord (P10, P35).
Principes de Pat : P20, P23, P10, P35</t>
        </r>
      </text>
    </comment>
    <comment ref="F29" authorId="0">
      <text>
        <r>
          <rPr>
            <sz val="10"/>
            <rFont val="Arial"/>
            <family val="2"/>
          </rPr>
          <t xml:space="preserve">2/5 — médiocre
Rouge : son tanin durcit au contact de la panure (P34) ; seule sa légèreté limite les dégâts (P20).
Principes de Pat : P34, P20</t>
        </r>
      </text>
    </comment>
    <comment ref="F30" authorId="0">
      <text>
        <r>
          <rPr>
            <sz val="10"/>
            <rFont val="Arial"/>
            <family val="2"/>
          </rPr>
          <t xml:space="preserve">1/5 — pas bon du tout
Rouge : son tanin durcit au contact de la panure (P34).
Principes de Pat : P34</t>
        </r>
      </text>
    </comment>
    <comment ref="F31" authorId="0">
      <text>
        <r>
          <rPr>
            <sz val="10"/>
            <rFont val="Arial"/>
            <family val="2"/>
          </rPr>
          <t xml:space="preserve">1/5 — pas bon du tout
Rouge : son tanin durcit au contact de la panure (P34).
Principes de Pat : P34</t>
        </r>
      </text>
    </comment>
    <comment ref="F32" authorId="0">
      <text>
        <r>
          <rPr>
            <sz val="10"/>
            <rFont val="Arial"/>
            <family val="2"/>
          </rPr>
          <t xml:space="preserve">2/5 — médiocre
Rouge : son tanin durcit au contact de la panure (P34) ; seule sa légèreté limite les dégâts (P20).
Principes de Pat : P34, P20</t>
        </r>
      </text>
    </comment>
    <comment ref="F33" authorId="0">
      <text>
        <r>
          <rPr>
            <sz val="10"/>
            <rFont val="Arial"/>
            <family val="2"/>
          </rPr>
          <t xml:space="preserve">1/5 — pas bon du tout
Rouge : son tanin durcit au contact de la panure (P34).
Principes de Pat : P34</t>
        </r>
      </text>
    </comment>
    <comment ref="F34" authorId="0">
      <text>
        <r>
          <rPr>
            <sz val="10"/>
            <rFont val="Arial"/>
            <family val="2"/>
          </rPr>
          <t xml:space="preserve">1/5 — pas bon du tout
Rouge : son tanin durcit au contact de la panure (P34).
Principes de Pat : P34</t>
        </r>
      </text>
    </comment>
    <comment ref="F35" authorId="0">
      <text>
        <r>
          <rPr>
            <sz val="10"/>
            <rFont val="Arial"/>
            <family val="2"/>
          </rPr>
          <t xml:space="preserve">1/5 — pas bon du tout
Rouge : son tanin durcit au contact de la panure (P34).
Principes de Pat : P34</t>
        </r>
      </text>
    </comment>
    <comment ref="F36" authorId="0">
      <text>
        <r>
          <rPr>
            <sz val="10"/>
            <rFont val="Arial"/>
            <family val="2"/>
          </rPr>
          <t xml:space="preserve">1/5 — pas bon du tout
Rouge : son tanin durcit au contact de la panure (P34).
Principes de Pat : P34</t>
        </r>
      </text>
    </comment>
    <comment ref="F37" authorId="0">
      <text>
        <r>
          <rPr>
            <sz val="10"/>
            <rFont val="Arial"/>
            <family val="2"/>
          </rPr>
          <t xml:space="preserve">1/5 — pas bon du tout
Rouge : son tanin durcit au contact de la panure (P34).
Principes de Pat : P34</t>
        </r>
      </text>
    </comment>
    <comment ref="F38" authorId="0">
      <text>
        <r>
          <rPr>
            <sz val="10"/>
            <rFont val="Arial"/>
            <family val="2"/>
          </rPr>
          <t xml:space="preserve">2/5 — médiocre
Rouge : son tanin durcit au contact de la panure (P34) ; seule sa légèreté limite les dégâts (P20).
Principes de Pat : P34, P20</t>
        </r>
      </text>
    </comment>
    <comment ref="F39" authorId="0">
      <text>
        <r>
          <rPr>
            <sz val="10"/>
            <rFont val="Arial"/>
            <family val="2"/>
          </rPr>
          <t xml:space="preserve">2/5 — médiocre
Rouge : son tanin durcit au contact de la panure (P34) ; seule sa légèreté limite les dégâts (P20).
Principes de Pat : P34, P20</t>
        </r>
      </text>
    </comment>
    <comment ref="F40" authorId="0">
      <text>
        <r>
          <rPr>
            <sz val="10"/>
            <rFont val="Arial"/>
            <family val="2"/>
          </rPr>
          <t xml:space="preserve">1/5 — pas bon du tout
Rouge : son tanin durcit au contact de la panure (P34).
Principes de Pat : P34</t>
        </r>
      </text>
    </comment>
    <comment ref="F41" authorId="0">
      <text>
        <r>
          <rPr>
            <sz val="10"/>
            <rFont val="Arial"/>
            <family val="2"/>
          </rPr>
          <t xml:space="preserve">1/5 — pas bon du tout
Rouge : son tanin durcit au contact de la panure (P34).
Principes de Pat : P34</t>
        </r>
      </text>
    </comment>
    <comment ref="F42" authorId="0">
      <text>
        <r>
          <rPr>
            <sz val="10"/>
            <rFont val="Arial"/>
            <family val="2"/>
          </rPr>
          <t xml:space="preserve">1/5 — pas bon du tout
Rouge : son tanin durcit au contact de la panure (P34).
Principes de Pat : P34</t>
        </r>
      </text>
    </comment>
    <comment ref="F43" authorId="0">
      <text>
        <r>
          <rPr>
            <sz val="10"/>
            <rFont val="Arial"/>
            <family val="2"/>
          </rPr>
          <t xml:space="preserve">1/5 — pas bon du tout
Rouge : son tanin durcit au contact de la panure (P34).
Principes de Pat : P34</t>
        </r>
      </text>
    </comment>
    <comment ref="F44" authorId="0">
      <text>
        <r>
          <rPr>
            <sz val="10"/>
            <rFont val="Arial"/>
            <family val="2"/>
          </rPr>
          <t xml:space="preserve">1/5 — pas bon du tout
Rouge : son tanin durcit au contact de la panure (P34).
Principes de Pat : P34</t>
        </r>
      </text>
    </comment>
    <comment ref="F45" authorId="0">
      <text>
        <r>
          <rPr>
            <sz val="10"/>
            <rFont val="Arial"/>
            <family val="2"/>
          </rPr>
          <t xml:space="preserve">1/5 — pas bon du tout
Rouge : son tanin durcit au contact de la panure (P34).
Principes de Pat : P34</t>
        </r>
      </text>
    </comment>
    <comment ref="F46" authorId="0">
      <text>
        <r>
          <rPr>
            <sz val="10"/>
            <rFont val="Arial"/>
            <family val="2"/>
          </rPr>
          <t xml:space="preserve">1/5 — pas bon du tout
Rouge : son tanin durcit au contact de la panure (P34).
Principes de Pat : P34</t>
        </r>
      </text>
    </comment>
    <comment ref="F47" authorId="0">
      <text>
        <r>
          <rPr>
            <sz val="10"/>
            <rFont val="Arial"/>
            <family val="2"/>
          </rPr>
          <t xml:space="preserve">1/5 — pas bon du tout
Rouge : son tanin durcit au contact de la panure (P34).
Principes de Pat : P34</t>
        </r>
      </text>
    </comment>
    <comment ref="F48" authorId="0">
      <text>
        <r>
          <rPr>
            <sz val="10"/>
            <rFont val="Arial"/>
            <family val="2"/>
          </rPr>
          <t xml:space="preserve">1/5 — pas bon du tout
Rouge : son tanin durcit au contact de la panure (P34).
Principes de Pat : P34</t>
        </r>
      </text>
    </comment>
    <comment ref="F49" authorId="0">
      <text>
        <r>
          <rPr>
            <sz val="10"/>
            <rFont val="Arial"/>
            <family val="2"/>
          </rPr>
          <t xml:space="preserve">1/5 — pas bon du tout
Rouge : son tanin durcit au contact de la panure (P34).
Principes de Pat : P34</t>
        </r>
      </text>
    </comment>
    <comment ref="F50" authorId="0">
      <text>
        <r>
          <rPr>
            <sz val="10"/>
            <rFont val="Arial"/>
            <family val="2"/>
          </rPr>
          <t xml:space="preserve">1/5 — pas bon du tout
Rouge : son tanin durcit au contact de la panure (P34).
Principes de Pat : P34</t>
        </r>
      </text>
    </comment>
    <comment ref="F51" authorId="0">
      <text>
        <r>
          <rPr>
            <sz val="10"/>
            <rFont val="Arial"/>
            <family val="2"/>
          </rPr>
          <t xml:space="preserve">1/5 — pas bon du tout
Rouge : son tanin durcit au contact de la panure (P34).
Principes de Pat : P34</t>
        </r>
      </text>
    </comment>
    <comment ref="F52" authorId="0">
      <text>
        <r>
          <rPr>
            <sz val="10"/>
            <rFont val="Arial"/>
            <family val="2"/>
          </rPr>
          <t xml:space="preserve">1/5 — pas bon du tout
Rouge : son tanin durcit au contact de la panure (P34).
Principes de Pat : P34</t>
        </r>
      </text>
    </comment>
    <comment ref="F53" authorId="0">
      <text>
        <r>
          <rPr>
            <sz val="10"/>
            <rFont val="Arial"/>
            <family val="2"/>
          </rPr>
          <t xml:space="preserve">1/5 — pas bon du tout
Rouge : son tanin durcit au contact de la panure (P34).
Principes de Pat : P34</t>
        </r>
      </text>
    </comment>
    <comment ref="F54" authorId="0">
      <text>
        <r>
          <rPr>
            <sz val="10"/>
            <rFont val="Arial"/>
            <family val="2"/>
          </rPr>
          <t xml:space="preserve">1/5 — pas bon du tout
Rouge : son tanin durcit au contact de la panure (P34).
Principes de Pat : P34</t>
        </r>
      </text>
    </comment>
    <comment ref="F55" authorId="0">
      <text>
        <r>
          <rPr>
            <sz val="10"/>
            <rFont val="Arial"/>
            <family val="2"/>
          </rPr>
          <t xml:space="preserve">1/5 — pas bon du tout
Rouge : son tanin durcit au contact de la panure (P34).
Principes de Pat : P34</t>
        </r>
      </text>
    </comment>
    <comment ref="F56" authorId="0">
      <text>
        <r>
          <rPr>
            <sz val="10"/>
            <rFont val="Arial"/>
            <family val="2"/>
          </rPr>
          <t xml:space="preserve">1/5 — pas bon du tout
Rouge : son tanin durcit au contact de la panure (P34).
Principes de Pat : P34</t>
        </r>
      </text>
    </comment>
    <comment ref="F57" authorId="0">
      <text>
        <r>
          <rPr>
            <sz val="10"/>
            <rFont val="Arial"/>
            <family val="2"/>
          </rPr>
          <t xml:space="preserve">1/5 — pas bon du tout
Rouge : son tanin durcit au contact de la panure (P34).
Principes de Pat : P34</t>
        </r>
      </text>
    </comment>
    <comment ref="F58" authorId="0">
      <text>
        <r>
          <rPr>
            <sz val="10"/>
            <rFont val="Arial"/>
            <family val="2"/>
          </rPr>
          <t xml:space="preserve">2/5 — médiocre
Rouge : son tanin durcit au contact de la panure (P34) ; seule sa légèreté limite les dégâts (P20).
Principes de Pat : P34, P20</t>
        </r>
      </text>
    </comment>
    <comment ref="F59" authorId="0">
      <text>
        <r>
          <rPr>
            <sz val="10"/>
            <rFont val="Arial"/>
            <family val="2"/>
          </rPr>
          <t xml:space="preserve">1/5 — pas bon du tout
Rouge : son tanin durcit au contact de la panure (P34).
Principes de Pat : P34</t>
        </r>
      </text>
    </comment>
    <comment ref="F60" authorId="0">
      <text>
        <r>
          <rPr>
            <sz val="10"/>
            <rFont val="Arial"/>
            <family val="2"/>
          </rPr>
          <t xml:space="preserve">1/5 — pas bon du tout
Rouge : son tanin durcit au contact de la panure (P34).
Principes de Pat : P34</t>
        </r>
      </text>
    </comment>
    <comment ref="F61" authorId="0">
      <text>
        <r>
          <rPr>
            <sz val="10"/>
            <rFont val="Arial"/>
            <family val="2"/>
          </rPr>
          <t xml:space="preserve">1/5 — pas bon du tout
Rouge : son tanin durcit au contact de la panure (P34).
Principes de Pat : P34</t>
        </r>
      </text>
    </comment>
    <comment ref="F62" authorId="0">
      <text>
        <r>
          <rPr>
            <sz val="10"/>
            <rFont val="Arial"/>
            <family val="2"/>
          </rPr>
          <t xml:space="preserve">1/5 — pas bon du tout
Rouge : son tanin durcit au contact de la panure (P34).
Principes de Pat : P34</t>
        </r>
      </text>
    </comment>
    <comment ref="F63" authorId="0">
      <text>
        <r>
          <rPr>
            <sz val="10"/>
            <rFont val="Arial"/>
            <family val="2"/>
          </rPr>
          <t xml:space="preserve">1/5 — pas bon du tout
Rouge : son tanin durcit au contact de la panure (P34).
Principes de Pat : P34</t>
        </r>
      </text>
    </comment>
    <comment ref="F64" authorId="0">
      <text>
        <r>
          <rPr>
            <sz val="10"/>
            <rFont val="Arial"/>
            <family val="2"/>
          </rPr>
          <t xml:space="preserve">1/5 — pas bon du tout
Rouge : son tanin durcit au contact de la panure (P34).
Principes de Pat : P34</t>
        </r>
      </text>
    </comment>
    <comment ref="F65" authorId="0">
      <text>
        <r>
          <rPr>
            <sz val="10"/>
            <rFont val="Arial"/>
            <family val="2"/>
          </rPr>
          <t xml:space="preserve">1/5 — pas bon du tout
Rouge : son tanin durcit au contact de la panure (P34).
Principes de Pat : P34</t>
        </r>
      </text>
    </comment>
    <comment ref="F66" authorId="0">
      <text>
        <r>
          <rPr>
            <sz val="10"/>
            <rFont val="Arial"/>
            <family val="2"/>
          </rPr>
          <t xml:space="preserve">1/5 — pas bon du tout
Rouge : son tanin durcit au contact de la panure (P34).
Principes de Pat : P34</t>
        </r>
      </text>
    </comment>
    <comment ref="F67" authorId="0">
      <text>
        <r>
          <rPr>
            <sz val="10"/>
            <rFont val="Arial"/>
            <family val="2"/>
          </rPr>
          <t xml:space="preserve">1/5 — pas bon du tout
Rouge : son tanin durcit au contact de la panure (P34).
Principes de Pat : P34</t>
        </r>
      </text>
    </comment>
    <comment ref="F68" authorId="0">
      <text>
        <r>
          <rPr>
            <sz val="10"/>
            <rFont val="Arial"/>
            <family val="2"/>
          </rPr>
          <t xml:space="preserve">1/5 — pas bon du tout
Rouge : son tanin durcit au contact de la panure (P34).
Principes de Pat : P34</t>
        </r>
      </text>
    </comment>
    <comment ref="F70" authorId="0">
      <text>
        <r>
          <rPr>
            <sz val="10"/>
            <rFont val="Arial"/>
            <family val="2"/>
          </rPr>
          <t xml:space="preserve">3/5 — correct
Acidité trop faible face aux câpres et cornichons (P23).
Principes de Pat : P23</t>
        </r>
      </text>
    </comment>
    <comment ref="F71" authorId="0">
      <text>
        <r>
          <rPr>
            <sz val="10"/>
            <rFont val="Arial"/>
            <family val="2"/>
          </rPr>
          <t xml:space="preserve">3/5 — correct
Acidité trop faible face aux câpres et cornichons (P23).
Principes de Pat : P23</t>
        </r>
      </text>
    </comment>
    <comment ref="F73" authorId="0">
      <text>
        <r>
          <rPr>
            <sz val="10"/>
            <rFont val="Arial"/>
            <family val="2"/>
          </rPr>
          <t xml:space="preserve">3/5 — correct
Acidité trop faible face aux câpres et cornichons (P23).
Principes de Pat : P23</t>
        </r>
      </text>
    </comment>
    <comment ref="F74" authorId="0">
      <text>
        <r>
          <rPr>
            <sz val="10"/>
            <rFont val="Arial"/>
            <family val="2"/>
          </rPr>
          <t xml:space="preserve">4/5 — très bon
L'émulsion à l'œuf de la tartare plafonne l'accord (P10, P35) ; la bulle et l'acidité nettoient la friture (P34).
Principes de Pat : P10, P35, P34</t>
        </r>
      </text>
    </comment>
    <comment ref="F75" authorId="0">
      <text>
        <r>
          <rPr>
            <sz val="10"/>
            <rFont val="Arial"/>
            <family val="2"/>
          </rPr>
          <t xml:space="preserve">4/5 — très bon
L'émulsion à l'œuf de la tartare plafonne l'accord (P10, P35) ; la bulle et l'acidité nettoient la friture (P34).
Principes de Pat : P10, P35, P34</t>
        </r>
      </text>
    </comment>
    <comment ref="F76" authorId="0">
      <text>
        <r>
          <rPr>
            <sz val="10"/>
            <rFont val="Arial"/>
            <family val="2"/>
          </rPr>
          <t xml:space="preserve">3/5 — correct
Tanin trop présent pour la panure (P34) ; acidité trop faible face aux câpres et cornichons (P23).
Principes de Pat : P34, P23</t>
        </r>
      </text>
    </comment>
    <comment ref="F77" authorId="0">
      <text>
        <r>
          <rPr>
            <sz val="10"/>
            <rFont val="Arial"/>
            <family val="2"/>
          </rPr>
          <t xml:space="preserve">4/5 — très bon
L'émulsion à l'œuf de la tartare plafonne l'accord (P10, P35) ; la bulle et l'acidité nettoient la friture (P34).
Principes de Pat : P10, P35, P34</t>
        </r>
      </text>
    </comment>
    <comment ref="F78" authorId="0">
      <text>
        <r>
          <rPr>
            <sz val="10"/>
            <rFont val="Arial"/>
            <family val="2"/>
          </rPr>
          <t xml:space="preserve">4/5 — très bon
L'émulsion à l'œuf de la tartare plafonne l'accord (P10, P35) ; la bulle et l'acidité nettoient la friture (P34).
Principes de Pat : P10, P35, P34</t>
        </r>
      </text>
    </comment>
    <comment ref="F79" authorId="0">
      <text>
        <r>
          <rPr>
            <sz val="10"/>
            <rFont val="Arial"/>
            <family val="2"/>
          </rPr>
          <t xml:space="preserve">4/5 — très bon
L'émulsion à l'œuf de la tartare plafonne l'accord (P10, P35) ; la bulle et l'acidité nettoient la friture (P34).
Principes de Pat : P10, P35, P34</t>
        </r>
      </text>
    </comment>
    <comment ref="F81" authorId="0">
      <text>
        <r>
          <rPr>
            <sz val="10"/>
            <rFont val="Arial"/>
            <family val="2"/>
          </rPr>
          <t xml:space="preserve">1/5 — pas bon du tout
Liquoreux hors de propos sur un plat salé qui n'appelle pas de sucre (P20, P4).
Principes de Pat : P20, P4</t>
        </r>
      </text>
    </comment>
    <comment ref="G7" authorId="0">
      <text>
        <r>
          <rPr>
            <sz val="10"/>
            <rFont val="Arial"/>
            <family val="2"/>
          </rPr>
          <t xml:space="preserve">4/5 — très bon
Blanc tendu, léger, sans bois : profil qui convient, sans point d'ancrage décisif (P20, P3).
Principes de Pat : P20, P3</t>
        </r>
      </text>
    </comment>
    <comment ref="G8" authorId="0">
      <text>
        <r>
          <rPr>
            <sz val="10"/>
            <rFont val="Arial"/>
            <family val="2"/>
          </rPr>
          <t xml:space="preserve">4/5 — très bon
Blanc tendu, de poids moyen, sans bois : profil qui convient, sans point d'ancrage décisif (P20, P3).
Principes de Pat : P20, P3</t>
        </r>
      </text>
    </comment>
    <comment ref="G9" authorId="0">
      <text>
        <r>
          <rPr>
            <sz val="10"/>
            <rFont val="Arial"/>
            <family val="2"/>
          </rPr>
          <t xml:space="preserve">5/5 — accord parfait
L'élevage sur lies donne la chair qui répond au beurre noisette, sans bois (P39, P3).
Principes de Pat : P39, P3</t>
        </r>
      </text>
    </comment>
    <comment ref="G10" authorId="0">
      <text>
        <r>
          <rPr>
            <sz val="10"/>
            <rFont val="Arial"/>
            <family val="2"/>
          </rPr>
          <t xml:space="preserve">2/5 — médiocre
Le bois couvre la finesse et amplifie l'amertume (P19).
Principes de Pat : P19</t>
        </r>
      </text>
    </comment>
    <comment ref="G11" authorId="0">
      <text>
        <r>
          <rPr>
            <sz val="10"/>
            <rFont val="Arial"/>
            <family val="2"/>
          </rPr>
          <t xml:space="preserve">5/5 — accord parfait
L'élevage sur lies donne la chair qui répond au beurre noisette, sans bois (P39, P3).
Principes de Pat : P39, P3</t>
        </r>
      </text>
    </comment>
    <comment ref="G12" authorId="0">
      <text>
        <r>
          <rPr>
            <sz val="10"/>
            <rFont val="Arial"/>
            <family val="2"/>
          </rPr>
          <t xml:space="preserve">2/5 — médiocre
Le bois couvre la finesse et amplifie l'amertume (P19) ; acidité trop faible face au beurre noisette (P3).
Principes de Pat : P19, P3</t>
        </r>
      </text>
    </comment>
    <comment ref="G13" authorId="0">
      <text>
        <r>
          <rPr>
            <sz val="10"/>
            <rFont val="Arial"/>
            <family val="2"/>
          </rPr>
          <t xml:space="preserve">2/5 — médiocre
Le bois couvre la finesse et amplifie l'amertume (P19) ; acidité trop faible face au beurre noisette (P3).
Principes de Pat : P19, P3</t>
        </r>
      </text>
    </comment>
    <comment ref="G14" authorId="0">
      <text>
        <r>
          <rPr>
            <sz val="10"/>
            <rFont val="Arial"/>
            <family val="2"/>
          </rPr>
          <t xml:space="preserve">2/5 — médiocre
Le bois couvre la finesse et amplifie l'amertume (P19).
Principes de Pat : P19</t>
        </r>
      </text>
    </comment>
    <comment ref="G15" authorId="0">
      <text>
        <r>
          <rPr>
            <sz val="10"/>
            <rFont val="Arial"/>
            <family val="2"/>
          </rPr>
          <t xml:space="preserve">2/5 — médiocre
Le bois couvre la finesse et amplifie l'amertume (P19).
Principes de Pat : P19</t>
        </r>
      </text>
    </comment>
    <comment ref="G16" authorId="0">
      <text>
        <r>
          <rPr>
            <sz val="10"/>
            <rFont val="Arial"/>
            <family val="2"/>
          </rPr>
          <t xml:space="preserve">1/5 — pas bon du tout
Le bois couvre la finesse et amplifie l'amertume (P19) ; acidité trop faible face au beurre noisette (P3).
Principes de Pat : P19, P3</t>
        </r>
      </text>
    </comment>
    <comment ref="G17" authorId="0">
      <text>
        <r>
          <rPr>
            <sz val="10"/>
            <rFont val="Arial"/>
            <family val="2"/>
          </rPr>
          <t xml:space="preserve">1/5 — pas bon du tout
Le bois couvre la finesse et amplifie l'amertume (P19) ; acidité trop faible face au beurre noisette (P3).
Principes de Pat : P19, P3</t>
        </r>
      </text>
    </comment>
    <comment ref="G18" authorId="0">
      <text>
        <r>
          <rPr>
            <sz val="10"/>
            <rFont val="Arial"/>
            <family val="2"/>
          </rPr>
          <t xml:space="preserve">1/5 — pas bon du tout
Le bois couvre la finesse et amplifie l'amertume (P19) ; acidité trop faible face au beurre noisette (P3).
Principes de Pat : P19, P3</t>
        </r>
      </text>
    </comment>
    <comment ref="G19" authorId="0">
      <text>
        <r>
          <rPr>
            <sz val="10"/>
            <rFont val="Arial"/>
            <family val="2"/>
          </rPr>
          <t xml:space="preserve">2/5 — médiocre
Le bois couvre la finesse et amplifie l'amertume (P19).
Principes de Pat : P19</t>
        </r>
      </text>
    </comment>
    <comment ref="G20" authorId="0">
      <text>
        <r>
          <rPr>
            <sz val="10"/>
            <rFont val="Arial"/>
            <family val="2"/>
          </rPr>
          <t xml:space="preserve">2/5 — médiocre
Le bois couvre la finesse et amplifie l'amertume (P19) ; acidité trop faible face au beurre noisette (P3).
Principes de Pat : P19, P3</t>
        </r>
      </text>
    </comment>
    <comment ref="G21" authorId="0">
      <text>
        <r>
          <rPr>
            <sz val="10"/>
            <rFont val="Arial"/>
            <family val="2"/>
          </rPr>
          <t xml:space="preserve">1/5 — pas bon du tout
Acidité trop faible face au beurre noisette (P3) ; le bois couvre la finesse et amplifie l'amertume (P19).
Principes de Pat : P3, P19</t>
        </r>
      </text>
    </comment>
    <comment ref="G22" authorId="0">
      <text>
        <r>
          <rPr>
            <sz val="10"/>
            <rFont val="Arial"/>
            <family val="2"/>
          </rPr>
          <t xml:space="preserve">1/5 — pas bon du tout
Acidité trop faible face au beurre noisette (P3) ; le bois couvre la finesse et amplifie l'amertume (P19).
Principes de Pat : P3, P19</t>
        </r>
      </text>
    </comment>
    <comment ref="G23" authorId="0">
      <text>
        <r>
          <rPr>
            <sz val="10"/>
            <rFont val="Arial"/>
            <family val="2"/>
          </rPr>
          <t xml:space="preserve">3/5 — correct
Acidité trop faible face au beurre noisette (P3).
Principes de Pat : P3</t>
        </r>
      </text>
    </comment>
    <comment ref="G24" authorId="0">
      <text>
        <r>
          <rPr>
            <sz val="10"/>
            <rFont val="Arial"/>
            <family val="2"/>
          </rPr>
          <t xml:space="preserve">4/5 — très bon
Blanc tendu, léger, sans bois : profil qui convient, sans point d'ancrage décisif (P20, P3).
Principes de Pat : P20, P3</t>
        </r>
      </text>
    </comment>
    <comment ref="G25" authorId="0">
      <text>
        <r>
          <rPr>
            <sz val="10"/>
            <rFont val="Arial"/>
            <family val="2"/>
          </rPr>
          <t xml:space="preserve">2/5 — médiocre
Le bois couvre la finesse et amplifie l'amertume (P19) ; acidité trop faible face au beurre noisette (P3).
Principes de Pat : P19, P3</t>
        </r>
      </text>
    </comment>
    <comment ref="G26" authorId="0">
      <text>
        <r>
          <rPr>
            <sz val="10"/>
            <rFont val="Arial"/>
            <family val="2"/>
          </rPr>
          <t xml:space="preserve">3/5 — correct
Le bois couvre la finesse et amplifie l'amertume (P19).
Principes de Pat : P19</t>
        </r>
      </text>
    </comment>
    <comment ref="G27" authorId="0">
      <text>
        <r>
          <rPr>
            <sz val="10"/>
            <rFont val="Arial"/>
            <family val="2"/>
          </rPr>
          <t xml:space="preserve">4/5 — très bon
Blanc tendu, léger, sans bois : profil qui convient, sans point d'ancrage décisif (P20, P3).
Principes de Pat : P20, P3</t>
        </r>
      </text>
    </comment>
    <comment ref="G29" authorId="0">
      <text>
        <r>
          <rPr>
            <sz val="10"/>
            <rFont val="Arial"/>
            <family val="2"/>
          </rPr>
          <t xml:space="preserve">2/5 — médiocre
Rouge : son tanin durcit au contact de la chair fine (P24) ; seule sa légèreté limite les dégâts (P20).
Principes de Pat : P24, P20</t>
        </r>
      </text>
    </comment>
    <comment ref="G30" authorId="0">
      <text>
        <r>
          <rPr>
            <sz val="10"/>
            <rFont val="Arial"/>
            <family val="2"/>
          </rPr>
          <t xml:space="preserve">1/5 — pas bon du tout
Rouge : son tanin durcit au contact de la chair fine (P24).
Principes de Pat : P24</t>
        </r>
      </text>
    </comment>
    <comment ref="G31" authorId="0">
      <text>
        <r>
          <rPr>
            <sz val="10"/>
            <rFont val="Arial"/>
            <family val="2"/>
          </rPr>
          <t xml:space="preserve">1/5 — pas bon du tout
Rouge : son tanin durcit au contact de la chair fine (P24).
Principes de Pat : P24</t>
        </r>
      </text>
    </comment>
    <comment ref="G32" authorId="0">
      <text>
        <r>
          <rPr>
            <sz val="10"/>
            <rFont val="Arial"/>
            <family val="2"/>
          </rPr>
          <t xml:space="preserve">2/5 — médiocre
Rouge : son tanin durcit au contact de la chair fine (P24) ; seule sa légèreté limite les dégâts (P20).
Principes de Pat : P24, P20</t>
        </r>
      </text>
    </comment>
    <comment ref="G33" authorId="0">
      <text>
        <r>
          <rPr>
            <sz val="10"/>
            <rFont val="Arial"/>
            <family val="2"/>
          </rPr>
          <t xml:space="preserve">1/5 — pas bon du tout
Rouge : son tanin durcit au contact de la chair fine (P24).
Principes de Pat : P24</t>
        </r>
      </text>
    </comment>
    <comment ref="G34" authorId="0">
      <text>
        <r>
          <rPr>
            <sz val="10"/>
            <rFont val="Arial"/>
            <family val="2"/>
          </rPr>
          <t xml:space="preserve">1/5 — pas bon du tout
Rouge : son tanin durcit au contact de la chair fine (P24).
Principes de Pat : P24</t>
        </r>
      </text>
    </comment>
    <comment ref="G35" authorId="0">
      <text>
        <r>
          <rPr>
            <sz val="10"/>
            <rFont val="Arial"/>
            <family val="2"/>
          </rPr>
          <t xml:space="preserve">1/5 — pas bon du tout
Rouge : son tanin durcit au contact de la chair fine (P24).
Principes de Pat : P24</t>
        </r>
      </text>
    </comment>
    <comment ref="G36" authorId="0">
      <text>
        <r>
          <rPr>
            <sz val="10"/>
            <rFont val="Arial"/>
            <family val="2"/>
          </rPr>
          <t xml:space="preserve">1/5 — pas bon du tout
Rouge : son tanin durcit au contact de la chair fine (P24).
Principes de Pat : P24</t>
        </r>
      </text>
    </comment>
    <comment ref="G37" authorId="0">
      <text>
        <r>
          <rPr>
            <sz val="10"/>
            <rFont val="Arial"/>
            <family val="2"/>
          </rPr>
          <t xml:space="preserve">1/5 — pas bon du tout
Rouge : son tanin durcit au contact de la chair fine (P24).
Principes de Pat : P24</t>
        </r>
      </text>
    </comment>
    <comment ref="G38" authorId="0">
      <text>
        <r>
          <rPr>
            <sz val="10"/>
            <rFont val="Arial"/>
            <family val="2"/>
          </rPr>
          <t xml:space="preserve">2/5 — médiocre
Rouge : son tanin durcit au contact de la chair fine (P24) ; seule sa légèreté limite les dégâts (P20).
Principes de Pat : P24, P20</t>
        </r>
      </text>
    </comment>
    <comment ref="G39" authorId="0">
      <text>
        <r>
          <rPr>
            <sz val="10"/>
            <rFont val="Arial"/>
            <family val="2"/>
          </rPr>
          <t xml:space="preserve">2/5 — médiocre
Rouge : son tanin durcit au contact de la chair fine (P24) ; seule sa légèreté limite les dégâts (P20).
Principes de Pat : P24, P20</t>
        </r>
      </text>
    </comment>
    <comment ref="G40" authorId="0">
      <text>
        <r>
          <rPr>
            <sz val="10"/>
            <rFont val="Arial"/>
            <family val="2"/>
          </rPr>
          <t xml:space="preserve">1/5 — pas bon du tout
Rouge : son tanin durcit au contact de la chair fine (P24).
Principes de Pat : P24</t>
        </r>
      </text>
    </comment>
    <comment ref="G41" authorId="0">
      <text>
        <r>
          <rPr>
            <sz val="10"/>
            <rFont val="Arial"/>
            <family val="2"/>
          </rPr>
          <t xml:space="preserve">1/5 — pas bon du tout
Rouge : son tanin durcit au contact de la chair fine (P24).
Principes de Pat : P24</t>
        </r>
      </text>
    </comment>
    <comment ref="G42" authorId="0">
      <text>
        <r>
          <rPr>
            <sz val="10"/>
            <rFont val="Arial"/>
            <family val="2"/>
          </rPr>
          <t xml:space="preserve">1/5 — pas bon du tout
Rouge : son tanin durcit au contact de la chair fine (P24).
Principes de Pat : P24</t>
        </r>
      </text>
    </comment>
    <comment ref="G43" authorId="0">
      <text>
        <r>
          <rPr>
            <sz val="10"/>
            <rFont val="Arial"/>
            <family val="2"/>
          </rPr>
          <t xml:space="preserve">1/5 — pas bon du tout
Rouge : son tanin durcit au contact de la chair fine (P24).
Principes de Pat : P24</t>
        </r>
      </text>
    </comment>
    <comment ref="G44" authorId="0">
      <text>
        <r>
          <rPr>
            <sz val="10"/>
            <rFont val="Arial"/>
            <family val="2"/>
          </rPr>
          <t xml:space="preserve">1/5 — pas bon du tout
Rouge : son tanin durcit au contact de la chair fine (P24).
Principes de Pat : P24</t>
        </r>
      </text>
    </comment>
    <comment ref="G45" authorId="0">
      <text>
        <r>
          <rPr>
            <sz val="10"/>
            <rFont val="Arial"/>
            <family val="2"/>
          </rPr>
          <t xml:space="preserve">1/5 — pas bon du tout
Rouge : son tanin durcit au contact de la chair fine (P24).
Principes de Pat : P24</t>
        </r>
      </text>
    </comment>
    <comment ref="G46" authorId="0">
      <text>
        <r>
          <rPr>
            <sz val="10"/>
            <rFont val="Arial"/>
            <family val="2"/>
          </rPr>
          <t xml:space="preserve">1/5 — pas bon du tout
Rouge : son tanin durcit au contact de la chair fine (P24).
Principes de Pat : P24</t>
        </r>
      </text>
    </comment>
    <comment ref="G47" authorId="0">
      <text>
        <r>
          <rPr>
            <sz val="10"/>
            <rFont val="Arial"/>
            <family val="2"/>
          </rPr>
          <t xml:space="preserve">1/5 — pas bon du tout
Rouge : son tanin durcit au contact de la chair fine (P24).
Principes de Pat : P24</t>
        </r>
      </text>
    </comment>
    <comment ref="G48" authorId="0">
      <text>
        <r>
          <rPr>
            <sz val="10"/>
            <rFont val="Arial"/>
            <family val="2"/>
          </rPr>
          <t xml:space="preserve">1/5 — pas bon du tout
Rouge : son tanin durcit au contact de la chair fine (P24).
Principes de Pat : P24</t>
        </r>
      </text>
    </comment>
    <comment ref="G49" authorId="0">
      <text>
        <r>
          <rPr>
            <sz val="10"/>
            <rFont val="Arial"/>
            <family val="2"/>
          </rPr>
          <t xml:space="preserve">1/5 — pas bon du tout
Rouge : son tanin durcit au contact de la chair fine (P24).
Principes de Pat : P24</t>
        </r>
      </text>
    </comment>
    <comment ref="G50" authorId="0">
      <text>
        <r>
          <rPr>
            <sz val="10"/>
            <rFont val="Arial"/>
            <family val="2"/>
          </rPr>
          <t xml:space="preserve">1/5 — pas bon du tout
Rouge : son tanin durcit au contact de la chair fine (P24).
Principes de Pat : P24</t>
        </r>
      </text>
    </comment>
    <comment ref="G51" authorId="0">
      <text>
        <r>
          <rPr>
            <sz val="10"/>
            <rFont val="Arial"/>
            <family val="2"/>
          </rPr>
          <t xml:space="preserve">1/5 — pas bon du tout
Rouge : son tanin durcit au contact de la chair fine (P24).
Principes de Pat : P24</t>
        </r>
      </text>
    </comment>
    <comment ref="G52" authorId="0">
      <text>
        <r>
          <rPr>
            <sz val="10"/>
            <rFont val="Arial"/>
            <family val="2"/>
          </rPr>
          <t xml:space="preserve">1/5 — pas bon du tout
Rouge : son tanin durcit au contact de la chair fine (P24).
Principes de Pat : P24</t>
        </r>
      </text>
    </comment>
    <comment ref="G53" authorId="0">
      <text>
        <r>
          <rPr>
            <sz val="10"/>
            <rFont val="Arial"/>
            <family val="2"/>
          </rPr>
          <t xml:space="preserve">1/5 — pas bon du tout
Rouge : son tanin durcit au contact de la chair fine (P24).
Principes de Pat : P24</t>
        </r>
      </text>
    </comment>
    <comment ref="G54" authorId="0">
      <text>
        <r>
          <rPr>
            <sz val="10"/>
            <rFont val="Arial"/>
            <family val="2"/>
          </rPr>
          <t xml:space="preserve">1/5 — pas bon du tout
Rouge : son tanin durcit au contact de la chair fine (P24).
Principes de Pat : P24</t>
        </r>
      </text>
    </comment>
    <comment ref="G55" authorId="0">
      <text>
        <r>
          <rPr>
            <sz val="10"/>
            <rFont val="Arial"/>
            <family val="2"/>
          </rPr>
          <t xml:space="preserve">1/5 — pas bon du tout
Rouge : son tanin durcit au contact de la chair fine (P24).
Principes de Pat : P24</t>
        </r>
      </text>
    </comment>
    <comment ref="G56" authorId="0">
      <text>
        <r>
          <rPr>
            <sz val="10"/>
            <rFont val="Arial"/>
            <family val="2"/>
          </rPr>
          <t xml:space="preserve">1/5 — pas bon du tout
Rouge : son tanin durcit au contact de la chair fine (P24).
Principes de Pat : P24</t>
        </r>
      </text>
    </comment>
    <comment ref="G57" authorId="0">
      <text>
        <r>
          <rPr>
            <sz val="10"/>
            <rFont val="Arial"/>
            <family val="2"/>
          </rPr>
          <t xml:space="preserve">1/5 — pas bon du tout
Rouge : son tanin durcit au contact de la chair fine (P24).
Principes de Pat : P24</t>
        </r>
      </text>
    </comment>
    <comment ref="G58" authorId="0">
      <text>
        <r>
          <rPr>
            <sz val="10"/>
            <rFont val="Arial"/>
            <family val="2"/>
          </rPr>
          <t xml:space="preserve">2/5 — médiocre
Rouge : son tanin durcit au contact de la chair fine (P24) ; seule sa légèreté limite les dégâts (P20).
Principes de Pat : P24, P20</t>
        </r>
      </text>
    </comment>
    <comment ref="G59" authorId="0">
      <text>
        <r>
          <rPr>
            <sz val="10"/>
            <rFont val="Arial"/>
            <family val="2"/>
          </rPr>
          <t xml:space="preserve">1/5 — pas bon du tout
Rouge : son tanin durcit au contact de la chair fine (P24).
Principes de Pat : P24</t>
        </r>
      </text>
    </comment>
    <comment ref="G60" authorId="0">
      <text>
        <r>
          <rPr>
            <sz val="10"/>
            <rFont val="Arial"/>
            <family val="2"/>
          </rPr>
          <t xml:space="preserve">1/5 — pas bon du tout
Rouge : son tanin durcit au contact de la chair fine (P24).
Principes de Pat : P24</t>
        </r>
      </text>
    </comment>
    <comment ref="G61" authorId="0">
      <text>
        <r>
          <rPr>
            <sz val="10"/>
            <rFont val="Arial"/>
            <family val="2"/>
          </rPr>
          <t xml:space="preserve">1/5 — pas bon du tout
Rouge : son tanin durcit au contact de la chair fine (P24).
Principes de Pat : P24</t>
        </r>
      </text>
    </comment>
    <comment ref="G62" authorId="0">
      <text>
        <r>
          <rPr>
            <sz val="10"/>
            <rFont val="Arial"/>
            <family val="2"/>
          </rPr>
          <t xml:space="preserve">1/5 — pas bon du tout
Rouge : son tanin durcit au contact de la chair fine (P24).
Principes de Pat : P24</t>
        </r>
      </text>
    </comment>
    <comment ref="G63" authorId="0">
      <text>
        <r>
          <rPr>
            <sz val="10"/>
            <rFont val="Arial"/>
            <family val="2"/>
          </rPr>
          <t xml:space="preserve">1/5 — pas bon du tout
Rouge : son tanin durcit au contact de la chair fine (P24).
Principes de Pat : P24</t>
        </r>
      </text>
    </comment>
    <comment ref="G64" authorId="0">
      <text>
        <r>
          <rPr>
            <sz val="10"/>
            <rFont val="Arial"/>
            <family val="2"/>
          </rPr>
          <t xml:space="preserve">1/5 — pas bon du tout
Rouge : son tanin durcit au contact de la chair fine (P24).
Principes de Pat : P24</t>
        </r>
      </text>
    </comment>
    <comment ref="G65" authorId="0">
      <text>
        <r>
          <rPr>
            <sz val="10"/>
            <rFont val="Arial"/>
            <family val="2"/>
          </rPr>
          <t xml:space="preserve">1/5 — pas bon du tout
Rouge : son tanin durcit au contact de la chair fine (P24).
Principes de Pat : P24</t>
        </r>
      </text>
    </comment>
    <comment ref="G66" authorId="0">
      <text>
        <r>
          <rPr>
            <sz val="10"/>
            <rFont val="Arial"/>
            <family val="2"/>
          </rPr>
          <t xml:space="preserve">1/5 — pas bon du tout
Rouge : son tanin durcit au contact de la chair fine (P24).
Principes de Pat : P24</t>
        </r>
      </text>
    </comment>
    <comment ref="G67" authorId="0">
      <text>
        <r>
          <rPr>
            <sz val="10"/>
            <rFont val="Arial"/>
            <family val="2"/>
          </rPr>
          <t xml:space="preserve">1/5 — pas bon du tout
Rouge : son tanin durcit au contact de la chair fine (P24).
Principes de Pat : P24</t>
        </r>
      </text>
    </comment>
    <comment ref="G68" authorId="0">
      <text>
        <r>
          <rPr>
            <sz val="10"/>
            <rFont val="Arial"/>
            <family val="2"/>
          </rPr>
          <t xml:space="preserve">1/5 — pas bon du tout
Rouge : son tanin durcit au contact de la chair fine (P24).
Principes de Pat : P24</t>
        </r>
      </text>
    </comment>
    <comment ref="G70" authorId="0">
      <text>
        <r>
          <rPr>
            <sz val="10"/>
            <rFont val="Arial"/>
            <family val="2"/>
          </rPr>
          <t xml:space="preserve">3/5 — correct
Acidité trop faible face au beurre noisette (P3).
Principes de Pat : P3</t>
        </r>
      </text>
    </comment>
    <comment ref="G71" authorId="0">
      <text>
        <r>
          <rPr>
            <sz val="10"/>
            <rFont val="Arial"/>
            <family val="2"/>
          </rPr>
          <t xml:space="preserve">3/5 — correct
Acidité trop faible face au beurre noisette (P3).
Principes de Pat : P3</t>
        </r>
      </text>
    </comment>
    <comment ref="G73" authorId="0">
      <text>
        <r>
          <rPr>
            <sz val="10"/>
            <rFont val="Arial"/>
            <family val="2"/>
          </rPr>
          <t xml:space="preserve">3/5 — correct
Acidité trop faible face au beurre noisette (P3).
Principes de Pat : P3</t>
        </r>
      </text>
    </comment>
    <comment ref="G74" authorId="0">
      <text>
        <r>
          <rPr>
            <sz val="10"/>
            <rFont val="Arial"/>
            <family val="2"/>
          </rPr>
          <t xml:space="preserve">4/5 — très bon
Effervescent vineux : profil qui convient, sans point d'ancrage décisif (P20, P3).
Principes de Pat : P20, P3</t>
        </r>
      </text>
    </comment>
    <comment ref="G75" authorId="0">
      <text>
        <r>
          <rPr>
            <sz val="10"/>
            <rFont val="Arial"/>
            <family val="2"/>
          </rPr>
          <t xml:space="preserve">4/5 — très bon
Effervescent vineux : profil qui convient, sans point d'ancrage décisif (P20, P3).
Principes de Pat : P20, P3</t>
        </r>
      </text>
    </comment>
    <comment ref="G76" authorId="0">
      <text>
        <r>
          <rPr>
            <sz val="10"/>
            <rFont val="Arial"/>
            <family val="2"/>
          </rPr>
          <t xml:space="preserve">2/5 — médiocre
Tanin trop présent pour la chair fine (P24) ; acidité trop faible face au beurre noisette (P3).
Principes de Pat : P24, P3</t>
        </r>
      </text>
    </comment>
    <comment ref="G77" authorId="0">
      <text>
        <r>
          <rPr>
            <sz val="10"/>
            <rFont val="Arial"/>
            <family val="2"/>
          </rPr>
          <t xml:space="preserve">4/5 — très bon
Effervescent blanc de blancs : profil qui convient, sans point d'ancrage décisif (P20, P3).
Principes de Pat : P20, P3</t>
        </r>
      </text>
    </comment>
    <comment ref="G78" authorId="0">
      <text>
        <r>
          <rPr>
            <sz val="10"/>
            <rFont val="Arial"/>
            <family val="2"/>
          </rPr>
          <t xml:space="preserve">4/5 — très bon
Effervescent blanc de blancs : profil qui convient, sans point d'ancrage décisif (P20, P3).
Principes de Pat : P20, P3</t>
        </r>
      </text>
    </comment>
    <comment ref="G79" authorId="0">
      <text>
        <r>
          <rPr>
            <sz val="10"/>
            <rFont val="Arial"/>
            <family val="2"/>
          </rPr>
          <t xml:space="preserve">4/5 — très bon
Effervescent vineux : profil qui convient, sans point d'ancrage décisif (P20, P3).
Principes de Pat : P20, P3</t>
        </r>
      </text>
    </comment>
    <comment ref="G81" authorId="0">
      <text>
        <r>
          <rPr>
            <sz val="10"/>
            <rFont val="Arial"/>
            <family val="2"/>
          </rPr>
          <t xml:space="preserve">1/5 — pas bon du tout
Liquoreux hors de propos sur un plat salé qui n'appelle pas de sucre (P20, P4).
Principes de Pat : P20, P4</t>
        </r>
      </text>
    </comment>
    <comment ref="H7" authorId="0">
      <text>
        <r>
          <rPr>
            <sz val="10"/>
            <rFont val="Arial"/>
            <family val="2"/>
          </rPr>
          <t xml:space="preserve">4/5 — très bon
Le vinaigre à l'échalote plafonne l'accord (P11, P35) ; acidité littorale et salinité en écho à l'iode (P9).
Principes de Pat : P11, P35, P9</t>
        </r>
      </text>
    </comment>
    <comment ref="H8" authorId="0">
      <text>
        <r>
          <rPr>
            <sz val="10"/>
            <rFont val="Arial"/>
            <family val="2"/>
          </rPr>
          <t xml:space="preserve">4/5 — très bon
Le vinaigre à l'échalote plafonne l'accord (P11, P35) ; acidité littorale et salinité en écho à l'iode (P9).
Principes de Pat : P11, P35, P9</t>
        </r>
      </text>
    </comment>
    <comment ref="H9" authorId="0">
      <text>
        <r>
          <rPr>
            <sz val="10"/>
            <rFont val="Arial"/>
            <family val="2"/>
          </rPr>
          <t xml:space="preserve">4/5 — très bon
Le vinaigre à l'échalote plafonne l'accord (P11, P35) ; acidité littorale et salinité en écho à l'iode (P9).
Principes de Pat : P11, P35, P9</t>
        </r>
      </text>
    </comment>
    <comment ref="H10" authorId="0">
      <text>
        <r>
          <rPr>
            <sz val="10"/>
            <rFont val="Arial"/>
            <family val="2"/>
          </rPr>
          <t xml:space="preserve">2/5 — médiocre
Le bois couvre la finesse et amplifie l'amertume (P19).
Principes de Pat : P19</t>
        </r>
      </text>
    </comment>
    <comment ref="H11" authorId="0">
      <text>
        <r>
          <rPr>
            <sz val="10"/>
            <rFont val="Arial"/>
            <family val="2"/>
          </rPr>
          <t xml:space="preserve">4/5 — très bon
Le vinaigre à l'échalote plafonne l'accord (P11, P35) ; acidité littorale et salinité en écho à l'iode (P9).
Principes de Pat : P11, P35, P9</t>
        </r>
      </text>
    </comment>
    <comment ref="H12" authorId="0">
      <text>
        <r>
          <rPr>
            <sz val="10"/>
            <rFont val="Arial"/>
            <family val="2"/>
          </rPr>
          <t xml:space="preserve">2/5 — médiocre
Le bois couvre la finesse et amplifie l'amertume (P19) ; acidité trop faible face à l'iode (P9).
Principes de Pat : P19, P9</t>
        </r>
      </text>
    </comment>
    <comment ref="H13" authorId="0">
      <text>
        <r>
          <rPr>
            <sz val="10"/>
            <rFont val="Arial"/>
            <family val="2"/>
          </rPr>
          <t xml:space="preserve">2/5 — médiocre
Le bois couvre la finesse et amplifie l'amertume (P19) ; acidité trop faible face à l'iode (P9).
Principes de Pat : P19, P9</t>
        </r>
      </text>
    </comment>
    <comment ref="H14" authorId="0">
      <text>
        <r>
          <rPr>
            <sz val="10"/>
            <rFont val="Arial"/>
            <family val="2"/>
          </rPr>
          <t xml:space="preserve">1/5 — pas bon du tout
Le bois couvre la finesse et amplifie l'amertume (P19) ; trop puissant, il écrase le plat (P20).
Principes de Pat : P19, P20</t>
        </r>
      </text>
    </comment>
    <comment ref="H15" authorId="0">
      <text>
        <r>
          <rPr>
            <sz val="10"/>
            <rFont val="Arial"/>
            <family val="2"/>
          </rPr>
          <t xml:space="preserve">1/5 — pas bon du tout
Le bois couvre la finesse et amplifie l'amertume (P19) ; trop puissant, il écrase le plat (P20).
Principes de Pat : P19, P20</t>
        </r>
      </text>
    </comment>
    <comment ref="H16" authorId="0">
      <text>
        <r>
          <rPr>
            <sz val="10"/>
            <rFont val="Arial"/>
            <family val="2"/>
          </rPr>
          <t xml:space="preserve">1/5 — pas bon du tout
Le bois couvre la finesse et amplifie l'amertume (P19) ; acidité trop faible face à l'iode (P9) ; trop puissant, il écrase le plat (P20).
Principes de Pat : P19, P9, P20</t>
        </r>
      </text>
    </comment>
    <comment ref="H17" authorId="0">
      <text>
        <r>
          <rPr>
            <sz val="10"/>
            <rFont val="Arial"/>
            <family val="2"/>
          </rPr>
          <t xml:space="preserve">1/5 — pas bon du tout
Le bois couvre la finesse et amplifie l'amertume (P19) ; acidité trop faible face à l'iode (P9) ; trop puissant, il écrase le plat (P20).
Principes de Pat : P19, P9, P20</t>
        </r>
      </text>
    </comment>
    <comment ref="H18" authorId="0">
      <text>
        <r>
          <rPr>
            <sz val="10"/>
            <rFont val="Arial"/>
            <family val="2"/>
          </rPr>
          <t xml:space="preserve">1/5 — pas bon du tout
Le bois couvre la finesse et amplifie l'amertume (P19) ; acidité trop faible face à l'iode (P9) ; trop puissant, il écrase le plat (P20).
Principes de Pat : P19, P9, P20</t>
        </r>
      </text>
    </comment>
    <comment ref="H19" authorId="0">
      <text>
        <r>
          <rPr>
            <sz val="10"/>
            <rFont val="Arial"/>
            <family val="2"/>
          </rPr>
          <t xml:space="preserve">1/5 — pas bon du tout
Le bois couvre la finesse et amplifie l'amertume (P19) ; trop puissant, il écrase le plat (P20).
Principes de Pat : P19, P20</t>
        </r>
      </text>
    </comment>
    <comment ref="H20" authorId="0">
      <text>
        <r>
          <rPr>
            <sz val="10"/>
            <rFont val="Arial"/>
            <family val="2"/>
          </rPr>
          <t xml:space="preserve">1/5 — pas bon du tout
Le bois couvre la finesse et amplifie l'amertume (P19) ; acidité trop faible face à l'iode (P9) ; trop puissant, il écrase le plat (P20).
Principes de Pat : P19, P9, P20</t>
        </r>
      </text>
    </comment>
    <comment ref="H21" authorId="0">
      <text>
        <r>
          <rPr>
            <sz val="10"/>
            <rFont val="Arial"/>
            <family val="2"/>
          </rPr>
          <t xml:space="preserve">1/5 — pas bon du tout
Acidité trop faible face à l'iode (P9) ; le bois couvre la finesse et amplifie l'amertume (P19) ; trop puissant, il écrase le plat (P20).
Principes de Pat : P9, P19, P20</t>
        </r>
      </text>
    </comment>
    <comment ref="H22" authorId="0">
      <text>
        <r>
          <rPr>
            <sz val="10"/>
            <rFont val="Arial"/>
            <family val="2"/>
          </rPr>
          <t xml:space="preserve">1/5 — pas bon du tout
Acidité trop faible face à l'iode (P9) ; le bois couvre la finesse et amplifie l'amertume (P19) ; trop puissant, il écrase le plat (P20).
Principes de Pat : P9, P19, P20</t>
        </r>
      </text>
    </comment>
    <comment ref="H23" authorId="0">
      <text>
        <r>
          <rPr>
            <sz val="10"/>
            <rFont val="Arial"/>
            <family val="2"/>
          </rPr>
          <t xml:space="preserve">3/5 — correct
Acidité trop faible face à l'iode (P9).
Principes de Pat : P9</t>
        </r>
      </text>
    </comment>
    <comment ref="H24" authorId="0">
      <text>
        <r>
          <rPr>
            <sz val="10"/>
            <rFont val="Arial"/>
            <family val="2"/>
          </rPr>
          <t xml:space="preserve">4/5 — très bon
Le vinaigre à l'échalote plafonne l'accord (P11, P35) ; acidité littorale et salinité en écho à l'iode (P9).
Principes de Pat : P11, P35, P9</t>
        </r>
      </text>
    </comment>
    <comment ref="H25" authorId="0">
      <text>
        <r>
          <rPr>
            <sz val="10"/>
            <rFont val="Arial"/>
            <family val="2"/>
          </rPr>
          <t xml:space="preserve">1/5 — pas bon du tout
Le bois couvre la finesse et amplifie l'amertume (P19) ; acidité trop faible face à l'iode (P9) ; trop puissant, il écrase le plat (P20).
Principes de Pat : P19, P9, P20</t>
        </r>
      </text>
    </comment>
    <comment ref="H26" authorId="0">
      <text>
        <r>
          <rPr>
            <sz val="10"/>
            <rFont val="Arial"/>
            <family val="2"/>
          </rPr>
          <t xml:space="preserve">3/5 — correct
Le bois couvre la finesse et amplifie l'amertume (P19).
Principes de Pat : P19</t>
        </r>
      </text>
    </comment>
    <comment ref="H27" authorId="0">
      <text>
        <r>
          <rPr>
            <sz val="10"/>
            <rFont val="Arial"/>
            <family val="2"/>
          </rPr>
          <t xml:space="preserve">4/5 — très bon
Le vinaigre à l'échalote plafonne l'accord (P11, P35) ; acidité littorale et salinité en écho à l'iode (P9).
Principes de Pat : P11, P35, P9</t>
        </r>
      </text>
    </comment>
    <comment ref="H29" authorId="0">
      <text>
        <r>
          <rPr>
            <sz val="10"/>
            <rFont val="Arial"/>
            <family val="2"/>
          </rPr>
          <t xml:space="preserve">2/5 — médiocre
Rouge : son tanin durcit au contact de l'iode (goût métallique) (P27) ; seule sa légèreté limite les dégâts (P20).
Principes de Pat : P27, P20</t>
        </r>
      </text>
    </comment>
    <comment ref="H30" authorId="0">
      <text>
        <r>
          <rPr>
            <sz val="10"/>
            <rFont val="Arial"/>
            <family val="2"/>
          </rPr>
          <t xml:space="preserve">1/5 — pas bon du tout
Rouge : son tanin durcit au contact de l'iode (goût métallique) (P27).
Principes de Pat : P27</t>
        </r>
      </text>
    </comment>
    <comment ref="H31" authorId="0">
      <text>
        <r>
          <rPr>
            <sz val="10"/>
            <rFont val="Arial"/>
            <family val="2"/>
          </rPr>
          <t xml:space="preserve">1/5 — pas bon du tout
Rouge : son tanin durcit au contact de l'iode (goût métallique) (P27).
Principes de Pat : P27</t>
        </r>
      </text>
    </comment>
    <comment ref="H32" authorId="0">
      <text>
        <r>
          <rPr>
            <sz val="10"/>
            <rFont val="Arial"/>
            <family val="2"/>
          </rPr>
          <t xml:space="preserve">2/5 — médiocre
Rouge : son tanin durcit au contact de l'iode (goût métallique) (P27) ; seule sa légèreté limite les dégâts (P20).
Principes de Pat : P27, P20</t>
        </r>
      </text>
    </comment>
    <comment ref="H33" authorId="0">
      <text>
        <r>
          <rPr>
            <sz val="10"/>
            <rFont val="Arial"/>
            <family val="2"/>
          </rPr>
          <t xml:space="preserve">1/5 — pas bon du tout
Rouge : son tanin durcit au contact de l'iode (goût métallique) (P27).
Principes de Pat : P27</t>
        </r>
      </text>
    </comment>
    <comment ref="H34" authorId="0">
      <text>
        <r>
          <rPr>
            <sz val="10"/>
            <rFont val="Arial"/>
            <family val="2"/>
          </rPr>
          <t xml:space="preserve">1/5 — pas bon du tout
Rouge : son tanin durcit au contact de l'iode (goût métallique) (P27).
Principes de Pat : P27</t>
        </r>
      </text>
    </comment>
    <comment ref="H35" authorId="0">
      <text>
        <r>
          <rPr>
            <sz val="10"/>
            <rFont val="Arial"/>
            <family val="2"/>
          </rPr>
          <t xml:space="preserve">1/5 — pas bon du tout
Rouge : son tanin durcit au contact de l'iode (goût métallique) (P27).
Principes de Pat : P27</t>
        </r>
      </text>
    </comment>
    <comment ref="H36" authorId="0">
      <text>
        <r>
          <rPr>
            <sz val="10"/>
            <rFont val="Arial"/>
            <family val="2"/>
          </rPr>
          <t xml:space="preserve">1/5 — pas bon du tout
Rouge : son tanin durcit au contact de l'iode (goût métallique) (P27).
Principes de Pat : P27</t>
        </r>
      </text>
    </comment>
    <comment ref="H37" authorId="0">
      <text>
        <r>
          <rPr>
            <sz val="10"/>
            <rFont val="Arial"/>
            <family val="2"/>
          </rPr>
          <t xml:space="preserve">1/5 — pas bon du tout
Rouge : son tanin durcit au contact de l'iode (goût métallique) (P27).
Principes de Pat : P27</t>
        </r>
      </text>
    </comment>
    <comment ref="H38" authorId="0">
      <text>
        <r>
          <rPr>
            <sz val="10"/>
            <rFont val="Arial"/>
            <family val="2"/>
          </rPr>
          <t xml:space="preserve">2/5 — médiocre
Rouge : son tanin durcit au contact de l'iode (goût métallique) (P27) ; seule sa légèreté limite les dégâts (P20).
Principes de Pat : P27, P20</t>
        </r>
      </text>
    </comment>
    <comment ref="H39" authorId="0">
      <text>
        <r>
          <rPr>
            <sz val="10"/>
            <rFont val="Arial"/>
            <family val="2"/>
          </rPr>
          <t xml:space="preserve">2/5 — médiocre
Rouge : son tanin durcit au contact de l'iode (goût métallique) (P27) ; seule sa légèreté limite les dégâts (P20).
Principes de Pat : P27, P20</t>
        </r>
      </text>
    </comment>
    <comment ref="H40" authorId="0">
      <text>
        <r>
          <rPr>
            <sz val="10"/>
            <rFont val="Arial"/>
            <family val="2"/>
          </rPr>
          <t xml:space="preserve">1/5 — pas bon du tout
Rouge : son tanin durcit au contact de l'iode (goût métallique) (P27).
Principes de Pat : P27</t>
        </r>
      </text>
    </comment>
    <comment ref="H41" authorId="0">
      <text>
        <r>
          <rPr>
            <sz val="10"/>
            <rFont val="Arial"/>
            <family val="2"/>
          </rPr>
          <t xml:space="preserve">1/5 — pas bon du tout
Rouge : son tanin durcit au contact de l'iode (goût métallique) (P27).
Principes de Pat : P27</t>
        </r>
      </text>
    </comment>
    <comment ref="H42" authorId="0">
      <text>
        <r>
          <rPr>
            <sz val="10"/>
            <rFont val="Arial"/>
            <family val="2"/>
          </rPr>
          <t xml:space="preserve">1/5 — pas bon du tout
Rouge : son tanin durcit au contact de l'iode (goût métallique) (P27).
Principes de Pat : P27</t>
        </r>
      </text>
    </comment>
    <comment ref="H43" authorId="0">
      <text>
        <r>
          <rPr>
            <sz val="10"/>
            <rFont val="Arial"/>
            <family val="2"/>
          </rPr>
          <t xml:space="preserve">1/5 — pas bon du tout
Rouge : son tanin durcit au contact de l'iode (goût métallique) (P27).
Principes de Pat : P27</t>
        </r>
      </text>
    </comment>
    <comment ref="H44" authorId="0">
      <text>
        <r>
          <rPr>
            <sz val="10"/>
            <rFont val="Arial"/>
            <family val="2"/>
          </rPr>
          <t xml:space="preserve">1/5 — pas bon du tout
Rouge : son tanin durcit au contact de l'iode (goût métallique) (P27).
Principes de Pat : P27</t>
        </r>
      </text>
    </comment>
    <comment ref="H45" authorId="0">
      <text>
        <r>
          <rPr>
            <sz val="10"/>
            <rFont val="Arial"/>
            <family val="2"/>
          </rPr>
          <t xml:space="preserve">1/5 — pas bon du tout
Rouge : son tanin durcit au contact de l'iode (goût métallique) (P27).
Principes de Pat : P27</t>
        </r>
      </text>
    </comment>
    <comment ref="H46" authorId="0">
      <text>
        <r>
          <rPr>
            <sz val="10"/>
            <rFont val="Arial"/>
            <family val="2"/>
          </rPr>
          <t xml:space="preserve">1/5 — pas bon du tout
Rouge : son tanin durcit au contact de l'iode (goût métallique) (P27).
Principes de Pat : P27</t>
        </r>
      </text>
    </comment>
    <comment ref="H47" authorId="0">
      <text>
        <r>
          <rPr>
            <sz val="10"/>
            <rFont val="Arial"/>
            <family val="2"/>
          </rPr>
          <t xml:space="preserve">1/5 — pas bon du tout
Rouge : son tanin durcit au contact de l'iode (goût métallique) (P27).
Principes de Pat : P27</t>
        </r>
      </text>
    </comment>
    <comment ref="H48" authorId="0">
      <text>
        <r>
          <rPr>
            <sz val="10"/>
            <rFont val="Arial"/>
            <family val="2"/>
          </rPr>
          <t xml:space="preserve">1/5 — pas bon du tout
Rouge : son tanin durcit au contact de l'iode (goût métallique) (P27).
Principes de Pat : P27</t>
        </r>
      </text>
    </comment>
    <comment ref="H49" authorId="0">
      <text>
        <r>
          <rPr>
            <sz val="10"/>
            <rFont val="Arial"/>
            <family val="2"/>
          </rPr>
          <t xml:space="preserve">1/5 — pas bon du tout
Rouge : son tanin durcit au contact de l'iode (goût métallique) (P27).
Principes de Pat : P27</t>
        </r>
      </text>
    </comment>
    <comment ref="H50" authorId="0">
      <text>
        <r>
          <rPr>
            <sz val="10"/>
            <rFont val="Arial"/>
            <family val="2"/>
          </rPr>
          <t xml:space="preserve">1/5 — pas bon du tout
Rouge : son tanin durcit au contact de l'iode (goût métallique) (P27).
Principes de Pat : P27</t>
        </r>
      </text>
    </comment>
    <comment ref="H51" authorId="0">
      <text>
        <r>
          <rPr>
            <sz val="10"/>
            <rFont val="Arial"/>
            <family val="2"/>
          </rPr>
          <t xml:space="preserve">1/5 — pas bon du tout
Rouge : son tanin durcit au contact de l'iode (goût métallique) (P27).
Principes de Pat : P27</t>
        </r>
      </text>
    </comment>
    <comment ref="H52" authorId="0">
      <text>
        <r>
          <rPr>
            <sz val="10"/>
            <rFont val="Arial"/>
            <family val="2"/>
          </rPr>
          <t xml:space="preserve">1/5 — pas bon du tout
Rouge : son tanin durcit au contact de l'iode (goût métallique) (P27).
Principes de Pat : P27</t>
        </r>
      </text>
    </comment>
    <comment ref="H53" authorId="0">
      <text>
        <r>
          <rPr>
            <sz val="10"/>
            <rFont val="Arial"/>
            <family val="2"/>
          </rPr>
          <t xml:space="preserve">1/5 — pas bon du tout
Rouge : son tanin durcit au contact de l'iode (goût métallique) (P27).
Principes de Pat : P27</t>
        </r>
      </text>
    </comment>
    <comment ref="H54" authorId="0">
      <text>
        <r>
          <rPr>
            <sz val="10"/>
            <rFont val="Arial"/>
            <family val="2"/>
          </rPr>
          <t xml:space="preserve">1/5 — pas bon du tout
Rouge : son tanin durcit au contact de l'iode (goût métallique) (P27).
Principes de Pat : P27</t>
        </r>
      </text>
    </comment>
    <comment ref="H55" authorId="0">
      <text>
        <r>
          <rPr>
            <sz val="10"/>
            <rFont val="Arial"/>
            <family val="2"/>
          </rPr>
          <t xml:space="preserve">1/5 — pas bon du tout
Rouge : son tanin durcit au contact de l'iode (goût métallique) (P27).
Principes de Pat : P27</t>
        </r>
      </text>
    </comment>
    <comment ref="H56" authorId="0">
      <text>
        <r>
          <rPr>
            <sz val="10"/>
            <rFont val="Arial"/>
            <family val="2"/>
          </rPr>
          <t xml:space="preserve">1/5 — pas bon du tout
Rouge : son tanin durcit au contact de l'iode (goût métallique) (P27).
Principes de Pat : P27</t>
        </r>
      </text>
    </comment>
    <comment ref="H57" authorId="0">
      <text>
        <r>
          <rPr>
            <sz val="10"/>
            <rFont val="Arial"/>
            <family val="2"/>
          </rPr>
          <t xml:space="preserve">1/5 — pas bon du tout
Rouge : son tanin durcit au contact de l'iode (goût métallique) (P27).
Principes de Pat : P27</t>
        </r>
      </text>
    </comment>
    <comment ref="H58" authorId="0">
      <text>
        <r>
          <rPr>
            <sz val="10"/>
            <rFont val="Arial"/>
            <family val="2"/>
          </rPr>
          <t xml:space="preserve">2/5 — médiocre
Rouge : son tanin durcit au contact de l'iode (goût métallique) (P27) ; seule sa légèreté limite les dégâts (P20).
Principes de Pat : P27, P20</t>
        </r>
      </text>
    </comment>
    <comment ref="H59" authorId="0">
      <text>
        <r>
          <rPr>
            <sz val="10"/>
            <rFont val="Arial"/>
            <family val="2"/>
          </rPr>
          <t xml:space="preserve">1/5 — pas bon du tout
Rouge : son tanin durcit au contact de l'iode (goût métallique) (P27).
Principes de Pat : P27</t>
        </r>
      </text>
    </comment>
    <comment ref="H60" authorId="0">
      <text>
        <r>
          <rPr>
            <sz val="10"/>
            <rFont val="Arial"/>
            <family val="2"/>
          </rPr>
          <t xml:space="preserve">1/5 — pas bon du tout
Rouge : son tanin durcit au contact de l'iode (goût métallique) (P27).
Principes de Pat : P27</t>
        </r>
      </text>
    </comment>
    <comment ref="H61" authorId="0">
      <text>
        <r>
          <rPr>
            <sz val="10"/>
            <rFont val="Arial"/>
            <family val="2"/>
          </rPr>
          <t xml:space="preserve">1/5 — pas bon du tout
Rouge : son tanin durcit au contact de l'iode (goût métallique) (P27).
Principes de Pat : P27</t>
        </r>
      </text>
    </comment>
    <comment ref="H62" authorId="0">
      <text>
        <r>
          <rPr>
            <sz val="10"/>
            <rFont val="Arial"/>
            <family val="2"/>
          </rPr>
          <t xml:space="preserve">1/5 — pas bon du tout
Rouge : son tanin durcit au contact de l'iode (goût métallique) (P27).
Principes de Pat : P27</t>
        </r>
      </text>
    </comment>
    <comment ref="H63" authorId="0">
      <text>
        <r>
          <rPr>
            <sz val="10"/>
            <rFont val="Arial"/>
            <family val="2"/>
          </rPr>
          <t xml:space="preserve">1/5 — pas bon du tout
Rouge : son tanin durcit au contact de l'iode (goût métallique) (P27).
Principes de Pat : P27</t>
        </r>
      </text>
    </comment>
    <comment ref="H64" authorId="0">
      <text>
        <r>
          <rPr>
            <sz val="10"/>
            <rFont val="Arial"/>
            <family val="2"/>
          </rPr>
          <t xml:space="preserve">1/5 — pas bon du tout
Rouge : son tanin durcit au contact de l'iode (goût métallique) (P27).
Principes de Pat : P27</t>
        </r>
      </text>
    </comment>
    <comment ref="H65" authorId="0">
      <text>
        <r>
          <rPr>
            <sz val="10"/>
            <rFont val="Arial"/>
            <family val="2"/>
          </rPr>
          <t xml:space="preserve">1/5 — pas bon du tout
Rouge : son tanin durcit au contact de l'iode (goût métallique) (P27).
Principes de Pat : P27</t>
        </r>
      </text>
    </comment>
    <comment ref="H66" authorId="0">
      <text>
        <r>
          <rPr>
            <sz val="10"/>
            <rFont val="Arial"/>
            <family val="2"/>
          </rPr>
          <t xml:space="preserve">1/5 — pas bon du tout
Rouge : son tanin durcit au contact de l'iode (goût métallique) (P27).
Principes de Pat : P27</t>
        </r>
      </text>
    </comment>
    <comment ref="H67" authorId="0">
      <text>
        <r>
          <rPr>
            <sz val="10"/>
            <rFont val="Arial"/>
            <family val="2"/>
          </rPr>
          <t xml:space="preserve">1/5 — pas bon du tout
Rouge : son tanin durcit au contact de l'iode (goût métallique) (P27).
Principes de Pat : P27</t>
        </r>
      </text>
    </comment>
    <comment ref="H68" authorId="0">
      <text>
        <r>
          <rPr>
            <sz val="10"/>
            <rFont val="Arial"/>
            <family val="2"/>
          </rPr>
          <t xml:space="preserve">1/5 — pas bon du tout
Rouge : son tanin durcit au contact de l'iode (goût métallique) (P27).
Principes de Pat : P27</t>
        </r>
      </text>
    </comment>
    <comment ref="H70" authorId="0">
      <text>
        <r>
          <rPr>
            <sz val="10"/>
            <rFont val="Arial"/>
            <family val="2"/>
          </rPr>
          <t xml:space="preserve">3/5 — correct
Acidité trop faible face à l'iode (P9).
Principes de Pat : P9</t>
        </r>
      </text>
    </comment>
    <comment ref="H71" authorId="0">
      <text>
        <r>
          <rPr>
            <sz val="10"/>
            <rFont val="Arial"/>
            <family val="2"/>
          </rPr>
          <t xml:space="preserve">3/5 — correct
Acidité trop faible face à l'iode (P9).
Principes de Pat : P9</t>
        </r>
      </text>
    </comment>
    <comment ref="H73" authorId="0">
      <text>
        <r>
          <rPr>
            <sz val="10"/>
            <rFont val="Arial"/>
            <family val="2"/>
          </rPr>
          <t xml:space="preserve">3/5 — correct
Acidité trop faible face à l'iode (P9).
Principes de Pat : P9</t>
        </r>
      </text>
    </comment>
    <comment ref="H74" authorId="0">
      <text>
        <r>
          <rPr>
            <sz val="10"/>
            <rFont val="Arial"/>
            <family val="2"/>
          </rPr>
          <t xml:space="preserve">4/5 — très bon
Effervescent vineux : profil qui convient, sans point d'ancrage décisif (P20, P9) ; le vinaigre à l'échalote plafonne l'accord (P11, P35).
Principes de Pat : P20, P9, P11, P35</t>
        </r>
      </text>
    </comment>
    <comment ref="H75" authorId="0">
      <text>
        <r>
          <rPr>
            <sz val="10"/>
            <rFont val="Arial"/>
            <family val="2"/>
          </rPr>
          <t xml:space="preserve">4/5 — très bon
Effervescent vineux : profil qui convient, sans point d'ancrage décisif (P20, P9) ; le vinaigre à l'échalote plafonne l'accord (P11, P35).
Principes de Pat : P20, P9, P11, P35</t>
        </r>
      </text>
    </comment>
    <comment ref="H76" authorId="0">
      <text>
        <r>
          <rPr>
            <sz val="10"/>
            <rFont val="Arial"/>
            <family val="2"/>
          </rPr>
          <t xml:space="preserve">2/5 — médiocre
Tanin trop présent pour l'iode (goût métallique) (P27) ; acidité trop faible face à l'iode (P9).
Principes de Pat : P27, P9</t>
        </r>
      </text>
    </comment>
    <comment ref="H77" authorId="0">
      <text>
        <r>
          <rPr>
            <sz val="10"/>
            <rFont val="Arial"/>
            <family val="2"/>
          </rPr>
          <t xml:space="preserve">4/5 — très bon
Le vinaigre à l'échalote plafonne l'accord (P11, P35) ; blanc de blancs tendu sur l'iode (P41).
Principes de Pat : P11, P35, P41</t>
        </r>
      </text>
    </comment>
    <comment ref="H78" authorId="0">
      <text>
        <r>
          <rPr>
            <sz val="10"/>
            <rFont val="Arial"/>
            <family val="2"/>
          </rPr>
          <t xml:space="preserve">4/5 — très bon
Le vinaigre à l'échalote plafonne l'accord (P11, P35) ; blanc de blancs tendu sur l'iode (P41).
Principes de Pat : P11, P35, P41</t>
        </r>
      </text>
    </comment>
    <comment ref="H79" authorId="0">
      <text>
        <r>
          <rPr>
            <sz val="10"/>
            <rFont val="Arial"/>
            <family val="2"/>
          </rPr>
          <t xml:space="preserve">4/5 — très bon
Blanc de blancs tendu sur l'iode (P41) ; trop puissant, il écrase le plat (P20) ; le vinaigre à l'échalote plafonne l'accord (P11, P35).
Principes de Pat : P41, P20, P11, P35</t>
        </r>
      </text>
    </comment>
    <comment ref="H81" authorId="0">
      <text>
        <r>
          <rPr>
            <sz val="10"/>
            <rFont val="Arial"/>
            <family val="2"/>
          </rPr>
          <t xml:space="preserve">1/5 — pas bon du tout
Liquoreux hors de propos sur un plat salé qui n'appelle pas de sucre (P20, P4).
Principes de Pat : P20, P4</t>
        </r>
      </text>
    </comment>
    <comment ref="I7" authorId="0">
      <text>
        <r>
          <rPr>
            <sz val="10"/>
            <rFont val="Arial"/>
            <family val="2"/>
          </rPr>
          <t xml:space="preserve">5/5 — accord parfait
L'acidité coupe le beurre, la salinité répond à l'iode (P9, P3).
Principes de Pat : P9, P3</t>
        </r>
      </text>
    </comment>
    <comment ref="I8" authorId="0">
      <text>
        <r>
          <rPr>
            <sz val="10"/>
            <rFont val="Arial"/>
            <family val="2"/>
          </rPr>
          <t xml:space="preserve">5/5 — accord parfait
L'acidité coupe le beurre, la salinité répond à l'iode (P9, P3).
Principes de Pat : P9, P3</t>
        </r>
      </text>
    </comment>
    <comment ref="I9" authorId="0">
      <text>
        <r>
          <rPr>
            <sz val="10"/>
            <rFont val="Arial"/>
            <family val="2"/>
          </rPr>
          <t xml:space="preserve">5/5 — accord parfait
L'acidité coupe le beurre, la salinité répond à l'iode (P9, P3).
Principes de Pat : P9, P3</t>
        </r>
      </text>
    </comment>
    <comment ref="I10" authorId="0">
      <text>
        <r>
          <rPr>
            <sz val="10"/>
            <rFont val="Arial"/>
            <family val="2"/>
          </rPr>
          <t xml:space="preserve">2/5 — médiocre
Le bois couvre la finesse et amplifie l'amertume (P19).
Principes de Pat : P19</t>
        </r>
      </text>
    </comment>
    <comment ref="I11" authorId="0">
      <text>
        <r>
          <rPr>
            <sz val="10"/>
            <rFont val="Arial"/>
            <family val="2"/>
          </rPr>
          <t xml:space="preserve">5/5 — accord parfait
L'acidité coupe le beurre, la salinité répond à l'iode (P9, P3).
Principes de Pat : P9, P3</t>
        </r>
      </text>
    </comment>
    <comment ref="I12" authorId="0">
      <text>
        <r>
          <rPr>
            <sz val="10"/>
            <rFont val="Arial"/>
            <family val="2"/>
          </rPr>
          <t xml:space="preserve">2/5 — médiocre
Le bois couvre la finesse et amplifie l'amertume (P19) ; acidité trop faible face au beurre à l'ail (P3).
Principes de Pat : P19, P3</t>
        </r>
      </text>
    </comment>
    <comment ref="I13" authorId="0">
      <text>
        <r>
          <rPr>
            <sz val="10"/>
            <rFont val="Arial"/>
            <family val="2"/>
          </rPr>
          <t xml:space="preserve">2/5 — médiocre
Le bois couvre la finesse et amplifie l'amertume (P19) ; acidité trop faible face au beurre à l'ail (P3).
Principes de Pat : P19, P3</t>
        </r>
      </text>
    </comment>
    <comment ref="I14" authorId="0">
      <text>
        <r>
          <rPr>
            <sz val="10"/>
            <rFont val="Arial"/>
            <family val="2"/>
          </rPr>
          <t xml:space="preserve">2/5 — médiocre
Le bois couvre la finesse et amplifie l'amertume (P19).
Principes de Pat : P19</t>
        </r>
      </text>
    </comment>
    <comment ref="I15" authorId="0">
      <text>
        <r>
          <rPr>
            <sz val="10"/>
            <rFont val="Arial"/>
            <family val="2"/>
          </rPr>
          <t xml:space="preserve">2/5 — médiocre
Le bois couvre la finesse et amplifie l'amertume (P19).
Principes de Pat : P19</t>
        </r>
      </text>
    </comment>
    <comment ref="I16" authorId="0">
      <text>
        <r>
          <rPr>
            <sz val="10"/>
            <rFont val="Arial"/>
            <family val="2"/>
          </rPr>
          <t xml:space="preserve">1/5 — pas bon du tout
Le bois couvre la finesse et amplifie l'amertume (P19) ; acidité trop faible face au beurre à l'ail (P3).
Principes de Pat : P19, P3</t>
        </r>
      </text>
    </comment>
    <comment ref="I17" authorId="0">
      <text>
        <r>
          <rPr>
            <sz val="10"/>
            <rFont val="Arial"/>
            <family val="2"/>
          </rPr>
          <t xml:space="preserve">1/5 — pas bon du tout
Le bois couvre la finesse et amplifie l'amertume (P19) ; acidité trop faible face au beurre à l'ail (P3).
Principes de Pat : P19, P3</t>
        </r>
      </text>
    </comment>
    <comment ref="I18" authorId="0">
      <text>
        <r>
          <rPr>
            <sz val="10"/>
            <rFont val="Arial"/>
            <family val="2"/>
          </rPr>
          <t xml:space="preserve">1/5 — pas bon du tout
Le bois couvre la finesse et amplifie l'amertume (P19) ; acidité trop faible face au beurre à l'ail (P3).
Principes de Pat : P19, P3</t>
        </r>
      </text>
    </comment>
    <comment ref="I19" authorId="0">
      <text>
        <r>
          <rPr>
            <sz val="10"/>
            <rFont val="Arial"/>
            <family val="2"/>
          </rPr>
          <t xml:space="preserve">2/5 — médiocre
Le bois couvre la finesse et amplifie l'amertume (P19).
Principes de Pat : P19</t>
        </r>
      </text>
    </comment>
    <comment ref="I20" authorId="0">
      <text>
        <r>
          <rPr>
            <sz val="10"/>
            <rFont val="Arial"/>
            <family val="2"/>
          </rPr>
          <t xml:space="preserve">2/5 — médiocre
Le bois couvre la finesse et amplifie l'amertume (P19) ; acidité trop faible face au beurre à l'ail (P3).
Principes de Pat : P19, P3</t>
        </r>
      </text>
    </comment>
    <comment ref="I21" authorId="0">
      <text>
        <r>
          <rPr>
            <sz val="10"/>
            <rFont val="Arial"/>
            <family val="2"/>
          </rPr>
          <t xml:space="preserve">1/5 — pas bon du tout
Acidité trop faible face au beurre à l'ail (P3) ; le bois couvre la finesse et amplifie l'amertume (P19).
Principes de Pat : P3, P19</t>
        </r>
      </text>
    </comment>
    <comment ref="I22" authorId="0">
      <text>
        <r>
          <rPr>
            <sz val="10"/>
            <rFont val="Arial"/>
            <family val="2"/>
          </rPr>
          <t xml:space="preserve">1/5 — pas bon du tout
Acidité trop faible face au beurre à l'ail (P3) ; le bois couvre la finesse et amplifie l'amertume (P19).
Principes de Pat : P3, P19</t>
        </r>
      </text>
    </comment>
    <comment ref="I23" authorId="0">
      <text>
        <r>
          <rPr>
            <sz val="10"/>
            <rFont val="Arial"/>
            <family val="2"/>
          </rPr>
          <t xml:space="preserve">3/5 — correct
Acidité trop faible face au beurre à l'ail (P3).
Principes de Pat : P3</t>
        </r>
      </text>
    </comment>
    <comment ref="I24" authorId="0">
      <text>
        <r>
          <rPr>
            <sz val="10"/>
            <rFont val="Arial"/>
            <family val="2"/>
          </rPr>
          <t xml:space="preserve">5/5 — accord parfait
L'acidité coupe le beurre, la salinité répond à l'iode (P9, P3).
Principes de Pat : P9, P3</t>
        </r>
      </text>
    </comment>
    <comment ref="I25" authorId="0">
      <text>
        <r>
          <rPr>
            <sz val="10"/>
            <rFont val="Arial"/>
            <family val="2"/>
          </rPr>
          <t xml:space="preserve">2/5 — médiocre
Le bois couvre la finesse et amplifie l'amertume (P19) ; acidité trop faible face au beurre à l'ail (P3).
Principes de Pat : P19, P3</t>
        </r>
      </text>
    </comment>
    <comment ref="I26" authorId="0">
      <text>
        <r>
          <rPr>
            <sz val="10"/>
            <rFont val="Arial"/>
            <family val="2"/>
          </rPr>
          <t xml:space="preserve">3/5 — correct
Le bois couvre la finesse et amplifie l'amertume (P19).
Principes de Pat : P19</t>
        </r>
      </text>
    </comment>
    <comment ref="I27" authorId="0">
      <text>
        <r>
          <rPr>
            <sz val="10"/>
            <rFont val="Arial"/>
            <family val="2"/>
          </rPr>
          <t xml:space="preserve">5/5 — accord parfait
L'acidité coupe le beurre, la salinité répond à l'iode (P9, P3).
Principes de Pat : P9, P3</t>
        </r>
      </text>
    </comment>
    <comment ref="I29" authorId="0">
      <text>
        <r>
          <rPr>
            <sz val="10"/>
            <rFont val="Arial"/>
            <family val="2"/>
          </rPr>
          <t xml:space="preserve">2/5 — médiocre
Rouge : son tanin durcit au contact de l'iode (P27) ; seule sa légèreté limite les dégâts (P20).
Principes de Pat : P27, P20</t>
        </r>
      </text>
    </comment>
    <comment ref="I30" authorId="0">
      <text>
        <r>
          <rPr>
            <sz val="10"/>
            <rFont val="Arial"/>
            <family val="2"/>
          </rPr>
          <t xml:space="preserve">1/5 — pas bon du tout
Rouge : son tanin durcit au contact de l'iode (P27).
Principes de Pat : P27</t>
        </r>
      </text>
    </comment>
    <comment ref="I31" authorId="0">
      <text>
        <r>
          <rPr>
            <sz val="10"/>
            <rFont val="Arial"/>
            <family val="2"/>
          </rPr>
          <t xml:space="preserve">1/5 — pas bon du tout
Rouge : son tanin durcit au contact de l'iode (P27).
Principes de Pat : P27</t>
        </r>
      </text>
    </comment>
    <comment ref="I32" authorId="0">
      <text>
        <r>
          <rPr>
            <sz val="10"/>
            <rFont val="Arial"/>
            <family val="2"/>
          </rPr>
          <t xml:space="preserve">2/5 — médiocre
Rouge : son tanin durcit au contact de l'iode (P27) ; seule sa légèreté limite les dégâts (P20).
Principes de Pat : P27, P20</t>
        </r>
      </text>
    </comment>
    <comment ref="I33" authorId="0">
      <text>
        <r>
          <rPr>
            <sz val="10"/>
            <rFont val="Arial"/>
            <family val="2"/>
          </rPr>
          <t xml:space="preserve">1/5 — pas bon du tout
Rouge : son tanin durcit au contact de l'iode (P27).
Principes de Pat : P27</t>
        </r>
      </text>
    </comment>
    <comment ref="I34" authorId="0">
      <text>
        <r>
          <rPr>
            <sz val="10"/>
            <rFont val="Arial"/>
            <family val="2"/>
          </rPr>
          <t xml:space="preserve">1/5 — pas bon du tout
Rouge : son tanin durcit au contact de l'iode (P27).
Principes de Pat : P27</t>
        </r>
      </text>
    </comment>
    <comment ref="I35" authorId="0">
      <text>
        <r>
          <rPr>
            <sz val="10"/>
            <rFont val="Arial"/>
            <family val="2"/>
          </rPr>
          <t xml:space="preserve">1/5 — pas bon du tout
Rouge : son tanin durcit au contact de l'iode (P27).
Principes de Pat : P27</t>
        </r>
      </text>
    </comment>
    <comment ref="I36" authorId="0">
      <text>
        <r>
          <rPr>
            <sz val="10"/>
            <rFont val="Arial"/>
            <family val="2"/>
          </rPr>
          <t xml:space="preserve">1/5 — pas bon du tout
Rouge : son tanin durcit au contact de l'iode (P27).
Principes de Pat : P27</t>
        </r>
      </text>
    </comment>
    <comment ref="I37" authorId="0">
      <text>
        <r>
          <rPr>
            <sz val="10"/>
            <rFont val="Arial"/>
            <family val="2"/>
          </rPr>
          <t xml:space="preserve">1/5 — pas bon du tout
Rouge : son tanin durcit au contact de l'iode (P27).
Principes de Pat : P27</t>
        </r>
      </text>
    </comment>
    <comment ref="I38" authorId="0">
      <text>
        <r>
          <rPr>
            <sz val="10"/>
            <rFont val="Arial"/>
            <family val="2"/>
          </rPr>
          <t xml:space="preserve">2/5 — médiocre
Rouge : son tanin durcit au contact de l'iode (P27) ; seule sa légèreté limite les dégâts (P20).
Principes de Pat : P27, P20</t>
        </r>
      </text>
    </comment>
    <comment ref="I39" authorId="0">
      <text>
        <r>
          <rPr>
            <sz val="10"/>
            <rFont val="Arial"/>
            <family val="2"/>
          </rPr>
          <t xml:space="preserve">2/5 — médiocre
Rouge : son tanin durcit au contact de l'iode (P27) ; seule sa légèreté limite les dégâts (P20).
Principes de Pat : P27, P20</t>
        </r>
      </text>
    </comment>
    <comment ref="I40" authorId="0">
      <text>
        <r>
          <rPr>
            <sz val="10"/>
            <rFont val="Arial"/>
            <family val="2"/>
          </rPr>
          <t xml:space="preserve">1/5 — pas bon du tout
Rouge : son tanin durcit au contact de l'iode (P27).
Principes de Pat : P27</t>
        </r>
      </text>
    </comment>
    <comment ref="I41" authorId="0">
      <text>
        <r>
          <rPr>
            <sz val="10"/>
            <rFont val="Arial"/>
            <family val="2"/>
          </rPr>
          <t xml:space="preserve">1/5 — pas bon du tout
Rouge : son tanin durcit au contact de l'iode (P27).
Principes de Pat : P27</t>
        </r>
      </text>
    </comment>
    <comment ref="I42" authorId="0">
      <text>
        <r>
          <rPr>
            <sz val="10"/>
            <rFont val="Arial"/>
            <family val="2"/>
          </rPr>
          <t xml:space="preserve">1/5 — pas bon du tout
Rouge : son tanin durcit au contact de l'iode (P27).
Principes de Pat : P27</t>
        </r>
      </text>
    </comment>
    <comment ref="I43" authorId="0">
      <text>
        <r>
          <rPr>
            <sz val="10"/>
            <rFont val="Arial"/>
            <family val="2"/>
          </rPr>
          <t xml:space="preserve">1/5 — pas bon du tout
Rouge : son tanin durcit au contact de l'iode (P27).
Principes de Pat : P27</t>
        </r>
      </text>
    </comment>
    <comment ref="I44" authorId="0">
      <text>
        <r>
          <rPr>
            <sz val="10"/>
            <rFont val="Arial"/>
            <family val="2"/>
          </rPr>
          <t xml:space="preserve">1/5 — pas bon du tout
Rouge : son tanin durcit au contact de l'iode (P27).
Principes de Pat : P27</t>
        </r>
      </text>
    </comment>
    <comment ref="I45" authorId="0">
      <text>
        <r>
          <rPr>
            <sz val="10"/>
            <rFont val="Arial"/>
            <family val="2"/>
          </rPr>
          <t xml:space="preserve">1/5 — pas bon du tout
Rouge : son tanin durcit au contact de l'iode (P27).
Principes de Pat : P27</t>
        </r>
      </text>
    </comment>
    <comment ref="I46" authorId="0">
      <text>
        <r>
          <rPr>
            <sz val="10"/>
            <rFont val="Arial"/>
            <family val="2"/>
          </rPr>
          <t xml:space="preserve">1/5 — pas bon du tout
Rouge : son tanin durcit au contact de l'iode (P27).
Principes de Pat : P27</t>
        </r>
      </text>
    </comment>
    <comment ref="I47" authorId="0">
      <text>
        <r>
          <rPr>
            <sz val="10"/>
            <rFont val="Arial"/>
            <family val="2"/>
          </rPr>
          <t xml:space="preserve">1/5 — pas bon du tout
Rouge : son tanin durcit au contact de l'iode (P27).
Principes de Pat : P27</t>
        </r>
      </text>
    </comment>
    <comment ref="I48" authorId="0">
      <text>
        <r>
          <rPr>
            <sz val="10"/>
            <rFont val="Arial"/>
            <family val="2"/>
          </rPr>
          <t xml:space="preserve">1/5 — pas bon du tout
Rouge : son tanin durcit au contact de l'iode (P27).
Principes de Pat : P27</t>
        </r>
      </text>
    </comment>
    <comment ref="I49" authorId="0">
      <text>
        <r>
          <rPr>
            <sz val="10"/>
            <rFont val="Arial"/>
            <family val="2"/>
          </rPr>
          <t xml:space="preserve">1/5 — pas bon du tout
Rouge : son tanin durcit au contact de l'iode (P27).
Principes de Pat : P27</t>
        </r>
      </text>
    </comment>
    <comment ref="I50" authorId="0">
      <text>
        <r>
          <rPr>
            <sz val="10"/>
            <rFont val="Arial"/>
            <family val="2"/>
          </rPr>
          <t xml:space="preserve">1/5 — pas bon du tout
Rouge : son tanin durcit au contact de l'iode (P27).
Principes de Pat : P27</t>
        </r>
      </text>
    </comment>
    <comment ref="I51" authorId="0">
      <text>
        <r>
          <rPr>
            <sz val="10"/>
            <rFont val="Arial"/>
            <family val="2"/>
          </rPr>
          <t xml:space="preserve">1/5 — pas bon du tout
Rouge : son tanin durcit au contact de l'iode (P27).
Principes de Pat : P27</t>
        </r>
      </text>
    </comment>
    <comment ref="I52" authorId="0">
      <text>
        <r>
          <rPr>
            <sz val="10"/>
            <rFont val="Arial"/>
            <family val="2"/>
          </rPr>
          <t xml:space="preserve">1/5 — pas bon du tout
Rouge : son tanin durcit au contact de l'iode (P27).
Principes de Pat : P27</t>
        </r>
      </text>
    </comment>
    <comment ref="I53" authorId="0">
      <text>
        <r>
          <rPr>
            <sz val="10"/>
            <rFont val="Arial"/>
            <family val="2"/>
          </rPr>
          <t xml:space="preserve">1/5 — pas bon du tout
Rouge : son tanin durcit au contact de l'iode (P27).
Principes de Pat : P27</t>
        </r>
      </text>
    </comment>
    <comment ref="I54" authorId="0">
      <text>
        <r>
          <rPr>
            <sz val="10"/>
            <rFont val="Arial"/>
            <family val="2"/>
          </rPr>
          <t xml:space="preserve">1/5 — pas bon du tout
Rouge : son tanin durcit au contact de l'iode (P27).
Principes de Pat : P27</t>
        </r>
      </text>
    </comment>
    <comment ref="I55" authorId="0">
      <text>
        <r>
          <rPr>
            <sz val="10"/>
            <rFont val="Arial"/>
            <family val="2"/>
          </rPr>
          <t xml:space="preserve">1/5 — pas bon du tout
Rouge : son tanin durcit au contact de l'iode (P27).
Principes de Pat : P27</t>
        </r>
      </text>
    </comment>
    <comment ref="I56" authorId="0">
      <text>
        <r>
          <rPr>
            <sz val="10"/>
            <rFont val="Arial"/>
            <family val="2"/>
          </rPr>
          <t xml:space="preserve">1/5 — pas bon du tout
Rouge : son tanin durcit au contact de l'iode (P27).
Principes de Pat : P27</t>
        </r>
      </text>
    </comment>
    <comment ref="I57" authorId="0">
      <text>
        <r>
          <rPr>
            <sz val="10"/>
            <rFont val="Arial"/>
            <family val="2"/>
          </rPr>
          <t xml:space="preserve">1/5 — pas bon du tout
Rouge : son tanin durcit au contact de l'iode (P27).
Principes de Pat : P27</t>
        </r>
      </text>
    </comment>
    <comment ref="I58" authorId="0">
      <text>
        <r>
          <rPr>
            <sz val="10"/>
            <rFont val="Arial"/>
            <family val="2"/>
          </rPr>
          <t xml:space="preserve">2/5 — médiocre
Rouge : son tanin durcit au contact de l'iode (P27) ; seule sa légèreté limite les dégâts (P20).
Principes de Pat : P27, P20</t>
        </r>
      </text>
    </comment>
    <comment ref="I59" authorId="0">
      <text>
        <r>
          <rPr>
            <sz val="10"/>
            <rFont val="Arial"/>
            <family val="2"/>
          </rPr>
          <t xml:space="preserve">1/5 — pas bon du tout
Rouge : son tanin durcit au contact de l'iode (P27).
Principes de Pat : P27</t>
        </r>
      </text>
    </comment>
    <comment ref="I60" authorId="0">
      <text>
        <r>
          <rPr>
            <sz val="10"/>
            <rFont val="Arial"/>
            <family val="2"/>
          </rPr>
          <t xml:space="preserve">1/5 — pas bon du tout
Rouge : son tanin durcit au contact de l'iode (P27).
Principes de Pat : P27</t>
        </r>
      </text>
    </comment>
    <comment ref="I61" authorId="0">
      <text>
        <r>
          <rPr>
            <sz val="10"/>
            <rFont val="Arial"/>
            <family val="2"/>
          </rPr>
          <t xml:space="preserve">1/5 — pas bon du tout
Rouge : son tanin durcit au contact de l'iode (P27).
Principes de Pat : P27</t>
        </r>
      </text>
    </comment>
    <comment ref="I62" authorId="0">
      <text>
        <r>
          <rPr>
            <sz val="10"/>
            <rFont val="Arial"/>
            <family val="2"/>
          </rPr>
          <t xml:space="preserve">1/5 — pas bon du tout
Rouge : son tanin durcit au contact de l'iode (P27).
Principes de Pat : P27</t>
        </r>
      </text>
    </comment>
    <comment ref="I63" authorId="0">
      <text>
        <r>
          <rPr>
            <sz val="10"/>
            <rFont val="Arial"/>
            <family val="2"/>
          </rPr>
          <t xml:space="preserve">1/5 — pas bon du tout
Rouge : son tanin durcit au contact de l'iode (P27).
Principes de Pat : P27</t>
        </r>
      </text>
    </comment>
    <comment ref="I64" authorId="0">
      <text>
        <r>
          <rPr>
            <sz val="10"/>
            <rFont val="Arial"/>
            <family val="2"/>
          </rPr>
          <t xml:space="preserve">1/5 — pas bon du tout
Rouge : son tanin durcit au contact de l'iode (P27).
Principes de Pat : P27</t>
        </r>
      </text>
    </comment>
    <comment ref="I65" authorId="0">
      <text>
        <r>
          <rPr>
            <sz val="10"/>
            <rFont val="Arial"/>
            <family val="2"/>
          </rPr>
          <t xml:space="preserve">1/5 — pas bon du tout
Rouge : son tanin durcit au contact de l'iode (P27).
Principes de Pat : P27</t>
        </r>
      </text>
    </comment>
    <comment ref="I66" authorId="0">
      <text>
        <r>
          <rPr>
            <sz val="10"/>
            <rFont val="Arial"/>
            <family val="2"/>
          </rPr>
          <t xml:space="preserve">1/5 — pas bon du tout
Rouge : son tanin durcit au contact de l'iode (P27).
Principes de Pat : P27</t>
        </r>
      </text>
    </comment>
    <comment ref="I67" authorId="0">
      <text>
        <r>
          <rPr>
            <sz val="10"/>
            <rFont val="Arial"/>
            <family val="2"/>
          </rPr>
          <t xml:space="preserve">1/5 — pas bon du tout
Rouge : son tanin durcit au contact de l'iode (P27).
Principes de Pat : P27</t>
        </r>
      </text>
    </comment>
    <comment ref="I68" authorId="0">
      <text>
        <r>
          <rPr>
            <sz val="10"/>
            <rFont val="Arial"/>
            <family val="2"/>
          </rPr>
          <t xml:space="preserve">1/5 — pas bon du tout
Rouge : son tanin durcit au contact de l'iode (P27).
Principes de Pat : P27</t>
        </r>
      </text>
    </comment>
    <comment ref="I70" authorId="0">
      <text>
        <r>
          <rPr>
            <sz val="10"/>
            <rFont val="Arial"/>
            <family val="2"/>
          </rPr>
          <t xml:space="preserve">3/5 — correct
Acidité trop faible face au beurre à l'ail (P3).
Principes de Pat : P3</t>
        </r>
      </text>
    </comment>
    <comment ref="I71" authorId="0">
      <text>
        <r>
          <rPr>
            <sz val="10"/>
            <rFont val="Arial"/>
            <family val="2"/>
          </rPr>
          <t xml:space="preserve">3/5 — correct
Acidité trop faible face au beurre à l'ail (P3).
Principes de Pat : P3</t>
        </r>
      </text>
    </comment>
    <comment ref="I73" authorId="0">
      <text>
        <r>
          <rPr>
            <sz val="10"/>
            <rFont val="Arial"/>
            <family val="2"/>
          </rPr>
          <t xml:space="preserve">3/5 — correct
Acidité trop faible face au beurre à l'ail (P3).
Principes de Pat : P3</t>
        </r>
      </text>
    </comment>
    <comment ref="I74" authorId="0">
      <text>
        <r>
          <rPr>
            <sz val="10"/>
            <rFont val="Arial"/>
            <family val="2"/>
          </rPr>
          <t xml:space="preserve">4/5 — très bon
Effervescent vineux : profil qui convient, sans point d'ancrage décisif (P20, P3).
Principes de Pat : P20, P3</t>
        </r>
      </text>
    </comment>
    <comment ref="I75" authorId="0">
      <text>
        <r>
          <rPr>
            <sz val="10"/>
            <rFont val="Arial"/>
            <family val="2"/>
          </rPr>
          <t xml:space="preserve">4/5 — très bon
Effervescent vineux : profil qui convient, sans point d'ancrage décisif (P20, P3).
Principes de Pat : P20, P3</t>
        </r>
      </text>
    </comment>
    <comment ref="I76" authorId="0">
      <text>
        <r>
          <rPr>
            <sz val="10"/>
            <rFont val="Arial"/>
            <family val="2"/>
          </rPr>
          <t xml:space="preserve">2/5 — médiocre
Tanin trop présent pour l'iode (P27) ; acidité trop faible face au beurre à l'ail (P3).
Principes de Pat : P27, P3</t>
        </r>
      </text>
    </comment>
    <comment ref="I77" authorId="0">
      <text>
        <r>
          <rPr>
            <sz val="10"/>
            <rFont val="Arial"/>
            <family val="2"/>
          </rPr>
          <t xml:space="preserve">4/5 — très bon
Effervescent blanc de blancs : profil qui convient, sans point d'ancrage décisif (P20, P3).
Principes de Pat : P20, P3</t>
        </r>
      </text>
    </comment>
    <comment ref="I78" authorId="0">
      <text>
        <r>
          <rPr>
            <sz val="10"/>
            <rFont val="Arial"/>
            <family val="2"/>
          </rPr>
          <t xml:space="preserve">4/5 — très bon
Effervescent blanc de blancs : profil qui convient, sans point d'ancrage décisif (P20, P3).
Principes de Pat : P20, P3</t>
        </r>
      </text>
    </comment>
    <comment ref="I79" authorId="0">
      <text>
        <r>
          <rPr>
            <sz val="10"/>
            <rFont val="Arial"/>
            <family val="2"/>
          </rPr>
          <t xml:space="preserve">4/5 — très bon
Effervescent vineux : profil qui convient, sans point d'ancrage décisif (P20, P3).
Principes de Pat : P20, P3</t>
        </r>
      </text>
    </comment>
    <comment ref="I81" authorId="0">
      <text>
        <r>
          <rPr>
            <sz val="10"/>
            <rFont val="Arial"/>
            <family val="2"/>
          </rPr>
          <t xml:space="preserve">1/5 — pas bon du tout
Liquoreux hors de propos sur un plat salé qui n'appelle pas de sucre (P20, P4).
Principes de Pat : P20, P4</t>
        </r>
      </text>
    </comment>
    <comment ref="J7" authorId="0">
      <text>
        <r>
          <rPr>
            <sz val="10"/>
            <rFont val="Arial"/>
            <family val="2"/>
          </rPr>
          <t xml:space="preserve">4/5 — très bon
Blanc tendu, léger, sans bois : profil qui convient, sans point d'ancrage décisif (P20, P34).
Principes de Pat : P20, P34</t>
        </r>
      </text>
    </comment>
    <comment ref="J8" authorId="0">
      <text>
        <r>
          <rPr>
            <sz val="10"/>
            <rFont val="Arial"/>
            <family val="2"/>
          </rPr>
          <t xml:space="preserve">4/5 — très bon
Blanc tendu, de poids moyen, sans bois : profil qui convient, sans point d'ancrage décisif (P20, P34).
Principes de Pat : P20, P34</t>
        </r>
      </text>
    </comment>
    <comment ref="J9" authorId="0">
      <text>
        <r>
          <rPr>
            <sz val="10"/>
            <rFont val="Arial"/>
            <family val="2"/>
          </rPr>
          <t xml:space="preserve">4/5 — très bon
Blanc tendu, de poids moyen, sans bois : profil qui convient, sans point d'ancrage décisif (P20, P34).
Principes de Pat : P20, P34</t>
        </r>
      </text>
    </comment>
    <comment ref="J10" authorId="0">
      <text>
        <r>
          <rPr>
            <sz val="10"/>
            <rFont val="Arial"/>
            <family val="2"/>
          </rPr>
          <t xml:space="preserve">2/5 — médiocre
Le bois couvre la finesse et amplifie l'amertume (P34).
Principes de Pat : P34</t>
        </r>
      </text>
    </comment>
    <comment ref="J11" authorId="0">
      <text>
        <r>
          <rPr>
            <sz val="10"/>
            <rFont val="Arial"/>
            <family val="2"/>
          </rPr>
          <t xml:space="preserve">4/5 — très bon
Blanc tendu, léger, sans bois : profil qui convient, sans point d'ancrage décisif (P20, P34).
Principes de Pat : P20, P34</t>
        </r>
      </text>
    </comment>
    <comment ref="J12" authorId="0">
      <text>
        <r>
          <rPr>
            <sz val="10"/>
            <rFont val="Arial"/>
            <family val="2"/>
          </rPr>
          <t xml:space="preserve">2/5 — médiocre
Le bois couvre la finesse et amplifie l'amertume (P34) ; acidité trop faible face à la friture et le fromage (P34).
Principes de Pat : P34</t>
        </r>
      </text>
    </comment>
    <comment ref="J13" authorId="0">
      <text>
        <r>
          <rPr>
            <sz val="10"/>
            <rFont val="Arial"/>
            <family val="2"/>
          </rPr>
          <t xml:space="preserve">2/5 — médiocre
Le bois couvre la finesse et amplifie l'amertume (P34) ; acidité trop faible face à la friture et le fromage (P34).
Principes de Pat : P34</t>
        </r>
      </text>
    </comment>
    <comment ref="J14" authorId="0">
      <text>
        <r>
          <rPr>
            <sz val="10"/>
            <rFont val="Arial"/>
            <family val="2"/>
          </rPr>
          <t xml:space="preserve">2/5 — médiocre
Le bois couvre la finesse et amplifie l'amertume (P34).
Principes de Pat : P34</t>
        </r>
      </text>
    </comment>
    <comment ref="J15" authorId="0">
      <text>
        <r>
          <rPr>
            <sz val="10"/>
            <rFont val="Arial"/>
            <family val="2"/>
          </rPr>
          <t xml:space="preserve">2/5 — médiocre
Le bois couvre la finesse et amplifie l'amertume (P34).
Principes de Pat : P34</t>
        </r>
      </text>
    </comment>
    <comment ref="J16" authorId="0">
      <text>
        <r>
          <rPr>
            <sz val="10"/>
            <rFont val="Arial"/>
            <family val="2"/>
          </rPr>
          <t xml:space="preserve">1/5 — pas bon du tout
Le bois couvre la finesse et amplifie l'amertume (P34) ; acidité trop faible face à la friture et le fromage (P34).
Principes de Pat : P34</t>
        </r>
      </text>
    </comment>
    <comment ref="J17" authorId="0">
      <text>
        <r>
          <rPr>
            <sz val="10"/>
            <rFont val="Arial"/>
            <family val="2"/>
          </rPr>
          <t xml:space="preserve">1/5 — pas bon du tout
Le bois couvre la finesse et amplifie l'amertume (P34) ; acidité trop faible face à la friture et le fromage (P34).
Principes de Pat : P34</t>
        </r>
      </text>
    </comment>
    <comment ref="J18" authorId="0">
      <text>
        <r>
          <rPr>
            <sz val="10"/>
            <rFont val="Arial"/>
            <family val="2"/>
          </rPr>
          <t xml:space="preserve">1/5 — pas bon du tout
Le bois couvre la finesse et amplifie l'amertume (P34) ; acidité trop faible face à la friture et le fromage (P34).
Principes de Pat : P34</t>
        </r>
      </text>
    </comment>
    <comment ref="J19" authorId="0">
      <text>
        <r>
          <rPr>
            <sz val="10"/>
            <rFont val="Arial"/>
            <family val="2"/>
          </rPr>
          <t xml:space="preserve">2/5 — médiocre
Le bois couvre la finesse et amplifie l'amertume (P34).
Principes de Pat : P34</t>
        </r>
      </text>
    </comment>
    <comment ref="J20" authorId="0">
      <text>
        <r>
          <rPr>
            <sz val="10"/>
            <rFont val="Arial"/>
            <family val="2"/>
          </rPr>
          <t xml:space="preserve">2/5 — médiocre
Le bois couvre la finesse et amplifie l'amertume (P34) ; acidité trop faible face à la friture et le fromage (P34).
Principes de Pat : P34</t>
        </r>
      </text>
    </comment>
    <comment ref="J21" authorId="0">
      <text>
        <r>
          <rPr>
            <sz val="10"/>
            <rFont val="Arial"/>
            <family val="2"/>
          </rPr>
          <t xml:space="preserve">1/5 — pas bon du tout
Acidité trop faible face à la friture et le fromage (P34) ; le bois couvre la finesse et amplifie l'amertume (P34).
Principes de Pat : P34</t>
        </r>
      </text>
    </comment>
    <comment ref="J22" authorId="0">
      <text>
        <r>
          <rPr>
            <sz val="10"/>
            <rFont val="Arial"/>
            <family val="2"/>
          </rPr>
          <t xml:space="preserve">1/5 — pas bon du tout
Acidité trop faible face à la friture et le fromage (P34) ; le bois couvre la finesse et amplifie l'amertume (P34).
Principes de Pat : P34</t>
        </r>
      </text>
    </comment>
    <comment ref="J23" authorId="0">
      <text>
        <r>
          <rPr>
            <sz val="10"/>
            <rFont val="Arial"/>
            <family val="2"/>
          </rPr>
          <t xml:space="preserve">3/5 — correct
Acidité trop faible face à la friture et le fromage (P34).
Principes de Pat : P34</t>
        </r>
      </text>
    </comment>
    <comment ref="J24" authorId="0">
      <text>
        <r>
          <rPr>
            <sz val="10"/>
            <rFont val="Arial"/>
            <family val="2"/>
          </rPr>
          <t xml:space="preserve">4/5 — très bon
Blanc tendu, léger, sans bois : profil qui convient, sans point d'ancrage décisif (P20, P34).
Principes de Pat : P20, P34</t>
        </r>
      </text>
    </comment>
    <comment ref="J25" authorId="0">
      <text>
        <r>
          <rPr>
            <sz val="10"/>
            <rFont val="Arial"/>
            <family val="2"/>
          </rPr>
          <t xml:space="preserve">2/5 — médiocre
Le bois couvre la finesse et amplifie l'amertume (P34) ; acidité trop faible face à la friture et le fromage (P34).
Principes de Pat : P34</t>
        </r>
      </text>
    </comment>
    <comment ref="J26" authorId="0">
      <text>
        <r>
          <rPr>
            <sz val="10"/>
            <rFont val="Arial"/>
            <family val="2"/>
          </rPr>
          <t xml:space="preserve">3/5 — correct
Le bois couvre la finesse et amplifie l'amertume (P34).
Principes de Pat : P34</t>
        </r>
      </text>
    </comment>
    <comment ref="J27" authorId="0">
      <text>
        <r>
          <rPr>
            <sz val="10"/>
            <rFont val="Arial"/>
            <family val="2"/>
          </rPr>
          <t xml:space="preserve">4/5 — très bon
Blanc tendu, léger, sans bois : profil qui convient, sans point d'ancrage décisif (P20, P34).
Principes de Pat : P20, P34</t>
        </r>
      </text>
    </comment>
    <comment ref="J29" authorId="0">
      <text>
        <r>
          <rPr>
            <sz val="10"/>
            <rFont val="Arial"/>
            <family val="2"/>
          </rPr>
          <t xml:space="preserve">2/5 — médiocre
Rouge : son tanin durcit au contact du fromage, ingrédient principal (P5) ; seule sa légèreté limite les dégâts (P20).
Principes de Pat : P5, P20</t>
        </r>
      </text>
    </comment>
    <comment ref="J30" authorId="0">
      <text>
        <r>
          <rPr>
            <sz val="10"/>
            <rFont val="Arial"/>
            <family val="2"/>
          </rPr>
          <t xml:space="preserve">1/5 — pas bon du tout
Rouge : son tanin durcit au contact du fromage, ingrédient principal (P5).
Principes de Pat : P5</t>
        </r>
      </text>
    </comment>
    <comment ref="J31" authorId="0">
      <text>
        <r>
          <rPr>
            <sz val="10"/>
            <rFont val="Arial"/>
            <family val="2"/>
          </rPr>
          <t xml:space="preserve">1/5 — pas bon du tout
Rouge : son tanin durcit au contact du fromage, ingrédient principal (P5).
Principes de Pat : P5</t>
        </r>
      </text>
    </comment>
    <comment ref="J32" authorId="0">
      <text>
        <r>
          <rPr>
            <sz val="10"/>
            <rFont val="Arial"/>
            <family val="2"/>
          </rPr>
          <t xml:space="preserve">2/5 — médiocre
Rouge : son tanin durcit au contact du fromage, ingrédient principal (P5) ; seule sa légèreté limite les dégâts (P20).
Principes de Pat : P5, P20</t>
        </r>
      </text>
    </comment>
    <comment ref="J33" authorId="0">
      <text>
        <r>
          <rPr>
            <sz val="10"/>
            <rFont val="Arial"/>
            <family val="2"/>
          </rPr>
          <t xml:space="preserve">1/5 — pas bon du tout
Rouge : son tanin durcit au contact du fromage, ingrédient principal (P5).
Principes de Pat : P5</t>
        </r>
      </text>
    </comment>
    <comment ref="J34" authorId="0">
      <text>
        <r>
          <rPr>
            <sz val="10"/>
            <rFont val="Arial"/>
            <family val="2"/>
          </rPr>
          <t xml:space="preserve">1/5 — pas bon du tout
Rouge : son tanin durcit au contact du fromage, ingrédient principal (P5).
Principes de Pat : P5</t>
        </r>
      </text>
    </comment>
    <comment ref="J35" authorId="0">
      <text>
        <r>
          <rPr>
            <sz val="10"/>
            <rFont val="Arial"/>
            <family val="2"/>
          </rPr>
          <t xml:space="preserve">1/5 — pas bon du tout
Rouge : son tanin durcit au contact du fromage, ingrédient principal (P5).
Principes de Pat : P5</t>
        </r>
      </text>
    </comment>
    <comment ref="J36" authorId="0">
      <text>
        <r>
          <rPr>
            <sz val="10"/>
            <rFont val="Arial"/>
            <family val="2"/>
          </rPr>
          <t xml:space="preserve">1/5 — pas bon du tout
Rouge : son tanin durcit au contact du fromage, ingrédient principal (P5).
Principes de Pat : P5</t>
        </r>
      </text>
    </comment>
    <comment ref="J37" authorId="0">
      <text>
        <r>
          <rPr>
            <sz val="10"/>
            <rFont val="Arial"/>
            <family val="2"/>
          </rPr>
          <t xml:space="preserve">1/5 — pas bon du tout
Rouge : son tanin durcit au contact du fromage, ingrédient principal (P5).
Principes de Pat : P5</t>
        </r>
      </text>
    </comment>
    <comment ref="J38" authorId="0">
      <text>
        <r>
          <rPr>
            <sz val="10"/>
            <rFont val="Arial"/>
            <family val="2"/>
          </rPr>
          <t xml:space="preserve">2/5 — médiocre
Rouge : son tanin durcit au contact du fromage, ingrédient principal (P5) ; seule sa légèreté limite les dégâts (P20).
Principes de Pat : P5, P20</t>
        </r>
      </text>
    </comment>
    <comment ref="J39" authorId="0">
      <text>
        <r>
          <rPr>
            <sz val="10"/>
            <rFont val="Arial"/>
            <family val="2"/>
          </rPr>
          <t xml:space="preserve">2/5 — médiocre
Rouge : son tanin durcit au contact du fromage, ingrédient principal (P5) ; seule sa légèreté limite les dégâts (P20).
Principes de Pat : P5, P20</t>
        </r>
      </text>
    </comment>
    <comment ref="J40" authorId="0">
      <text>
        <r>
          <rPr>
            <sz val="10"/>
            <rFont val="Arial"/>
            <family val="2"/>
          </rPr>
          <t xml:space="preserve">1/5 — pas bon du tout
Rouge : son tanin durcit au contact du fromage, ingrédient principal (P5).
Principes de Pat : P5</t>
        </r>
      </text>
    </comment>
    <comment ref="J41" authorId="0">
      <text>
        <r>
          <rPr>
            <sz val="10"/>
            <rFont val="Arial"/>
            <family val="2"/>
          </rPr>
          <t xml:space="preserve">1/5 — pas bon du tout
Rouge : son tanin durcit au contact du fromage, ingrédient principal (P5).
Principes de Pat : P5</t>
        </r>
      </text>
    </comment>
    <comment ref="J42" authorId="0">
      <text>
        <r>
          <rPr>
            <sz val="10"/>
            <rFont val="Arial"/>
            <family val="2"/>
          </rPr>
          <t xml:space="preserve">1/5 — pas bon du tout
Rouge : son tanin durcit au contact du fromage, ingrédient principal (P5).
Principes de Pat : P5</t>
        </r>
      </text>
    </comment>
    <comment ref="J43" authorId="0">
      <text>
        <r>
          <rPr>
            <sz val="10"/>
            <rFont val="Arial"/>
            <family val="2"/>
          </rPr>
          <t xml:space="preserve">1/5 — pas bon du tout
Rouge : son tanin durcit au contact du fromage, ingrédient principal (P5).
Principes de Pat : P5</t>
        </r>
      </text>
    </comment>
    <comment ref="J44" authorId="0">
      <text>
        <r>
          <rPr>
            <sz val="10"/>
            <rFont val="Arial"/>
            <family val="2"/>
          </rPr>
          <t xml:space="preserve">1/5 — pas bon du tout
Rouge : son tanin durcit au contact du fromage, ingrédient principal (P5).
Principes de Pat : P5</t>
        </r>
      </text>
    </comment>
    <comment ref="J45" authorId="0">
      <text>
        <r>
          <rPr>
            <sz val="10"/>
            <rFont val="Arial"/>
            <family val="2"/>
          </rPr>
          <t xml:space="preserve">1/5 — pas bon du tout
Rouge : son tanin durcit au contact du fromage, ingrédient principal (P5).
Principes de Pat : P5</t>
        </r>
      </text>
    </comment>
    <comment ref="J46" authorId="0">
      <text>
        <r>
          <rPr>
            <sz val="10"/>
            <rFont val="Arial"/>
            <family val="2"/>
          </rPr>
          <t xml:space="preserve">1/5 — pas bon du tout
Rouge : son tanin durcit au contact du fromage, ingrédient principal (P5).
Principes de Pat : P5</t>
        </r>
      </text>
    </comment>
    <comment ref="J47" authorId="0">
      <text>
        <r>
          <rPr>
            <sz val="10"/>
            <rFont val="Arial"/>
            <family val="2"/>
          </rPr>
          <t xml:space="preserve">1/5 — pas bon du tout
Rouge : son tanin durcit au contact du fromage, ingrédient principal (P5).
Principes de Pat : P5</t>
        </r>
      </text>
    </comment>
    <comment ref="J48" authorId="0">
      <text>
        <r>
          <rPr>
            <sz val="10"/>
            <rFont val="Arial"/>
            <family val="2"/>
          </rPr>
          <t xml:space="preserve">1/5 — pas bon du tout
Rouge : son tanin durcit au contact du fromage, ingrédient principal (P5).
Principes de Pat : P5</t>
        </r>
      </text>
    </comment>
    <comment ref="J49" authorId="0">
      <text>
        <r>
          <rPr>
            <sz val="10"/>
            <rFont val="Arial"/>
            <family val="2"/>
          </rPr>
          <t xml:space="preserve">1/5 — pas bon du tout
Rouge : son tanin durcit au contact du fromage, ingrédient principal (P5).
Principes de Pat : P5</t>
        </r>
      </text>
    </comment>
    <comment ref="J50" authorId="0">
      <text>
        <r>
          <rPr>
            <sz val="10"/>
            <rFont val="Arial"/>
            <family val="2"/>
          </rPr>
          <t xml:space="preserve">1/5 — pas bon du tout
Rouge : son tanin durcit au contact du fromage, ingrédient principal (P5).
Principes de Pat : P5</t>
        </r>
      </text>
    </comment>
    <comment ref="J51" authorId="0">
      <text>
        <r>
          <rPr>
            <sz val="10"/>
            <rFont val="Arial"/>
            <family val="2"/>
          </rPr>
          <t xml:space="preserve">1/5 — pas bon du tout
Rouge : son tanin durcit au contact du fromage, ingrédient principal (P5).
Principes de Pat : P5</t>
        </r>
      </text>
    </comment>
    <comment ref="J52" authorId="0">
      <text>
        <r>
          <rPr>
            <sz val="10"/>
            <rFont val="Arial"/>
            <family val="2"/>
          </rPr>
          <t xml:space="preserve">1/5 — pas bon du tout
Rouge : son tanin durcit au contact du fromage, ingrédient principal (P5).
Principes de Pat : P5</t>
        </r>
      </text>
    </comment>
    <comment ref="J53" authorId="0">
      <text>
        <r>
          <rPr>
            <sz val="10"/>
            <rFont val="Arial"/>
            <family val="2"/>
          </rPr>
          <t xml:space="preserve">1/5 — pas bon du tout
Rouge : son tanin durcit au contact du fromage, ingrédient principal (P5).
Principes de Pat : P5</t>
        </r>
      </text>
    </comment>
    <comment ref="J54" authorId="0">
      <text>
        <r>
          <rPr>
            <sz val="10"/>
            <rFont val="Arial"/>
            <family val="2"/>
          </rPr>
          <t xml:space="preserve">1/5 — pas bon du tout
Rouge : son tanin durcit au contact du fromage, ingrédient principal (P5).
Principes de Pat : P5</t>
        </r>
      </text>
    </comment>
    <comment ref="J55" authorId="0">
      <text>
        <r>
          <rPr>
            <sz val="10"/>
            <rFont val="Arial"/>
            <family val="2"/>
          </rPr>
          <t xml:space="preserve">1/5 — pas bon du tout
Rouge : son tanin durcit au contact du fromage, ingrédient principal (P5).
Principes de Pat : P5</t>
        </r>
      </text>
    </comment>
    <comment ref="J56" authorId="0">
      <text>
        <r>
          <rPr>
            <sz val="10"/>
            <rFont val="Arial"/>
            <family val="2"/>
          </rPr>
          <t xml:space="preserve">1/5 — pas bon du tout
Rouge : son tanin durcit au contact du fromage, ingrédient principal (P5).
Principes de Pat : P5</t>
        </r>
      </text>
    </comment>
    <comment ref="J57" authorId="0">
      <text>
        <r>
          <rPr>
            <sz val="10"/>
            <rFont val="Arial"/>
            <family val="2"/>
          </rPr>
          <t xml:space="preserve">1/5 — pas bon du tout
Rouge : son tanin durcit au contact du fromage, ingrédient principal (P5).
Principes de Pat : P5</t>
        </r>
      </text>
    </comment>
    <comment ref="J58" authorId="0">
      <text>
        <r>
          <rPr>
            <sz val="10"/>
            <rFont val="Arial"/>
            <family val="2"/>
          </rPr>
          <t xml:space="preserve">2/5 — médiocre
Rouge : son tanin durcit au contact du fromage, ingrédient principal (P5) ; seule sa légèreté limite les dégâts (P20).
Principes de Pat : P5, P20</t>
        </r>
      </text>
    </comment>
    <comment ref="J59" authorId="0">
      <text>
        <r>
          <rPr>
            <sz val="10"/>
            <rFont val="Arial"/>
            <family val="2"/>
          </rPr>
          <t xml:space="preserve">1/5 — pas bon du tout
Rouge : son tanin durcit au contact du fromage, ingrédient principal (P5).
Principes de Pat : P5</t>
        </r>
      </text>
    </comment>
    <comment ref="J60" authorId="0">
      <text>
        <r>
          <rPr>
            <sz val="10"/>
            <rFont val="Arial"/>
            <family val="2"/>
          </rPr>
          <t xml:space="preserve">1/5 — pas bon du tout
Rouge : son tanin durcit au contact du fromage, ingrédient principal (P5).
Principes de Pat : P5</t>
        </r>
      </text>
    </comment>
    <comment ref="J61" authorId="0">
      <text>
        <r>
          <rPr>
            <sz val="10"/>
            <rFont val="Arial"/>
            <family val="2"/>
          </rPr>
          <t xml:space="preserve">1/5 — pas bon du tout
Rouge : son tanin durcit au contact du fromage, ingrédient principal (P5).
Principes de Pat : P5</t>
        </r>
      </text>
    </comment>
    <comment ref="J62" authorId="0">
      <text>
        <r>
          <rPr>
            <sz val="10"/>
            <rFont val="Arial"/>
            <family val="2"/>
          </rPr>
          <t xml:space="preserve">1/5 — pas bon du tout
Rouge : son tanin durcit au contact du fromage, ingrédient principal (P5).
Principes de Pat : P5</t>
        </r>
      </text>
    </comment>
    <comment ref="J63" authorId="0">
      <text>
        <r>
          <rPr>
            <sz val="10"/>
            <rFont val="Arial"/>
            <family val="2"/>
          </rPr>
          <t xml:space="preserve">1/5 — pas bon du tout
Rouge : son tanin durcit au contact du fromage, ingrédient principal (P5).
Principes de Pat : P5</t>
        </r>
      </text>
    </comment>
    <comment ref="J64" authorId="0">
      <text>
        <r>
          <rPr>
            <sz val="10"/>
            <rFont val="Arial"/>
            <family val="2"/>
          </rPr>
          <t xml:space="preserve">1/5 — pas bon du tout
Rouge : son tanin durcit au contact du fromage, ingrédient principal (P5).
Principes de Pat : P5</t>
        </r>
      </text>
    </comment>
    <comment ref="J65" authorId="0">
      <text>
        <r>
          <rPr>
            <sz val="10"/>
            <rFont val="Arial"/>
            <family val="2"/>
          </rPr>
          <t xml:space="preserve">1/5 — pas bon du tout
Rouge : son tanin durcit au contact du fromage, ingrédient principal (P5).
Principes de Pat : P5</t>
        </r>
      </text>
    </comment>
    <comment ref="J66" authorId="0">
      <text>
        <r>
          <rPr>
            <sz val="10"/>
            <rFont val="Arial"/>
            <family val="2"/>
          </rPr>
          <t xml:space="preserve">1/5 — pas bon du tout
Rouge : son tanin durcit au contact du fromage, ingrédient principal (P5).
Principes de Pat : P5</t>
        </r>
      </text>
    </comment>
    <comment ref="J67" authorId="0">
      <text>
        <r>
          <rPr>
            <sz val="10"/>
            <rFont val="Arial"/>
            <family val="2"/>
          </rPr>
          <t xml:space="preserve">1/5 — pas bon du tout
Rouge : son tanin durcit au contact du fromage, ingrédient principal (P5).
Principes de Pat : P5</t>
        </r>
      </text>
    </comment>
    <comment ref="J68" authorId="0">
      <text>
        <r>
          <rPr>
            <sz val="10"/>
            <rFont val="Arial"/>
            <family val="2"/>
          </rPr>
          <t xml:space="preserve">1/5 — pas bon du tout
Rouge : son tanin durcit au contact du fromage, ingrédient principal (P5).
Principes de Pat : P5</t>
        </r>
      </text>
    </comment>
    <comment ref="J70" authorId="0">
      <text>
        <r>
          <rPr>
            <sz val="10"/>
            <rFont val="Arial"/>
            <family val="2"/>
          </rPr>
          <t xml:space="preserve">3/5 — correct
Acidité trop faible face à la friture et le fromage (P34).
Principes de Pat : P34</t>
        </r>
      </text>
    </comment>
    <comment ref="J71" authorId="0">
      <text>
        <r>
          <rPr>
            <sz val="10"/>
            <rFont val="Arial"/>
            <family val="2"/>
          </rPr>
          <t xml:space="preserve">3/5 — correct
Acidité trop faible face à la friture et le fromage (P34).
Principes de Pat : P34</t>
        </r>
      </text>
    </comment>
    <comment ref="J73" authorId="0">
      <text>
        <r>
          <rPr>
            <sz val="10"/>
            <rFont val="Arial"/>
            <family val="2"/>
          </rPr>
          <t xml:space="preserve">3/5 — correct
Acidité trop faible face à la friture et le fromage (P34).
Principes de Pat : P34</t>
        </r>
      </text>
    </comment>
    <comment ref="J74" authorId="0">
      <text>
        <r>
          <rPr>
            <sz val="10"/>
            <rFont val="Arial"/>
            <family val="2"/>
          </rPr>
          <t xml:space="preserve">5/5 — accord parfait
La bulle et l'acidité coupent la friture et le fromage (P34, P3).
Principes de Pat : P34, P3</t>
        </r>
      </text>
    </comment>
    <comment ref="J75" authorId="0">
      <text>
        <r>
          <rPr>
            <sz val="10"/>
            <rFont val="Arial"/>
            <family val="2"/>
          </rPr>
          <t xml:space="preserve">5/5 — accord parfait
La bulle et l'acidité coupent la friture et le fromage (P34, P3).
Principes de Pat : P34, P3</t>
        </r>
      </text>
    </comment>
    <comment ref="J76" authorId="0">
      <text>
        <r>
          <rPr>
            <sz val="10"/>
            <rFont val="Arial"/>
            <family val="2"/>
          </rPr>
          <t xml:space="preserve">3/5 — correct
Tanin trop présent pour le fromage, ingrédient principal (P5) ; acidité trop faible face à la friture et le fromage (P34).
Principes de Pat : P5, P34</t>
        </r>
      </text>
    </comment>
    <comment ref="J77" authorId="0">
      <text>
        <r>
          <rPr>
            <sz val="10"/>
            <rFont val="Arial"/>
            <family val="2"/>
          </rPr>
          <t xml:space="preserve">5/5 — accord parfait
La bulle et l'acidité coupent la friture et le fromage (P34, P3).
Principes de Pat : P34, P3</t>
        </r>
      </text>
    </comment>
    <comment ref="J78" authorId="0">
      <text>
        <r>
          <rPr>
            <sz val="10"/>
            <rFont val="Arial"/>
            <family val="2"/>
          </rPr>
          <t xml:space="preserve">5/5 — accord parfait
La bulle et l'acidité coupent la friture et le fromage (P34, P3).
Principes de Pat : P34, P3</t>
        </r>
      </text>
    </comment>
    <comment ref="J79" authorId="0">
      <text>
        <r>
          <rPr>
            <sz val="10"/>
            <rFont val="Arial"/>
            <family val="2"/>
          </rPr>
          <t xml:space="preserve">5/5 — accord parfait
La bulle et l'acidité coupent la friture et le fromage (P34, P3).
Principes de Pat : P34, P3</t>
        </r>
      </text>
    </comment>
    <comment ref="J81" authorId="0">
      <text>
        <r>
          <rPr>
            <sz val="10"/>
            <rFont val="Arial"/>
            <family val="2"/>
          </rPr>
          <t xml:space="preserve">1/5 — pas bon du tout
Liquoreux hors de propos sur un plat salé qui n'appelle pas de sucre (P20, P4).
Principes de Pat : P20, P4</t>
        </r>
      </text>
    </comment>
    <comment ref="K7" authorId="0">
      <text>
        <r>
          <rPr>
            <sz val="10"/>
            <rFont val="Arial"/>
            <family val="2"/>
          </rPr>
          <t xml:space="preserve">4/5 — très bon
Blanc tendu, léger, sans bois : profil qui convient, sans point d'ancrage décisif (P20, P34).
Principes de Pat : P20, P34</t>
        </r>
      </text>
    </comment>
    <comment ref="K8" authorId="0">
      <text>
        <r>
          <rPr>
            <sz val="10"/>
            <rFont val="Arial"/>
            <family val="2"/>
          </rPr>
          <t xml:space="preserve">4/5 — très bon
Blanc tendu, de poids moyen, sans bois : profil qui convient, sans point d'ancrage décisif (P20, P34).
Principes de Pat : P20, P34</t>
        </r>
      </text>
    </comment>
    <comment ref="K9" authorId="0">
      <text>
        <r>
          <rPr>
            <sz val="10"/>
            <rFont val="Arial"/>
            <family val="2"/>
          </rPr>
          <t xml:space="preserve">4/5 — très bon
Blanc tendu, de poids moyen, sans bois : profil qui convient, sans point d'ancrage décisif (P20, P34).
Principes de Pat : P20, P34</t>
        </r>
      </text>
    </comment>
    <comment ref="K10" authorId="0">
      <text>
        <r>
          <rPr>
            <sz val="10"/>
            <rFont val="Arial"/>
            <family val="2"/>
          </rPr>
          <t xml:space="preserve">2/5 — médiocre
Le bois couvre la finesse et amplifie l'amertume (P34).
Principes de Pat : P34</t>
        </r>
      </text>
    </comment>
    <comment ref="K11" authorId="0">
      <text>
        <r>
          <rPr>
            <sz val="10"/>
            <rFont val="Arial"/>
            <family val="2"/>
          </rPr>
          <t xml:space="preserve">4/5 — très bon
Blanc tendu, léger, sans bois : profil qui convient, sans point d'ancrage décisif (P20, P34).
Principes de Pat : P20, P34</t>
        </r>
      </text>
    </comment>
    <comment ref="K12" authorId="0">
      <text>
        <r>
          <rPr>
            <sz val="10"/>
            <rFont val="Arial"/>
            <family val="2"/>
          </rPr>
          <t xml:space="preserve">2/5 — médiocre
Le bois couvre la finesse et amplifie l'amertume (P34) ; acidité trop faible face à la friture (P34).
Principes de Pat : P34</t>
        </r>
      </text>
    </comment>
    <comment ref="K13" authorId="0">
      <text>
        <r>
          <rPr>
            <sz val="10"/>
            <rFont val="Arial"/>
            <family val="2"/>
          </rPr>
          <t xml:space="preserve">2/5 — médiocre
Le bois couvre la finesse et amplifie l'amertume (P34) ; acidité trop faible face à la friture (P34).
Principes de Pat : P34</t>
        </r>
      </text>
    </comment>
    <comment ref="K14" authorId="0">
      <text>
        <r>
          <rPr>
            <sz val="10"/>
            <rFont val="Arial"/>
            <family val="2"/>
          </rPr>
          <t xml:space="preserve">2/5 — médiocre
Le bois couvre la finesse et amplifie l'amertume (P34).
Principes de Pat : P34</t>
        </r>
      </text>
    </comment>
    <comment ref="K15" authorId="0">
      <text>
        <r>
          <rPr>
            <sz val="10"/>
            <rFont val="Arial"/>
            <family val="2"/>
          </rPr>
          <t xml:space="preserve">2/5 — médiocre
Le bois couvre la finesse et amplifie l'amertume (P34).
Principes de Pat : P34</t>
        </r>
      </text>
    </comment>
    <comment ref="K16" authorId="0">
      <text>
        <r>
          <rPr>
            <sz val="10"/>
            <rFont val="Arial"/>
            <family val="2"/>
          </rPr>
          <t xml:space="preserve">1/5 — pas bon du tout
Le bois couvre la finesse et amplifie l'amertume (P34) ; acidité trop faible face à la friture (P34).
Principes de Pat : P34</t>
        </r>
      </text>
    </comment>
    <comment ref="K17" authorId="0">
      <text>
        <r>
          <rPr>
            <sz val="10"/>
            <rFont val="Arial"/>
            <family val="2"/>
          </rPr>
          <t xml:space="preserve">1/5 — pas bon du tout
Le bois couvre la finesse et amplifie l'amertume (P34) ; acidité trop faible face à la friture (P34).
Principes de Pat : P34</t>
        </r>
      </text>
    </comment>
    <comment ref="K18" authorId="0">
      <text>
        <r>
          <rPr>
            <sz val="10"/>
            <rFont val="Arial"/>
            <family val="2"/>
          </rPr>
          <t xml:space="preserve">1/5 — pas bon du tout
Le bois couvre la finesse et amplifie l'amertume (P34) ; acidité trop faible face à la friture (P34).
Principes de Pat : P34</t>
        </r>
      </text>
    </comment>
    <comment ref="K19" authorId="0">
      <text>
        <r>
          <rPr>
            <sz val="10"/>
            <rFont val="Arial"/>
            <family val="2"/>
          </rPr>
          <t xml:space="preserve">2/5 — médiocre
Le bois couvre la finesse et amplifie l'amertume (P34).
Principes de Pat : P34</t>
        </r>
      </text>
    </comment>
    <comment ref="K20" authorId="0">
      <text>
        <r>
          <rPr>
            <sz val="10"/>
            <rFont val="Arial"/>
            <family val="2"/>
          </rPr>
          <t xml:space="preserve">2/5 — médiocre
Le bois couvre la finesse et amplifie l'amertume (P34) ; acidité trop faible face à la friture (P34).
Principes de Pat : P34</t>
        </r>
      </text>
    </comment>
    <comment ref="K21" authorId="0">
      <text>
        <r>
          <rPr>
            <sz val="10"/>
            <rFont val="Arial"/>
            <family val="2"/>
          </rPr>
          <t xml:space="preserve">1/5 — pas bon du tout
Acidité trop faible face à la friture (P34) ; le bois couvre la finesse et amplifie l'amertume (P34).
Principes de Pat : P34</t>
        </r>
      </text>
    </comment>
    <comment ref="K22" authorId="0">
      <text>
        <r>
          <rPr>
            <sz val="10"/>
            <rFont val="Arial"/>
            <family val="2"/>
          </rPr>
          <t xml:space="preserve">1/5 — pas bon du tout
Acidité trop faible face à la friture (P34) ; le bois couvre la finesse et amplifie l'amertume (P34).
Principes de Pat : P34</t>
        </r>
      </text>
    </comment>
    <comment ref="K23" authorId="0">
      <text>
        <r>
          <rPr>
            <sz val="10"/>
            <rFont val="Arial"/>
            <family val="2"/>
          </rPr>
          <t xml:space="preserve">3/5 — correct
Acidité trop faible face à la friture (P34).
Principes de Pat : P34</t>
        </r>
      </text>
    </comment>
    <comment ref="K24" authorId="0">
      <text>
        <r>
          <rPr>
            <sz val="10"/>
            <rFont val="Arial"/>
            <family val="2"/>
          </rPr>
          <t xml:space="preserve">4/5 — très bon
Blanc tendu, léger, sans bois : profil qui convient, sans point d'ancrage décisif (P20, P34).
Principes de Pat : P20, P34</t>
        </r>
      </text>
    </comment>
    <comment ref="K25" authorId="0">
      <text>
        <r>
          <rPr>
            <sz val="10"/>
            <rFont val="Arial"/>
            <family val="2"/>
          </rPr>
          <t xml:space="preserve">2/5 — médiocre
Le bois couvre la finesse et amplifie l'amertume (P34) ; acidité trop faible face à la friture (P34).
Principes de Pat : P34</t>
        </r>
      </text>
    </comment>
    <comment ref="K26" authorId="0">
      <text>
        <r>
          <rPr>
            <sz val="10"/>
            <rFont val="Arial"/>
            <family val="2"/>
          </rPr>
          <t xml:space="preserve">3/5 — correct
Le bois couvre la finesse et amplifie l'amertume (P34).
Principes de Pat : P34</t>
        </r>
      </text>
    </comment>
    <comment ref="K27" authorId="0">
      <text>
        <r>
          <rPr>
            <sz val="10"/>
            <rFont val="Arial"/>
            <family val="2"/>
          </rPr>
          <t xml:space="preserve">4/5 — très bon
Blanc tendu, léger, sans bois : profil qui convient, sans point d'ancrage décisif (P20, P34).
Principes de Pat : P20, P34</t>
        </r>
      </text>
    </comment>
    <comment ref="K29" authorId="0">
      <text>
        <r>
          <rPr>
            <sz val="10"/>
            <rFont val="Arial"/>
            <family val="2"/>
          </rPr>
          <t xml:space="preserve">2/5 — médiocre
Rouge : son tanin durcit au contact de la panure et l'iode (P34) ; seule sa légèreté limite les dégâts (P20).
Principes de Pat : P34, P20</t>
        </r>
      </text>
    </comment>
    <comment ref="K30" authorId="0">
      <text>
        <r>
          <rPr>
            <sz val="10"/>
            <rFont val="Arial"/>
            <family val="2"/>
          </rPr>
          <t xml:space="preserve">1/5 — pas bon du tout
Rouge : son tanin durcit au contact de la panure et l'iode (P34).
Principes de Pat : P34</t>
        </r>
      </text>
    </comment>
    <comment ref="K31" authorId="0">
      <text>
        <r>
          <rPr>
            <sz val="10"/>
            <rFont val="Arial"/>
            <family val="2"/>
          </rPr>
          <t xml:space="preserve">1/5 — pas bon du tout
Rouge : son tanin durcit au contact de la panure et l'iode (P34).
Principes de Pat : P34</t>
        </r>
      </text>
    </comment>
    <comment ref="K32" authorId="0">
      <text>
        <r>
          <rPr>
            <sz val="10"/>
            <rFont val="Arial"/>
            <family val="2"/>
          </rPr>
          <t xml:space="preserve">2/5 — médiocre
Rouge : son tanin durcit au contact de la panure et l'iode (P34) ; seule sa légèreté limite les dégâts (P20).
Principes de Pat : P34, P20</t>
        </r>
      </text>
    </comment>
    <comment ref="K33" authorId="0">
      <text>
        <r>
          <rPr>
            <sz val="10"/>
            <rFont val="Arial"/>
            <family val="2"/>
          </rPr>
          <t xml:space="preserve">1/5 — pas bon du tout
Rouge : son tanin durcit au contact de la panure et l'iode (P34).
Principes de Pat : P34</t>
        </r>
      </text>
    </comment>
    <comment ref="K34" authorId="0">
      <text>
        <r>
          <rPr>
            <sz val="10"/>
            <rFont val="Arial"/>
            <family val="2"/>
          </rPr>
          <t xml:space="preserve">1/5 — pas bon du tout
Rouge : son tanin durcit au contact de la panure et l'iode (P34).
Principes de Pat : P34</t>
        </r>
      </text>
    </comment>
    <comment ref="K35" authorId="0">
      <text>
        <r>
          <rPr>
            <sz val="10"/>
            <rFont val="Arial"/>
            <family val="2"/>
          </rPr>
          <t xml:space="preserve">1/5 — pas bon du tout
Rouge : son tanin durcit au contact de la panure et l'iode (P34).
Principes de Pat : P34</t>
        </r>
      </text>
    </comment>
    <comment ref="K36" authorId="0">
      <text>
        <r>
          <rPr>
            <sz val="10"/>
            <rFont val="Arial"/>
            <family val="2"/>
          </rPr>
          <t xml:space="preserve">1/5 — pas bon du tout
Rouge : son tanin durcit au contact de la panure et l'iode (P34).
Principes de Pat : P34</t>
        </r>
      </text>
    </comment>
    <comment ref="K37" authorId="0">
      <text>
        <r>
          <rPr>
            <sz val="10"/>
            <rFont val="Arial"/>
            <family val="2"/>
          </rPr>
          <t xml:space="preserve">1/5 — pas bon du tout
Rouge : son tanin durcit au contact de la panure et l'iode (P34).
Principes de Pat : P34</t>
        </r>
      </text>
    </comment>
    <comment ref="K38" authorId="0">
      <text>
        <r>
          <rPr>
            <sz val="10"/>
            <rFont val="Arial"/>
            <family val="2"/>
          </rPr>
          <t xml:space="preserve">2/5 — médiocre
Rouge : son tanin durcit au contact de la panure et l'iode (P34) ; seule sa légèreté limite les dégâts (P20).
Principes de Pat : P34, P20</t>
        </r>
      </text>
    </comment>
    <comment ref="K39" authorId="0">
      <text>
        <r>
          <rPr>
            <sz val="10"/>
            <rFont val="Arial"/>
            <family val="2"/>
          </rPr>
          <t xml:space="preserve">2/5 — médiocre
Rouge : son tanin durcit au contact de la panure et l'iode (P34) ; seule sa légèreté limite les dégâts (P20).
Principes de Pat : P34, P20</t>
        </r>
      </text>
    </comment>
    <comment ref="K40" authorId="0">
      <text>
        <r>
          <rPr>
            <sz val="10"/>
            <rFont val="Arial"/>
            <family val="2"/>
          </rPr>
          <t xml:space="preserve">1/5 — pas bon du tout
Rouge : son tanin durcit au contact de la panure et l'iode (P34).
Principes de Pat : P34</t>
        </r>
      </text>
    </comment>
    <comment ref="K41" authorId="0">
      <text>
        <r>
          <rPr>
            <sz val="10"/>
            <rFont val="Arial"/>
            <family val="2"/>
          </rPr>
          <t xml:space="preserve">1/5 — pas bon du tout
Rouge : son tanin durcit au contact de la panure et l'iode (P34).
Principes de Pat : P34</t>
        </r>
      </text>
    </comment>
    <comment ref="K42" authorId="0">
      <text>
        <r>
          <rPr>
            <sz val="10"/>
            <rFont val="Arial"/>
            <family val="2"/>
          </rPr>
          <t xml:space="preserve">1/5 — pas bon du tout
Rouge : son tanin durcit au contact de la panure et l'iode (P34).
Principes de Pat : P34</t>
        </r>
      </text>
    </comment>
    <comment ref="K43" authorId="0">
      <text>
        <r>
          <rPr>
            <sz val="10"/>
            <rFont val="Arial"/>
            <family val="2"/>
          </rPr>
          <t xml:space="preserve">1/5 — pas bon du tout
Rouge : son tanin durcit au contact de la panure et l'iode (P34).
Principes de Pat : P34</t>
        </r>
      </text>
    </comment>
    <comment ref="K44" authorId="0">
      <text>
        <r>
          <rPr>
            <sz val="10"/>
            <rFont val="Arial"/>
            <family val="2"/>
          </rPr>
          <t xml:space="preserve">1/5 — pas bon du tout
Rouge : son tanin durcit au contact de la panure et l'iode (P34).
Principes de Pat : P34</t>
        </r>
      </text>
    </comment>
    <comment ref="K45" authorId="0">
      <text>
        <r>
          <rPr>
            <sz val="10"/>
            <rFont val="Arial"/>
            <family val="2"/>
          </rPr>
          <t xml:space="preserve">1/5 — pas bon du tout
Rouge : son tanin durcit au contact de la panure et l'iode (P34).
Principes de Pat : P34</t>
        </r>
      </text>
    </comment>
    <comment ref="K46" authorId="0">
      <text>
        <r>
          <rPr>
            <sz val="10"/>
            <rFont val="Arial"/>
            <family val="2"/>
          </rPr>
          <t xml:space="preserve">1/5 — pas bon du tout
Rouge : son tanin durcit au contact de la panure et l'iode (P34).
Principes de Pat : P34</t>
        </r>
      </text>
    </comment>
    <comment ref="K47" authorId="0">
      <text>
        <r>
          <rPr>
            <sz val="10"/>
            <rFont val="Arial"/>
            <family val="2"/>
          </rPr>
          <t xml:space="preserve">1/5 — pas bon du tout
Rouge : son tanin durcit au contact de la panure et l'iode (P34).
Principes de Pat : P34</t>
        </r>
      </text>
    </comment>
    <comment ref="K48" authorId="0">
      <text>
        <r>
          <rPr>
            <sz val="10"/>
            <rFont val="Arial"/>
            <family val="2"/>
          </rPr>
          <t xml:space="preserve">1/5 — pas bon du tout
Rouge : son tanin durcit au contact de la panure et l'iode (P34).
Principes de Pat : P34</t>
        </r>
      </text>
    </comment>
    <comment ref="K49" authorId="0">
      <text>
        <r>
          <rPr>
            <sz val="10"/>
            <rFont val="Arial"/>
            <family val="2"/>
          </rPr>
          <t xml:space="preserve">1/5 — pas bon du tout
Rouge : son tanin durcit au contact de la panure et l'iode (P34).
Principes de Pat : P34</t>
        </r>
      </text>
    </comment>
    <comment ref="K50" authorId="0">
      <text>
        <r>
          <rPr>
            <sz val="10"/>
            <rFont val="Arial"/>
            <family val="2"/>
          </rPr>
          <t xml:space="preserve">1/5 — pas bon du tout
Rouge : son tanin durcit au contact de la panure et l'iode (P34).
Principes de Pat : P34</t>
        </r>
      </text>
    </comment>
    <comment ref="K51" authorId="0">
      <text>
        <r>
          <rPr>
            <sz val="10"/>
            <rFont val="Arial"/>
            <family val="2"/>
          </rPr>
          <t xml:space="preserve">1/5 — pas bon du tout
Rouge : son tanin durcit au contact de la panure et l'iode (P34).
Principes de Pat : P34</t>
        </r>
      </text>
    </comment>
    <comment ref="K52" authorId="0">
      <text>
        <r>
          <rPr>
            <sz val="10"/>
            <rFont val="Arial"/>
            <family val="2"/>
          </rPr>
          <t xml:space="preserve">1/5 — pas bon du tout
Rouge : son tanin durcit au contact de la panure et l'iode (P34).
Principes de Pat : P34</t>
        </r>
      </text>
    </comment>
    <comment ref="K53" authorId="0">
      <text>
        <r>
          <rPr>
            <sz val="10"/>
            <rFont val="Arial"/>
            <family val="2"/>
          </rPr>
          <t xml:space="preserve">1/5 — pas bon du tout
Rouge : son tanin durcit au contact de la panure et l'iode (P34).
Principes de Pat : P34</t>
        </r>
      </text>
    </comment>
    <comment ref="K54" authorId="0">
      <text>
        <r>
          <rPr>
            <sz val="10"/>
            <rFont val="Arial"/>
            <family val="2"/>
          </rPr>
          <t xml:space="preserve">1/5 — pas bon du tout
Rouge : son tanin durcit au contact de la panure et l'iode (P34).
Principes de Pat : P34</t>
        </r>
      </text>
    </comment>
    <comment ref="K55" authorId="0">
      <text>
        <r>
          <rPr>
            <sz val="10"/>
            <rFont val="Arial"/>
            <family val="2"/>
          </rPr>
          <t xml:space="preserve">1/5 — pas bon du tout
Rouge : son tanin durcit au contact de la panure et l'iode (P34).
Principes de Pat : P34</t>
        </r>
      </text>
    </comment>
    <comment ref="K56" authorId="0">
      <text>
        <r>
          <rPr>
            <sz val="10"/>
            <rFont val="Arial"/>
            <family val="2"/>
          </rPr>
          <t xml:space="preserve">1/5 — pas bon du tout
Rouge : son tanin durcit au contact de la panure et l'iode (P34).
Principes de Pat : P34</t>
        </r>
      </text>
    </comment>
    <comment ref="K57" authorId="0">
      <text>
        <r>
          <rPr>
            <sz val="10"/>
            <rFont val="Arial"/>
            <family val="2"/>
          </rPr>
          <t xml:space="preserve">1/5 — pas bon du tout
Rouge : son tanin durcit au contact de la panure et l'iode (P34).
Principes de Pat : P34</t>
        </r>
      </text>
    </comment>
    <comment ref="K58" authorId="0">
      <text>
        <r>
          <rPr>
            <sz val="10"/>
            <rFont val="Arial"/>
            <family val="2"/>
          </rPr>
          <t xml:space="preserve">2/5 — médiocre
Rouge : son tanin durcit au contact de la panure et l'iode (P34) ; seule sa légèreté limite les dégâts (P20).
Principes de Pat : P34, P20</t>
        </r>
      </text>
    </comment>
    <comment ref="K59" authorId="0">
      <text>
        <r>
          <rPr>
            <sz val="10"/>
            <rFont val="Arial"/>
            <family val="2"/>
          </rPr>
          <t xml:space="preserve">1/5 — pas bon du tout
Rouge : son tanin durcit au contact de la panure et l'iode (P34).
Principes de Pat : P34</t>
        </r>
      </text>
    </comment>
    <comment ref="K60" authorId="0">
      <text>
        <r>
          <rPr>
            <sz val="10"/>
            <rFont val="Arial"/>
            <family val="2"/>
          </rPr>
          <t xml:space="preserve">1/5 — pas bon du tout
Rouge : son tanin durcit au contact de la panure et l'iode (P34).
Principes de Pat : P34</t>
        </r>
      </text>
    </comment>
    <comment ref="K61" authorId="0">
      <text>
        <r>
          <rPr>
            <sz val="10"/>
            <rFont val="Arial"/>
            <family val="2"/>
          </rPr>
          <t xml:space="preserve">1/5 — pas bon du tout
Rouge : son tanin durcit au contact de la panure et l'iode (P34).
Principes de Pat : P34</t>
        </r>
      </text>
    </comment>
    <comment ref="K62" authorId="0">
      <text>
        <r>
          <rPr>
            <sz val="10"/>
            <rFont val="Arial"/>
            <family val="2"/>
          </rPr>
          <t xml:space="preserve">1/5 — pas bon du tout
Rouge : son tanin durcit au contact de la panure et l'iode (P34).
Principes de Pat : P34</t>
        </r>
      </text>
    </comment>
    <comment ref="K63" authorId="0">
      <text>
        <r>
          <rPr>
            <sz val="10"/>
            <rFont val="Arial"/>
            <family val="2"/>
          </rPr>
          <t xml:space="preserve">1/5 — pas bon du tout
Rouge : son tanin durcit au contact de la panure et l'iode (P34).
Principes de Pat : P34</t>
        </r>
      </text>
    </comment>
    <comment ref="K64" authorId="0">
      <text>
        <r>
          <rPr>
            <sz val="10"/>
            <rFont val="Arial"/>
            <family val="2"/>
          </rPr>
          <t xml:space="preserve">1/5 — pas bon du tout
Rouge : son tanin durcit au contact de la panure et l'iode (P34).
Principes de Pat : P34</t>
        </r>
      </text>
    </comment>
    <comment ref="K65" authorId="0">
      <text>
        <r>
          <rPr>
            <sz val="10"/>
            <rFont val="Arial"/>
            <family val="2"/>
          </rPr>
          <t xml:space="preserve">1/5 — pas bon du tout
Rouge : son tanin durcit au contact de la panure et l'iode (P34).
Principes de Pat : P34</t>
        </r>
      </text>
    </comment>
    <comment ref="K66" authorId="0">
      <text>
        <r>
          <rPr>
            <sz val="10"/>
            <rFont val="Arial"/>
            <family val="2"/>
          </rPr>
          <t xml:space="preserve">1/5 — pas bon du tout
Rouge : son tanin durcit au contact de la panure et l'iode (P34).
Principes de Pat : P34</t>
        </r>
      </text>
    </comment>
    <comment ref="K67" authorId="0">
      <text>
        <r>
          <rPr>
            <sz val="10"/>
            <rFont val="Arial"/>
            <family val="2"/>
          </rPr>
          <t xml:space="preserve">1/5 — pas bon du tout
Rouge : son tanin durcit au contact de la panure et l'iode (P34).
Principes de Pat : P34</t>
        </r>
      </text>
    </comment>
    <comment ref="K68" authorId="0">
      <text>
        <r>
          <rPr>
            <sz val="10"/>
            <rFont val="Arial"/>
            <family val="2"/>
          </rPr>
          <t xml:space="preserve">1/5 — pas bon du tout
Rouge : son tanin durcit au contact de la panure et l'iode (P34).
Principes de Pat : P34</t>
        </r>
      </text>
    </comment>
    <comment ref="K70" authorId="0">
      <text>
        <r>
          <rPr>
            <sz val="10"/>
            <rFont val="Arial"/>
            <family val="2"/>
          </rPr>
          <t xml:space="preserve">3/5 — correct
Acidité trop faible face à la friture (P34).
Principes de Pat : P34</t>
        </r>
      </text>
    </comment>
    <comment ref="K71" authorId="0">
      <text>
        <r>
          <rPr>
            <sz val="10"/>
            <rFont val="Arial"/>
            <family val="2"/>
          </rPr>
          <t xml:space="preserve">3/5 — correct
Acidité trop faible face à la friture (P34).
Principes de Pat : P34</t>
        </r>
      </text>
    </comment>
    <comment ref="K73" authorId="0">
      <text>
        <r>
          <rPr>
            <sz val="10"/>
            <rFont val="Arial"/>
            <family val="2"/>
          </rPr>
          <t xml:space="preserve">3/5 — correct
Acidité trop faible face à la friture (P34).
Principes de Pat : P34</t>
        </r>
      </text>
    </comment>
    <comment ref="K74" authorId="0">
      <text>
        <r>
          <rPr>
            <sz val="10"/>
            <rFont val="Arial"/>
            <family val="2"/>
          </rPr>
          <t xml:space="preserve">5/5 — accord parfait
Bulle septentrionale qui nettoie la friture et répond à l'iode de la crevette (P34, P42, P41).
Principes de Pat : P34, P42, P41</t>
        </r>
      </text>
    </comment>
    <comment ref="K75" authorId="0">
      <text>
        <r>
          <rPr>
            <sz val="10"/>
            <rFont val="Arial"/>
            <family val="2"/>
          </rPr>
          <t xml:space="preserve">5/5 — accord parfait
Bulle septentrionale qui nettoie la friture et répond à l'iode de la crevette (P34, P42, P41).
Principes de Pat : P34, P42, P41</t>
        </r>
      </text>
    </comment>
    <comment ref="K76" authorId="0">
      <text>
        <r>
          <rPr>
            <sz val="10"/>
            <rFont val="Arial"/>
            <family val="2"/>
          </rPr>
          <t xml:space="preserve">3/5 — correct
Tanin trop présent pour la panure et l'iode (P34) ; acidité trop faible face à la friture (P34).
Principes de Pat : P34</t>
        </r>
      </text>
    </comment>
    <comment ref="K77" authorId="0">
      <text>
        <r>
          <rPr>
            <sz val="10"/>
            <rFont val="Arial"/>
            <family val="2"/>
          </rPr>
          <t xml:space="preserve">5/5 — accord parfait
Bulle septentrionale qui nettoie la friture et répond à l'iode de la crevette (P34, P42, P41).
Principes de Pat : P34, P42, P41</t>
        </r>
      </text>
    </comment>
    <comment ref="K78" authorId="0">
      <text>
        <r>
          <rPr>
            <sz val="10"/>
            <rFont val="Arial"/>
            <family val="2"/>
          </rPr>
          <t xml:space="preserve">5/5 — accord parfait
Bulle septentrionale qui nettoie la friture et répond à l'iode de la crevette (P34, P42, P41).
Principes de Pat : P34, P42, P41</t>
        </r>
      </text>
    </comment>
    <comment ref="K79" authorId="0">
      <text>
        <r>
          <rPr>
            <sz val="10"/>
            <rFont val="Arial"/>
            <family val="2"/>
          </rPr>
          <t xml:space="preserve">5/5 — accord parfait
Bulle septentrionale qui nettoie la friture et répond à l'iode de la crevette (P34, P42, P41).
Principes de Pat : P34, P42, P41</t>
        </r>
      </text>
    </comment>
    <comment ref="K81" authorId="0">
      <text>
        <r>
          <rPr>
            <sz val="10"/>
            <rFont val="Arial"/>
            <family val="2"/>
          </rPr>
          <t xml:space="preserve">1/5 — pas bon du tout
Liquoreux hors de propos sur un plat salé qui n'appelle pas de sucre (P20, P4).
Principes de Pat : P20, P4</t>
        </r>
      </text>
    </comment>
    <comment ref="L7" authorId="0">
      <text>
        <r>
          <rPr>
            <sz val="10"/>
            <rFont val="Arial"/>
            <family val="2"/>
          </rPr>
          <t xml:space="preserve">4/5 — très bon
Blanc tendu, léger, sans bois : profil qui convient, sans point d'ancrage décisif (P20, P3).
Principes de Pat : P20, P3</t>
        </r>
      </text>
    </comment>
    <comment ref="L8" authorId="0">
      <text>
        <r>
          <rPr>
            <sz val="10"/>
            <rFont val="Arial"/>
            <family val="2"/>
          </rPr>
          <t xml:space="preserve">4/5 — très bon
Blanc tendu, de poids moyen, sans bois : profil qui convient, sans point d'ancrage décisif (P20, P3).
Principes de Pat : P20, P3</t>
        </r>
      </text>
    </comment>
    <comment ref="L9" authorId="0">
      <text>
        <r>
          <rPr>
            <sz val="10"/>
            <rFont val="Arial"/>
            <family val="2"/>
          </rPr>
          <t xml:space="preserve">4/5 — très bon
Blanc tendu, de poids moyen, sans bois : profil qui convient, sans point d'ancrage décisif (P20, P3).
Principes de Pat : P20, P3</t>
        </r>
      </text>
    </comment>
    <comment ref="L10" authorId="0">
      <text>
        <r>
          <rPr>
            <sz val="10"/>
            <rFont val="Arial"/>
            <family val="2"/>
          </rPr>
          <t xml:space="preserve">3/5 — correct
Le bois couvre la finesse et amplifie l'amertume (P19).
Principes de Pat : P19</t>
        </r>
      </text>
    </comment>
    <comment ref="L11" authorId="0">
      <text>
        <r>
          <rPr>
            <sz val="10"/>
            <rFont val="Arial"/>
            <family val="2"/>
          </rPr>
          <t xml:space="preserve">5/5 — accord parfait
Même terroir que l'escargot (origine à confirmer) ; l'acidité coupe le beurre persillé (P2, P3).
Principes de Pat : P2, P3</t>
        </r>
      </text>
    </comment>
    <comment ref="L12" authorId="0">
      <text>
        <r>
          <rPr>
            <sz val="10"/>
            <rFont val="Arial"/>
            <family val="2"/>
          </rPr>
          <t xml:space="preserve">5/5 — accord parfait
Même terroir que l'escargot (origine à confirmer) ; l'acidité coupe le beurre persillé (P2, P3).
Principes de Pat : P2, P3</t>
        </r>
      </text>
    </comment>
    <comment ref="L13" authorId="0">
      <text>
        <r>
          <rPr>
            <sz val="10"/>
            <rFont val="Arial"/>
            <family val="2"/>
          </rPr>
          <t xml:space="preserve">5/5 — accord parfait
Même terroir que l'escargot (origine à confirmer) ; l'acidité coupe le beurre persillé (P2, P3).
Principes de Pat : P2, P3</t>
        </r>
      </text>
    </comment>
    <comment ref="L14" authorId="0">
      <text>
        <r>
          <rPr>
            <sz val="10"/>
            <rFont val="Arial"/>
            <family val="2"/>
          </rPr>
          <t xml:space="preserve">3/5 — correct
Le bois couvre la finesse et amplifie l'amertume (P19).
Principes de Pat : P19</t>
        </r>
      </text>
    </comment>
    <comment ref="L15" authorId="0">
      <text>
        <r>
          <rPr>
            <sz val="10"/>
            <rFont val="Arial"/>
            <family val="2"/>
          </rPr>
          <t xml:space="preserve">3/5 — correct
Le bois couvre la finesse et amplifie l'amertume (P19).
Principes de Pat : P19</t>
        </r>
      </text>
    </comment>
    <comment ref="L16" authorId="0">
      <text>
        <r>
          <rPr>
            <sz val="10"/>
            <rFont val="Arial"/>
            <family val="2"/>
          </rPr>
          <t xml:space="preserve">3/5 — correct
Le bois couvre la finesse et amplifie l'amertume (P19).
Principes de Pat : P19</t>
        </r>
      </text>
    </comment>
    <comment ref="L17" authorId="0">
      <text>
        <r>
          <rPr>
            <sz val="10"/>
            <rFont val="Arial"/>
            <family val="2"/>
          </rPr>
          <t xml:space="preserve">3/5 — correct
Le bois couvre la finesse et amplifie l'amertume (P19).
Principes de Pat : P19</t>
        </r>
      </text>
    </comment>
    <comment ref="L18" authorId="0">
      <text>
        <r>
          <rPr>
            <sz val="10"/>
            <rFont val="Arial"/>
            <family val="2"/>
          </rPr>
          <t xml:space="preserve">3/5 — correct
Le bois couvre la finesse et amplifie l'amertume (P19).
Principes de Pat : P19</t>
        </r>
      </text>
    </comment>
    <comment ref="L19" authorId="0">
      <text>
        <r>
          <rPr>
            <sz val="10"/>
            <rFont val="Arial"/>
            <family val="2"/>
          </rPr>
          <t xml:space="preserve">3/5 — correct
Le bois couvre la finesse et amplifie l'amertume (P19).
Principes de Pat : P19</t>
        </r>
      </text>
    </comment>
    <comment ref="L20" authorId="0">
      <text>
        <r>
          <rPr>
            <sz val="10"/>
            <rFont val="Arial"/>
            <family val="2"/>
          </rPr>
          <t xml:space="preserve">4/5 — très bon
Blanc souple, ample, peu boisé : profil qui convient, sans point d'ancrage décisif (P20, P3).
Principes de Pat : P20, P3</t>
        </r>
      </text>
    </comment>
    <comment ref="L21" authorId="0">
      <text>
        <r>
          <rPr>
            <sz val="10"/>
            <rFont val="Arial"/>
            <family val="2"/>
          </rPr>
          <t xml:space="preserve">3/5 — correct
Acidité trop faible face au beurre d'escargot (P3).
Principes de Pat : P3</t>
        </r>
      </text>
    </comment>
    <comment ref="L22" authorId="0">
      <text>
        <r>
          <rPr>
            <sz val="10"/>
            <rFont val="Arial"/>
            <family val="2"/>
          </rPr>
          <t xml:space="preserve">3/5 — correct
Acidité trop faible face au beurre d'escargot (P3).
Principes de Pat : P3</t>
        </r>
      </text>
    </comment>
    <comment ref="L23" authorId="0">
      <text>
        <r>
          <rPr>
            <sz val="10"/>
            <rFont val="Arial"/>
            <family val="2"/>
          </rPr>
          <t xml:space="preserve">4/5 — très bon
Blanc souple, léger, sans bois : profil qui convient, sans point d'ancrage décisif (P20, P3).
Principes de Pat : P20, P3</t>
        </r>
      </text>
    </comment>
    <comment ref="L24" authorId="0">
      <text>
        <r>
          <rPr>
            <sz val="10"/>
            <rFont val="Arial"/>
            <family val="2"/>
          </rPr>
          <t xml:space="preserve">4/5 — très bon
Blanc tendu, léger, sans bois : profil qui convient, sans point d'ancrage décisif (P20, P3).
Principes de Pat : P20, P3</t>
        </r>
      </text>
    </comment>
    <comment ref="L25" authorId="0">
      <text>
        <r>
          <rPr>
            <sz val="10"/>
            <rFont val="Arial"/>
            <family val="2"/>
          </rPr>
          <t xml:space="preserve">4/5 — très bon
Blanc souple, ample, peu boisé : profil qui convient, sans point d'ancrage décisif (P20, P3).
Principes de Pat : P20, P3</t>
        </r>
      </text>
    </comment>
    <comment ref="L26" authorId="0">
      <text>
        <r>
          <rPr>
            <sz val="10"/>
            <rFont val="Arial"/>
            <family val="2"/>
          </rPr>
          <t xml:space="preserve">4/5 — très bon
Blanc tendu, de poids moyen, peu boisé : profil qui convient, sans point d'ancrage décisif (P20, P3).
Principes de Pat : P20, P3</t>
        </r>
      </text>
    </comment>
    <comment ref="L27" authorId="0">
      <text>
        <r>
          <rPr>
            <sz val="10"/>
            <rFont val="Arial"/>
            <family val="2"/>
          </rPr>
          <t xml:space="preserve">5/5 — accord parfait
Même terroir que l'escargot (origine à confirmer) ; l'acidité coupe le beurre persillé (P2, P3).
Principes de Pat : P2, P3</t>
        </r>
      </text>
    </comment>
    <comment ref="L29" authorId="0">
      <text>
        <r>
          <rPr>
            <sz val="10"/>
            <rFont val="Arial"/>
            <family val="2"/>
          </rPr>
          <t xml:space="preserve">4/5 — très bon
Rouge léger très peu tannique : profil qui convient, sans point d'ancrage décisif (P20, P29).
Principes de Pat : P20, P29</t>
        </r>
      </text>
    </comment>
    <comment ref="L30" authorId="0">
      <text>
        <r>
          <rPr>
            <sz val="10"/>
            <rFont val="Arial"/>
            <family val="2"/>
          </rPr>
          <t xml:space="preserve">4/5 — très bon
Rouge de poids moyen aux tanins fins : profil qui convient, sans point d'ancrage décisif (P20, P29).
Principes de Pat : P20, P29</t>
        </r>
      </text>
    </comment>
    <comment ref="L31" authorId="0">
      <text>
        <r>
          <rPr>
            <sz val="10"/>
            <rFont val="Arial"/>
            <family val="2"/>
          </rPr>
          <t xml:space="preserve">4/5 — très bon
Rouge puissant aux tanins fondus, patiné : profil qui convient, sans point d'ancrage décisif (P20, P29).
Principes de Pat : P20, P29</t>
        </r>
      </text>
    </comment>
    <comment ref="L32" authorId="0">
      <text>
        <r>
          <rPr>
            <sz val="10"/>
            <rFont val="Arial"/>
            <family val="2"/>
          </rPr>
          <t xml:space="preserve">4/5 — très bon
Même terroir que l'escargot (origine à confirmer), rouge léger possible (P2).
Principes de Pat : P2</t>
        </r>
      </text>
    </comment>
    <comment ref="L33" authorId="0">
      <text>
        <r>
          <rPr>
            <sz val="10"/>
            <rFont val="Arial"/>
            <family val="2"/>
          </rPr>
          <t xml:space="preserve">4/5 — très bon
Même terroir que l'escargot (origine à confirmer), rouge léger possible (P2) ; le bois couvre la finesse et amplifie l'amertume (P19).
Principes de Pat : P2, P19</t>
        </r>
      </text>
    </comment>
    <comment ref="L34" authorId="0">
      <text>
        <r>
          <rPr>
            <sz val="10"/>
            <rFont val="Arial"/>
            <family val="2"/>
          </rPr>
          <t xml:space="preserve">3/5 — correct
Tanin trop présent pour l'umami de l'escargot (P29) ; le bois couvre la finesse et amplifie l'amertume (P19).
Principes de Pat : P29, P19</t>
        </r>
      </text>
    </comment>
    <comment ref="L35" authorId="0">
      <text>
        <r>
          <rPr>
            <sz val="10"/>
            <rFont val="Arial"/>
            <family val="2"/>
          </rPr>
          <t xml:space="preserve">3/5 — correct
Tanin trop présent pour l'umami de l'escargot (P29) ; le bois couvre la finesse et amplifie l'amertume (P19).
Principes de Pat : P29, P19</t>
        </r>
      </text>
    </comment>
    <comment ref="L36" authorId="0">
      <text>
        <r>
          <rPr>
            <sz val="10"/>
            <rFont val="Arial"/>
            <family val="2"/>
          </rPr>
          <t xml:space="preserve">2/5 — médiocre
Tanin trop présent pour l'umami de l'escargot (P29) ; le bois couvre la finesse et amplifie l'amertume (P19).
Principes de Pat : P29, P19</t>
        </r>
      </text>
    </comment>
    <comment ref="L37" authorId="0">
      <text>
        <r>
          <rPr>
            <sz val="10"/>
            <rFont val="Arial"/>
            <family val="2"/>
          </rPr>
          <t xml:space="preserve">2/5 — médiocre
Le bois couvre la finesse et amplifie l'amertume (P19) ; tanin trop présent pour l'umami de l'escargot (P29).
Principes de Pat : P19, P29</t>
        </r>
      </text>
    </comment>
    <comment ref="L38" authorId="0">
      <text>
        <r>
          <rPr>
            <sz val="10"/>
            <rFont val="Arial"/>
            <family val="2"/>
          </rPr>
          <t xml:space="preserve">4/5 — très bon
Rouge léger aux tanins fins : profil qui convient, sans point d'ancrage décisif (P20, P29).
Principes de Pat : P20, P29</t>
        </r>
      </text>
    </comment>
    <comment ref="L39" authorId="0">
      <text>
        <r>
          <rPr>
            <sz val="10"/>
            <rFont val="Arial"/>
            <family val="2"/>
          </rPr>
          <t xml:space="preserve">4/5 — très bon
Rouge léger aux tanins fins : profil qui convient, sans point d'ancrage décisif (P20, P29).
Principes de Pat : P20, P29</t>
        </r>
      </text>
    </comment>
    <comment ref="L40" authorId="0">
      <text>
        <r>
          <rPr>
            <sz val="10"/>
            <rFont val="Arial"/>
            <family val="2"/>
          </rPr>
          <t xml:space="preserve">3/5 — correct
Tanin trop présent pour l'umami de l'escargot (P29).
Principes de Pat : P29</t>
        </r>
      </text>
    </comment>
    <comment ref="L41" authorId="0">
      <text>
        <r>
          <rPr>
            <sz val="10"/>
            <rFont val="Arial"/>
            <family val="2"/>
          </rPr>
          <t xml:space="preserve">3/5 — correct
Tanin trop présent pour l'umami de l'escargot (P29).
Principes de Pat : P29</t>
        </r>
      </text>
    </comment>
    <comment ref="L42" authorId="0">
      <text>
        <r>
          <rPr>
            <sz val="10"/>
            <rFont val="Arial"/>
            <family val="2"/>
          </rPr>
          <t xml:space="preserve">3/5 — correct
Tanin trop présent pour l'umami de l'escargot (P29).
Principes de Pat : P29</t>
        </r>
      </text>
    </comment>
    <comment ref="L43" authorId="0">
      <text>
        <r>
          <rPr>
            <sz val="10"/>
            <rFont val="Arial"/>
            <family val="2"/>
          </rPr>
          <t xml:space="preserve">2/5 — médiocre
Tanin trop présent pour l'umami de l'escargot (P29) ; le bois couvre la finesse et amplifie l'amertume (P19).
Principes de Pat : P29, P19</t>
        </r>
      </text>
    </comment>
    <comment ref="L44" authorId="0">
      <text>
        <r>
          <rPr>
            <sz val="10"/>
            <rFont val="Arial"/>
            <family val="2"/>
          </rPr>
          <t xml:space="preserve">2/5 — médiocre
Tanin trop présent pour l'umami de l'escargot (P29) ; le bois couvre la finesse et amplifie l'amertume (P19).
Principes de Pat : P29, P19</t>
        </r>
      </text>
    </comment>
    <comment ref="L45" authorId="0">
      <text>
        <r>
          <rPr>
            <sz val="10"/>
            <rFont val="Arial"/>
            <family val="2"/>
          </rPr>
          <t xml:space="preserve">2/5 — médiocre
Tanin trop présent pour l'umami de l'escargot (P29) ; le bois couvre la finesse et amplifie l'amertume (P19).
Principes de Pat : P29, P19</t>
        </r>
      </text>
    </comment>
    <comment ref="L46" authorId="0">
      <text>
        <r>
          <rPr>
            <sz val="10"/>
            <rFont val="Arial"/>
            <family val="2"/>
          </rPr>
          <t xml:space="preserve">2/5 — médiocre
Tanin trop présent pour l'umami de l'escargot (P29) ; le bois couvre la finesse et amplifie l'amertume (P19).
Principes de Pat : P29, P19</t>
        </r>
      </text>
    </comment>
    <comment ref="L47" authorId="0">
      <text>
        <r>
          <rPr>
            <sz val="10"/>
            <rFont val="Arial"/>
            <family val="2"/>
          </rPr>
          <t xml:space="preserve">2/5 — médiocre
Tanin trop présent pour l'umami de l'escargot (P29) ; le bois couvre la finesse et amplifie l'amertume (P19).
Principes de Pat : P29, P19</t>
        </r>
      </text>
    </comment>
    <comment ref="L48" authorId="0">
      <text>
        <r>
          <rPr>
            <sz val="10"/>
            <rFont val="Arial"/>
            <family val="2"/>
          </rPr>
          <t xml:space="preserve">1/5 — pas bon du tout
Tanin trop présent pour l'umami de l'escargot (P29) ; le bois couvre la finesse et amplifie l'amertume (P19).
Principes de Pat : P29, P19</t>
        </r>
      </text>
    </comment>
    <comment ref="L49" authorId="0">
      <text>
        <r>
          <rPr>
            <sz val="10"/>
            <rFont val="Arial"/>
            <family val="2"/>
          </rPr>
          <t xml:space="preserve">1/5 — pas bon du tout
Tanin trop présent pour l'umami de l'escargot (P29) ; le bois couvre la finesse et amplifie l'amertume (P19) ; trop puissant, il écrase le plat (P20).
Principes de Pat : P29, P19, P20</t>
        </r>
      </text>
    </comment>
    <comment ref="L50" authorId="0">
      <text>
        <r>
          <rPr>
            <sz val="10"/>
            <rFont val="Arial"/>
            <family val="2"/>
          </rPr>
          <t xml:space="preserve">1/5 — pas bon du tout
Tanin trop présent pour l'umami de l'escargot (P29) ; le bois couvre la finesse et amplifie l'amertume (P19).
Principes de Pat : P29, P19</t>
        </r>
      </text>
    </comment>
    <comment ref="L51" authorId="0">
      <text>
        <r>
          <rPr>
            <sz val="10"/>
            <rFont val="Arial"/>
            <family val="2"/>
          </rPr>
          <t xml:space="preserve">3/5 — correct
Le bois couvre la finesse et amplifie l'amertume (P19).
Principes de Pat : P19</t>
        </r>
      </text>
    </comment>
    <comment ref="L52" authorId="0">
      <text>
        <r>
          <rPr>
            <sz val="10"/>
            <rFont val="Arial"/>
            <family val="2"/>
          </rPr>
          <t xml:space="preserve">2/5 — médiocre
Tanin trop présent pour l'umami de l'escargot (P29) ; le bois couvre la finesse et amplifie l'amertume (P19).
Principes de Pat : P29, P19</t>
        </r>
      </text>
    </comment>
    <comment ref="L53" authorId="0">
      <text>
        <r>
          <rPr>
            <sz val="10"/>
            <rFont val="Arial"/>
            <family val="2"/>
          </rPr>
          <t xml:space="preserve">2/5 — médiocre
Tanin trop présent pour l'umami de l'escargot (P29) ; le bois couvre la finesse et amplifie l'amertume (P19).
Principes de Pat : P29, P19</t>
        </r>
      </text>
    </comment>
    <comment ref="L54" authorId="0">
      <text>
        <r>
          <rPr>
            <sz val="10"/>
            <rFont val="Arial"/>
            <family val="2"/>
          </rPr>
          <t xml:space="preserve">1/5 — pas bon du tout
Tanin trop présent pour l'umami de l'escargot (P29) ; le bois couvre la finesse et amplifie l'amertume (P19).
Principes de Pat : P29, P19</t>
        </r>
      </text>
    </comment>
    <comment ref="L55" authorId="0">
      <text>
        <r>
          <rPr>
            <sz val="10"/>
            <rFont val="Arial"/>
            <family val="2"/>
          </rPr>
          <t xml:space="preserve">1/5 — pas bon du tout
Tanin trop présent pour l'umami de l'escargot (P29) ; le bois couvre la finesse et amplifie l'amertume (P19).
Principes de Pat : P29, P19</t>
        </r>
      </text>
    </comment>
    <comment ref="L56" authorId="0">
      <text>
        <r>
          <rPr>
            <sz val="10"/>
            <rFont val="Arial"/>
            <family val="2"/>
          </rPr>
          <t xml:space="preserve">3/5 — correct
Le bois couvre la finesse et amplifie l'amertume (P19).
Principes de Pat : P19</t>
        </r>
      </text>
    </comment>
    <comment ref="L57" authorId="0">
      <text>
        <r>
          <rPr>
            <sz val="10"/>
            <rFont val="Arial"/>
            <family val="2"/>
          </rPr>
          <t xml:space="preserve">1/5 — pas bon du tout
Tanin trop présent pour l'umami de l'escargot (P29) ; le bois couvre la finesse et amplifie l'amertume (P19).
Principes de Pat : P29, P19</t>
        </r>
      </text>
    </comment>
    <comment ref="L58" authorId="0">
      <text>
        <r>
          <rPr>
            <sz val="10"/>
            <rFont val="Arial"/>
            <family val="2"/>
          </rPr>
          <t xml:space="preserve">4/5 — très bon
Rouge léger aux tanins fins : profil qui convient, sans point d'ancrage décisif (P20, P29).
Principes de Pat : P20, P29</t>
        </r>
      </text>
    </comment>
    <comment ref="L59" authorId="0">
      <text>
        <r>
          <rPr>
            <sz val="10"/>
            <rFont val="Arial"/>
            <family val="2"/>
          </rPr>
          <t xml:space="preserve">3/5 — correct
Tanin trop présent pour l'umami de l'escargot (P29).
Principes de Pat : P29</t>
        </r>
      </text>
    </comment>
    <comment ref="L60" authorId="0">
      <text>
        <r>
          <rPr>
            <sz val="10"/>
            <rFont val="Arial"/>
            <family val="2"/>
          </rPr>
          <t xml:space="preserve">3/5 — correct
Tanin trop présent pour l'umami de l'escargot (P29).
Principes de Pat : P29</t>
        </r>
      </text>
    </comment>
    <comment ref="L61" authorId="0">
      <text>
        <r>
          <rPr>
            <sz val="10"/>
            <rFont val="Arial"/>
            <family val="2"/>
          </rPr>
          <t xml:space="preserve">2/5 — médiocre
Tanin trop présent pour l'umami de l'escargot (P29) ; le bois couvre la finesse et amplifie l'amertume (P19).
Principes de Pat : P29, P19</t>
        </r>
      </text>
    </comment>
    <comment ref="L62" authorId="0">
      <text>
        <r>
          <rPr>
            <sz val="10"/>
            <rFont val="Arial"/>
            <family val="2"/>
          </rPr>
          <t xml:space="preserve">1/5 — pas bon du tout
Tanin trop présent pour l'umami de l'escargot (P29) ; le bois couvre la finesse et amplifie l'amertume (P19).
Principes de Pat : P29, P19</t>
        </r>
      </text>
    </comment>
    <comment ref="L63" authorId="0">
      <text>
        <r>
          <rPr>
            <sz val="10"/>
            <rFont val="Arial"/>
            <family val="2"/>
          </rPr>
          <t xml:space="preserve">1/5 — pas bon du tout
Tanin trop présent pour l'umami de l'escargot (P29) ; le bois couvre la finesse et amplifie l'amertume (P19).
Principes de Pat : P29, P19</t>
        </r>
      </text>
    </comment>
    <comment ref="L64" authorId="0">
      <text>
        <r>
          <rPr>
            <sz val="10"/>
            <rFont val="Arial"/>
            <family val="2"/>
          </rPr>
          <t xml:space="preserve">2/5 — médiocre
Tanin trop présent pour l'umami de l'escargot (P29) ; le bois couvre la finesse et amplifie l'amertume (P19).
Principes de Pat : P29, P19</t>
        </r>
      </text>
    </comment>
    <comment ref="L65" authorId="0">
      <text>
        <r>
          <rPr>
            <sz val="10"/>
            <rFont val="Arial"/>
            <family val="2"/>
          </rPr>
          <t xml:space="preserve">1/5 — pas bon du tout
Le bois couvre la finesse et amplifie l'amertume (P19) ; tanin trop présent pour l'umami de l'escargot (P29) ; trop puissant, il écrase le plat (P20).
Principes de Pat : P19, P29, P20</t>
        </r>
      </text>
    </comment>
    <comment ref="L66" authorId="0">
      <text>
        <r>
          <rPr>
            <sz val="10"/>
            <rFont val="Arial"/>
            <family val="2"/>
          </rPr>
          <t xml:space="preserve">4/5 — très bon
Rouge de poids moyen aux tanins fondus, patiné : profil qui convient, sans point d'ancrage décisif (P20, P29).
Principes de Pat : P20, P29</t>
        </r>
      </text>
    </comment>
    <comment ref="L67" authorId="0">
      <text>
        <r>
          <rPr>
            <sz val="10"/>
            <rFont val="Arial"/>
            <family val="2"/>
          </rPr>
          <t xml:space="preserve">3/5 — correct
Tanin trop présent pour l'umami de l'escargot (P29).
Principes de Pat : P29</t>
        </r>
      </text>
    </comment>
    <comment ref="L68" authorId="0">
      <text>
        <r>
          <rPr>
            <sz val="10"/>
            <rFont val="Arial"/>
            <family val="2"/>
          </rPr>
          <t xml:space="preserve">1/5 — pas bon du tout
Tanin trop présent pour l'umami de l'escargot (P29) ; le bois couvre la finesse et amplifie l'amertume (P19).
Principes de Pat : P29, P19</t>
        </r>
      </text>
    </comment>
    <comment ref="L70" authorId="0">
      <text>
        <r>
          <rPr>
            <sz val="10"/>
            <rFont val="Arial"/>
            <family val="2"/>
          </rPr>
          <t xml:space="preserve">3/5 — correct
Rosé souple, léger, sans bois : profil qui convient, sans point d'ancrage décisif (P20, P3).
Principes de Pat : P20, P3</t>
        </r>
      </text>
    </comment>
    <comment ref="L71" authorId="0">
      <text>
        <r>
          <rPr>
            <sz val="10"/>
            <rFont val="Arial"/>
            <family val="2"/>
          </rPr>
          <t xml:space="preserve">3/5 — correct
Rosé souple, léger, sans bois : profil qui convient, sans point d'ancrage décisif (P20, P3).
Principes de Pat : P20, P3</t>
        </r>
      </text>
    </comment>
    <comment ref="L73" authorId="0">
      <text>
        <r>
          <rPr>
            <sz val="10"/>
            <rFont val="Arial"/>
            <family val="2"/>
          </rPr>
          <t xml:space="preserve">3/5 — correct
La bulle ne trouve pas d'ancrage dans le beurre d'escargot (P41).
Principes de Pat : P41</t>
        </r>
      </text>
    </comment>
    <comment ref="L74" authorId="0">
      <text>
        <r>
          <rPr>
            <sz val="10"/>
            <rFont val="Arial"/>
            <family val="2"/>
          </rPr>
          <t xml:space="preserve">3/5 — correct
La bulle ne trouve pas d'ancrage dans le beurre d'escargot (P41).
Principes de Pat : P41</t>
        </r>
      </text>
    </comment>
    <comment ref="L75" authorId="0">
      <text>
        <r>
          <rPr>
            <sz val="10"/>
            <rFont val="Arial"/>
            <family val="2"/>
          </rPr>
          <t xml:space="preserve">3/5 — correct
La bulle ne trouve pas d'ancrage dans le beurre d'escargot (P41).
Principes de Pat : P41</t>
        </r>
      </text>
    </comment>
    <comment ref="L76" authorId="0">
      <text>
        <r>
          <rPr>
            <sz val="10"/>
            <rFont val="Arial"/>
            <family val="2"/>
          </rPr>
          <t xml:space="preserve">3/5 — correct
La bulle ne trouve pas d'ancrage dans le beurre d'escargot (P41).
Principes de Pat : P41</t>
        </r>
      </text>
    </comment>
    <comment ref="L77" authorId="0">
      <text>
        <r>
          <rPr>
            <sz val="10"/>
            <rFont val="Arial"/>
            <family val="2"/>
          </rPr>
          <t xml:space="preserve">3/5 — correct
La bulle ne trouve pas d'ancrage dans le beurre d'escargot (P41).
Principes de Pat : P41</t>
        </r>
      </text>
    </comment>
    <comment ref="L78" authorId="0">
      <text>
        <r>
          <rPr>
            <sz val="10"/>
            <rFont val="Arial"/>
            <family val="2"/>
          </rPr>
          <t xml:space="preserve">3/5 — correct
La bulle ne trouve pas d'ancrage dans le beurre d'escargot (P41).
Principes de Pat : P41</t>
        </r>
      </text>
    </comment>
    <comment ref="L79" authorId="0">
      <text>
        <r>
          <rPr>
            <sz val="10"/>
            <rFont val="Arial"/>
            <family val="2"/>
          </rPr>
          <t xml:space="preserve">3/5 — correct
La bulle ne trouve pas d'ancrage dans le beurre d'escargot (P41).
Principes de Pat : P41</t>
        </r>
      </text>
    </comment>
    <comment ref="L81" authorId="0">
      <text>
        <r>
          <rPr>
            <sz val="10"/>
            <rFont val="Arial"/>
            <family val="2"/>
          </rPr>
          <t xml:space="preserve">1/5 — pas bon du tout
Liquoreux hors de propos sur un plat salé qui n'appelle pas de sucre (P20, P4).
Principes de Pat : P20, P4</t>
        </r>
      </text>
    </comment>
    <comment ref="M7" authorId="0">
      <text>
        <r>
          <rPr>
            <sz val="10"/>
            <rFont val="Arial"/>
            <family val="2"/>
          </rPr>
          <t xml:space="preserve">2/5 — médiocre
Blanc sec qui paraît maigre et dur face à la sauce aigre-douce (P22).
Principes de Pat : P22</t>
        </r>
      </text>
    </comment>
    <comment ref="M8" authorId="0">
      <text>
        <r>
          <rPr>
            <sz val="10"/>
            <rFont val="Arial"/>
            <family val="2"/>
          </rPr>
          <t xml:space="preserve">2/5 — médiocre
Blanc sec qui paraît maigre et dur face à la sauce aigre-douce (P22).
Principes de Pat : P22</t>
        </r>
      </text>
    </comment>
    <comment ref="M9" authorId="0">
      <text>
        <r>
          <rPr>
            <sz val="10"/>
            <rFont val="Arial"/>
            <family val="2"/>
          </rPr>
          <t xml:space="preserve">2/5 — médiocre
Blanc sec qui paraît maigre et dur face à la sauce aigre-douce (P22).
Principes de Pat : P22</t>
        </r>
      </text>
    </comment>
    <comment ref="M10" authorId="0">
      <text>
        <r>
          <rPr>
            <sz val="10"/>
            <rFont val="Arial"/>
            <family val="2"/>
          </rPr>
          <t xml:space="preserve">1/5 — pas bon du tout
Vin sec, rond ou boisé, que le sucre rend amer et alcooleux (P22, P19).
Principes de Pat : P22, P19</t>
        </r>
      </text>
    </comment>
    <comment ref="M11" authorId="0">
      <text>
        <r>
          <rPr>
            <sz val="10"/>
            <rFont val="Arial"/>
            <family val="2"/>
          </rPr>
          <t xml:space="preserve">2/5 — médiocre
Blanc sec qui paraît maigre et dur face à la sauce aigre-douce (P22).
Principes de Pat : P22</t>
        </r>
      </text>
    </comment>
    <comment ref="M12" authorId="0">
      <text>
        <r>
          <rPr>
            <sz val="10"/>
            <rFont val="Arial"/>
            <family val="2"/>
          </rPr>
          <t xml:space="preserve">2/5 — médiocre
Blanc sec qui paraît maigre et dur face à la sauce aigre-douce (P22).
Principes de Pat : P22</t>
        </r>
      </text>
    </comment>
    <comment ref="M13" authorId="0">
      <text>
        <r>
          <rPr>
            <sz val="10"/>
            <rFont val="Arial"/>
            <family val="2"/>
          </rPr>
          <t xml:space="preserve">2/5 — médiocre
Blanc sec qui paraît maigre et dur face à la sauce aigre-douce (P22).
Principes de Pat : P22</t>
        </r>
      </text>
    </comment>
    <comment ref="M14" authorId="0">
      <text>
        <r>
          <rPr>
            <sz val="10"/>
            <rFont val="Arial"/>
            <family val="2"/>
          </rPr>
          <t xml:space="preserve">1/5 — pas bon du tout
Vin sec, rond ou boisé, que le sucre rend amer et alcooleux (P22, P19).
Principes de Pat : P22, P19</t>
        </r>
      </text>
    </comment>
    <comment ref="M15" authorId="0">
      <text>
        <r>
          <rPr>
            <sz val="10"/>
            <rFont val="Arial"/>
            <family val="2"/>
          </rPr>
          <t xml:space="preserve">1/5 — pas bon du tout
Vin sec, rond ou boisé, que le sucre rend amer et alcooleux (P22, P19).
Principes de Pat : P22, P19</t>
        </r>
      </text>
    </comment>
    <comment ref="M16" authorId="0">
      <text>
        <r>
          <rPr>
            <sz val="10"/>
            <rFont val="Arial"/>
            <family val="2"/>
          </rPr>
          <t xml:space="preserve">1/5 — pas bon du tout
Vin sec, rond ou boisé, que le sucre rend amer et alcooleux (P22, P19).
Principes de Pat : P22, P19</t>
        </r>
      </text>
    </comment>
    <comment ref="M17" authorId="0">
      <text>
        <r>
          <rPr>
            <sz val="10"/>
            <rFont val="Arial"/>
            <family val="2"/>
          </rPr>
          <t xml:space="preserve">1/5 — pas bon du tout
Vin sec, rond ou boisé, que le sucre rend amer et alcooleux (P22, P19).
Principes de Pat : P22, P19</t>
        </r>
      </text>
    </comment>
    <comment ref="M18" authorId="0">
      <text>
        <r>
          <rPr>
            <sz val="10"/>
            <rFont val="Arial"/>
            <family val="2"/>
          </rPr>
          <t xml:space="preserve">1/5 — pas bon du tout
Vin sec, rond ou boisé, que le sucre rend amer et alcooleux (P22, P19).
Principes de Pat : P22, P19</t>
        </r>
      </text>
    </comment>
    <comment ref="M19" authorId="0">
      <text>
        <r>
          <rPr>
            <sz val="10"/>
            <rFont val="Arial"/>
            <family val="2"/>
          </rPr>
          <t xml:space="preserve">1/5 — pas bon du tout
Vin sec, rond ou boisé, que le sucre rend amer et alcooleux (P22, P19).
Principes de Pat : P22, P19</t>
        </r>
      </text>
    </comment>
    <comment ref="M20" authorId="0">
      <text>
        <r>
          <rPr>
            <sz val="10"/>
            <rFont val="Arial"/>
            <family val="2"/>
          </rPr>
          <t xml:space="preserve">2/5 — médiocre
Blanc sec qui paraît maigre et dur face à la sauce aigre-douce (P22).
Principes de Pat : P22</t>
        </r>
      </text>
    </comment>
    <comment ref="M21" authorId="0">
      <text>
        <r>
          <rPr>
            <sz val="10"/>
            <rFont val="Arial"/>
            <family val="2"/>
          </rPr>
          <t xml:space="preserve">1/5 — pas bon du tout
Vin sec, rond ou boisé, que le sucre rend amer et alcooleux (P22, P19).
Principes de Pat : P22, P19</t>
        </r>
      </text>
    </comment>
    <comment ref="M22" authorId="0">
      <text>
        <r>
          <rPr>
            <sz val="10"/>
            <rFont val="Arial"/>
            <family val="2"/>
          </rPr>
          <t xml:space="preserve">1/5 — pas bon du tout
Vin sec, rond ou boisé, que le sucre rend amer et alcooleux (P22, P19).
Principes de Pat : P22, P19</t>
        </r>
      </text>
    </comment>
    <comment ref="M23" authorId="0">
      <text>
        <r>
          <rPr>
            <sz val="10"/>
            <rFont val="Arial"/>
            <family val="2"/>
          </rPr>
          <t xml:space="preserve">2/5 — médiocre
Blanc sec qui paraît maigre et dur face à la sauce aigre-douce (P22).
Principes de Pat : P22</t>
        </r>
      </text>
    </comment>
    <comment ref="M24" authorId="0">
      <text>
        <r>
          <rPr>
            <sz val="10"/>
            <rFont val="Arial"/>
            <family val="2"/>
          </rPr>
          <t xml:space="preserve">2/5 — médiocre
Blanc sec qui paraît maigre et dur face à la sauce aigre-douce (P22).
Principes de Pat : P22</t>
        </r>
      </text>
    </comment>
    <comment ref="M25" authorId="0">
      <text>
        <r>
          <rPr>
            <sz val="10"/>
            <rFont val="Arial"/>
            <family val="2"/>
          </rPr>
          <t xml:space="preserve">2/5 — médiocre
Blanc sec qui paraît maigre et dur face à la sauce aigre-douce (P22).
Principes de Pat : P22</t>
        </r>
      </text>
    </comment>
    <comment ref="M26" authorId="0">
      <text>
        <r>
          <rPr>
            <sz val="10"/>
            <rFont val="Arial"/>
            <family val="2"/>
          </rPr>
          <t xml:space="preserve">2/5 — médiocre
Blanc sec qui paraît maigre et dur face à la sauce aigre-douce (P22).
Principes de Pat : P22</t>
        </r>
      </text>
    </comment>
    <comment ref="M27" authorId="0">
      <text>
        <r>
          <rPr>
            <sz val="10"/>
            <rFont val="Arial"/>
            <family val="2"/>
          </rPr>
          <t xml:space="preserve">2/5 — médiocre
Blanc sec qui paraît maigre et dur face à la sauce aigre-douce (P22).
Principes de Pat : P22</t>
        </r>
      </text>
    </comment>
    <comment ref="M29" authorId="0">
      <text>
        <r>
          <rPr>
            <sz val="10"/>
            <rFont val="Arial"/>
            <family val="2"/>
          </rPr>
          <t xml:space="preserve">1/5 — pas bon du tout
Tanin durci par le sucre et le vinaigre de la sauce (P22, P23).
Principes de Pat : P22, P23</t>
        </r>
      </text>
    </comment>
    <comment ref="M30" authorId="0">
      <text>
        <r>
          <rPr>
            <sz val="10"/>
            <rFont val="Arial"/>
            <family val="2"/>
          </rPr>
          <t xml:space="preserve">1/5 — pas bon du tout
Tanin durci par le sucre et le vinaigre de la sauce (P22, P23).
Principes de Pat : P22, P23</t>
        </r>
      </text>
    </comment>
    <comment ref="M31" authorId="0">
      <text>
        <r>
          <rPr>
            <sz val="10"/>
            <rFont val="Arial"/>
            <family val="2"/>
          </rPr>
          <t xml:space="preserve">1/5 — pas bon du tout
Tanin durci par le sucre et le vinaigre de la sauce (P22, P23).
Principes de Pat : P22, P23</t>
        </r>
      </text>
    </comment>
    <comment ref="M32" authorId="0">
      <text>
        <r>
          <rPr>
            <sz val="10"/>
            <rFont val="Arial"/>
            <family val="2"/>
          </rPr>
          <t xml:space="preserve">1/5 — pas bon du tout
Tanin durci par le sucre et le vinaigre de la sauce (P22, P23).
Principes de Pat : P22, P23</t>
        </r>
      </text>
    </comment>
    <comment ref="M33" authorId="0">
      <text>
        <r>
          <rPr>
            <sz val="10"/>
            <rFont val="Arial"/>
            <family val="2"/>
          </rPr>
          <t xml:space="preserve">1/5 — pas bon du tout
Tanin durci par le sucre et le vinaigre de la sauce (P22, P23).
Principes de Pat : P22, P23</t>
        </r>
      </text>
    </comment>
    <comment ref="M34" authorId="0">
      <text>
        <r>
          <rPr>
            <sz val="10"/>
            <rFont val="Arial"/>
            <family val="2"/>
          </rPr>
          <t xml:space="preserve">1/5 — pas bon du tout
Tanin durci par le sucre et le vinaigre de la sauce (P22, P23).
Principes de Pat : P22, P23</t>
        </r>
      </text>
    </comment>
    <comment ref="M35" authorId="0">
      <text>
        <r>
          <rPr>
            <sz val="10"/>
            <rFont val="Arial"/>
            <family val="2"/>
          </rPr>
          <t xml:space="preserve">1/5 — pas bon du tout
Tanin durci par le sucre et le vinaigre de la sauce (P22, P23).
Principes de Pat : P22, P23</t>
        </r>
      </text>
    </comment>
    <comment ref="M36" authorId="0">
      <text>
        <r>
          <rPr>
            <sz val="10"/>
            <rFont val="Arial"/>
            <family val="2"/>
          </rPr>
          <t xml:space="preserve">1/5 — pas bon du tout
Tanin durci par le sucre et le vinaigre de la sauce (P22, P23).
Principes de Pat : P22, P23</t>
        </r>
      </text>
    </comment>
    <comment ref="M37" authorId="0">
      <text>
        <r>
          <rPr>
            <sz val="10"/>
            <rFont val="Arial"/>
            <family val="2"/>
          </rPr>
          <t xml:space="preserve">1/5 — pas bon du tout
Tanin durci par le sucre et le vinaigre de la sauce (P22, P23).
Principes de Pat : P22, P23</t>
        </r>
      </text>
    </comment>
    <comment ref="M38" authorId="0">
      <text>
        <r>
          <rPr>
            <sz val="10"/>
            <rFont val="Arial"/>
            <family val="2"/>
          </rPr>
          <t xml:space="preserve">1/5 — pas bon du tout
Tanin durci par le sucre et le vinaigre de la sauce (P22, P23).
Principes de Pat : P22, P23</t>
        </r>
      </text>
    </comment>
    <comment ref="M39" authorId="0">
      <text>
        <r>
          <rPr>
            <sz val="10"/>
            <rFont val="Arial"/>
            <family val="2"/>
          </rPr>
          <t xml:space="preserve">1/5 — pas bon du tout
Tanin durci par le sucre et le vinaigre de la sauce (P22, P23).
Principes de Pat : P22, P23</t>
        </r>
      </text>
    </comment>
    <comment ref="M40" authorId="0">
      <text>
        <r>
          <rPr>
            <sz val="10"/>
            <rFont val="Arial"/>
            <family val="2"/>
          </rPr>
          <t xml:space="preserve">1/5 — pas bon du tout
Tanin durci par le sucre et le vinaigre de la sauce (P22, P23).
Principes de Pat : P22, P23</t>
        </r>
      </text>
    </comment>
    <comment ref="M41" authorId="0">
      <text>
        <r>
          <rPr>
            <sz val="10"/>
            <rFont val="Arial"/>
            <family val="2"/>
          </rPr>
          <t xml:space="preserve">1/5 — pas bon du tout
Tanin durci par le sucre et le vinaigre de la sauce (P22, P23).
Principes de Pat : P22, P23</t>
        </r>
      </text>
    </comment>
    <comment ref="M42" authorId="0">
      <text>
        <r>
          <rPr>
            <sz val="10"/>
            <rFont val="Arial"/>
            <family val="2"/>
          </rPr>
          <t xml:space="preserve">1/5 — pas bon du tout
Tanin durci par le sucre et le vinaigre de la sauce (P22, P23).
Principes de Pat : P22, P23</t>
        </r>
      </text>
    </comment>
    <comment ref="M43" authorId="0">
      <text>
        <r>
          <rPr>
            <sz val="10"/>
            <rFont val="Arial"/>
            <family val="2"/>
          </rPr>
          <t xml:space="preserve">1/5 — pas bon du tout
Tanin durci par le sucre et le vinaigre de la sauce (P22, P23).
Principes de Pat : P22, P23</t>
        </r>
      </text>
    </comment>
    <comment ref="M44" authorId="0">
      <text>
        <r>
          <rPr>
            <sz val="10"/>
            <rFont val="Arial"/>
            <family val="2"/>
          </rPr>
          <t xml:space="preserve">1/5 — pas bon du tout
Tanin durci par le sucre et le vinaigre de la sauce (P22, P23).
Principes de Pat : P22, P23</t>
        </r>
      </text>
    </comment>
    <comment ref="M45" authorId="0">
      <text>
        <r>
          <rPr>
            <sz val="10"/>
            <rFont val="Arial"/>
            <family val="2"/>
          </rPr>
          <t xml:space="preserve">1/5 — pas bon du tout
Tanin durci par le sucre et le vinaigre de la sauce (P22, P23).
Principes de Pat : P22, P23</t>
        </r>
      </text>
    </comment>
    <comment ref="M46" authorId="0">
      <text>
        <r>
          <rPr>
            <sz val="10"/>
            <rFont val="Arial"/>
            <family val="2"/>
          </rPr>
          <t xml:space="preserve">1/5 — pas bon du tout
Tanin durci par le sucre et le vinaigre de la sauce (P22, P23).
Principes de Pat : P22, P23</t>
        </r>
      </text>
    </comment>
    <comment ref="M47" authorId="0">
      <text>
        <r>
          <rPr>
            <sz val="10"/>
            <rFont val="Arial"/>
            <family val="2"/>
          </rPr>
          <t xml:space="preserve">1/5 — pas bon du tout
Tanin durci par le sucre et le vinaigre de la sauce (P22, P23).
Principes de Pat : P22, P23</t>
        </r>
      </text>
    </comment>
    <comment ref="M48" authorId="0">
      <text>
        <r>
          <rPr>
            <sz val="10"/>
            <rFont val="Arial"/>
            <family val="2"/>
          </rPr>
          <t xml:space="preserve">1/5 — pas bon du tout
Tanin durci par le sucre et le vinaigre de la sauce (P22, P23).
Principes de Pat : P22, P23</t>
        </r>
      </text>
    </comment>
    <comment ref="M49" authorId="0">
      <text>
        <r>
          <rPr>
            <sz val="10"/>
            <rFont val="Arial"/>
            <family val="2"/>
          </rPr>
          <t xml:space="preserve">1/5 — pas bon du tout
Tanin durci par le sucre et le vinaigre de la sauce (P22, P23).
Principes de Pat : P22, P23</t>
        </r>
      </text>
    </comment>
    <comment ref="M50" authorId="0">
      <text>
        <r>
          <rPr>
            <sz val="10"/>
            <rFont val="Arial"/>
            <family val="2"/>
          </rPr>
          <t xml:space="preserve">1/5 — pas bon du tout
Tanin durci par le sucre et le vinaigre de la sauce (P22, P23).
Principes de Pat : P22, P23</t>
        </r>
      </text>
    </comment>
    <comment ref="M51" authorId="0">
      <text>
        <r>
          <rPr>
            <sz val="10"/>
            <rFont val="Arial"/>
            <family val="2"/>
          </rPr>
          <t xml:space="preserve">1/5 — pas bon du tout
Tanin durci par le sucre et le vinaigre de la sauce (P22, P23).
Principes de Pat : P22, P23</t>
        </r>
      </text>
    </comment>
    <comment ref="M52" authorId="0">
      <text>
        <r>
          <rPr>
            <sz val="10"/>
            <rFont val="Arial"/>
            <family val="2"/>
          </rPr>
          <t xml:space="preserve">1/5 — pas bon du tout
Tanin durci par le sucre et le vinaigre de la sauce (P22, P23).
Principes de Pat : P22, P23</t>
        </r>
      </text>
    </comment>
    <comment ref="M53" authorId="0">
      <text>
        <r>
          <rPr>
            <sz val="10"/>
            <rFont val="Arial"/>
            <family val="2"/>
          </rPr>
          <t xml:space="preserve">1/5 — pas bon du tout
Tanin durci par le sucre et le vinaigre de la sauce (P22, P23).
Principes de Pat : P22, P23</t>
        </r>
      </text>
    </comment>
    <comment ref="M54" authorId="0">
      <text>
        <r>
          <rPr>
            <sz val="10"/>
            <rFont val="Arial"/>
            <family val="2"/>
          </rPr>
          <t xml:space="preserve">1/5 — pas bon du tout
Tanin durci par le sucre et le vinaigre de la sauce (P22, P23).
Principes de Pat : P22, P23</t>
        </r>
      </text>
    </comment>
    <comment ref="M55" authorId="0">
      <text>
        <r>
          <rPr>
            <sz val="10"/>
            <rFont val="Arial"/>
            <family val="2"/>
          </rPr>
          <t xml:space="preserve">1/5 — pas bon du tout
Tanin durci par le sucre et le vinaigre de la sauce (P22, P23).
Principes de Pat : P22, P23</t>
        </r>
      </text>
    </comment>
    <comment ref="M56" authorId="0">
      <text>
        <r>
          <rPr>
            <sz val="10"/>
            <rFont val="Arial"/>
            <family val="2"/>
          </rPr>
          <t xml:space="preserve">1/5 — pas bon du tout
Tanin durci par le sucre et le vinaigre de la sauce (P22, P23).
Principes de Pat : P22, P23</t>
        </r>
      </text>
    </comment>
    <comment ref="M57" authorId="0">
      <text>
        <r>
          <rPr>
            <sz val="10"/>
            <rFont val="Arial"/>
            <family val="2"/>
          </rPr>
          <t xml:space="preserve">1/5 — pas bon du tout
Tanin durci par le sucre et le vinaigre de la sauce (P22, P23).
Principes de Pat : P22, P23</t>
        </r>
      </text>
    </comment>
    <comment ref="M58" authorId="0">
      <text>
        <r>
          <rPr>
            <sz val="10"/>
            <rFont val="Arial"/>
            <family val="2"/>
          </rPr>
          <t xml:space="preserve">1/5 — pas bon du tout
Tanin durci par le sucre et le vinaigre de la sauce (P22, P23).
Principes de Pat : P22, P23</t>
        </r>
      </text>
    </comment>
    <comment ref="M59" authorId="0">
      <text>
        <r>
          <rPr>
            <sz val="10"/>
            <rFont val="Arial"/>
            <family val="2"/>
          </rPr>
          <t xml:space="preserve">1/5 — pas bon du tout
Tanin durci par le sucre et le vinaigre de la sauce (P22, P23).
Principes de Pat : P22, P23</t>
        </r>
      </text>
    </comment>
    <comment ref="M60" authorId="0">
      <text>
        <r>
          <rPr>
            <sz val="10"/>
            <rFont val="Arial"/>
            <family val="2"/>
          </rPr>
          <t xml:space="preserve">1/5 — pas bon du tout
Tanin durci par le sucre et le vinaigre de la sauce (P22, P23).
Principes de Pat : P22, P23</t>
        </r>
      </text>
    </comment>
    <comment ref="M61" authorId="0">
      <text>
        <r>
          <rPr>
            <sz val="10"/>
            <rFont val="Arial"/>
            <family val="2"/>
          </rPr>
          <t xml:space="preserve">1/5 — pas bon du tout
Tanin durci par le sucre et le vinaigre de la sauce (P22, P23).
Principes de Pat : P22, P23</t>
        </r>
      </text>
    </comment>
    <comment ref="M62" authorId="0">
      <text>
        <r>
          <rPr>
            <sz val="10"/>
            <rFont val="Arial"/>
            <family val="2"/>
          </rPr>
          <t xml:space="preserve">1/5 — pas bon du tout
Tanin durci par le sucre et le vinaigre de la sauce (P22, P23).
Principes de Pat : P22, P23</t>
        </r>
      </text>
    </comment>
    <comment ref="M63" authorId="0">
      <text>
        <r>
          <rPr>
            <sz val="10"/>
            <rFont val="Arial"/>
            <family val="2"/>
          </rPr>
          <t xml:space="preserve">1/5 — pas bon du tout
Tanin durci par le sucre et le vinaigre de la sauce (P22, P23).
Principes de Pat : P22, P23</t>
        </r>
      </text>
    </comment>
    <comment ref="M64" authorId="0">
      <text>
        <r>
          <rPr>
            <sz val="10"/>
            <rFont val="Arial"/>
            <family val="2"/>
          </rPr>
          <t xml:space="preserve">1/5 — pas bon du tout
Tanin durci par le sucre et le vinaigre de la sauce (P22, P23).
Principes de Pat : P22, P23</t>
        </r>
      </text>
    </comment>
    <comment ref="M65" authorId="0">
      <text>
        <r>
          <rPr>
            <sz val="10"/>
            <rFont val="Arial"/>
            <family val="2"/>
          </rPr>
          <t xml:space="preserve">1/5 — pas bon du tout
Tanin durci par le sucre et le vinaigre de la sauce (P22, P23).
Principes de Pat : P22, P23</t>
        </r>
      </text>
    </comment>
    <comment ref="M66" authorId="0">
      <text>
        <r>
          <rPr>
            <sz val="10"/>
            <rFont val="Arial"/>
            <family val="2"/>
          </rPr>
          <t xml:space="preserve">1/5 — pas bon du tout
Tanin durci par le sucre et le vinaigre de la sauce (P22, P23).
Principes de Pat : P22, P23</t>
        </r>
      </text>
    </comment>
    <comment ref="M67" authorId="0">
      <text>
        <r>
          <rPr>
            <sz val="10"/>
            <rFont val="Arial"/>
            <family val="2"/>
          </rPr>
          <t xml:space="preserve">1/5 — pas bon du tout
Tanin durci par le sucre et le vinaigre de la sauce (P22, P23).
Principes de Pat : P22, P23</t>
        </r>
      </text>
    </comment>
    <comment ref="M68" authorId="0">
      <text>
        <r>
          <rPr>
            <sz val="10"/>
            <rFont val="Arial"/>
            <family val="2"/>
          </rPr>
          <t xml:space="preserve">1/5 — pas bon du tout
Tanin durci par le sucre et le vinaigre de la sauce (P22, P23).
Principes de Pat : P22, P23</t>
        </r>
      </text>
    </comment>
    <comment ref="M70" authorId="0">
      <text>
        <r>
          <rPr>
            <sz val="10"/>
            <rFont val="Arial"/>
            <family val="2"/>
          </rPr>
          <t xml:space="preserve">2/5 — médiocre
Blanc sec qui paraît maigre et dur face à la sauce aigre-douce (P22).
Principes de Pat : P22</t>
        </r>
      </text>
    </comment>
    <comment ref="M71" authorId="0">
      <text>
        <r>
          <rPr>
            <sz val="10"/>
            <rFont val="Arial"/>
            <family val="2"/>
          </rPr>
          <t xml:space="preserve">2/5 — médiocre
Blanc sec qui paraît maigre et dur face à la sauce aigre-douce (P22).
Principes de Pat : P22</t>
        </r>
      </text>
    </comment>
    <comment ref="M73" authorId="0">
      <text>
        <r>
          <rPr>
            <sz val="10"/>
            <rFont val="Arial"/>
            <family val="2"/>
          </rPr>
          <t xml:space="preserve">3/5 — correct
Bulle sur la friture (P34) ; dosage peut-être Extra Dry, mais moins sucré que la sauce (à confirmer) (P22).
Principes de Pat : P34, P22</t>
        </r>
      </text>
    </comment>
    <comment ref="M74" authorId="0">
      <text>
        <r>
          <rPr>
            <sz val="10"/>
            <rFont val="Arial"/>
            <family val="2"/>
          </rPr>
          <t xml:space="preserve">2/5 — médiocre
La bulle nettoie la friture (P34) ; mais un brut paraît maigre face au sucre (P22).
Principes de Pat : P34, P22</t>
        </r>
      </text>
    </comment>
    <comment ref="M75" authorId="0">
      <text>
        <r>
          <rPr>
            <sz val="10"/>
            <rFont val="Arial"/>
            <family val="2"/>
          </rPr>
          <t xml:space="preserve">2/5 — médiocre
La bulle nettoie la friture (P34) ; mais un brut paraît maigre face au sucre (P22).
Principes de Pat : P34, P22</t>
        </r>
      </text>
    </comment>
    <comment ref="M76" authorId="0">
      <text>
        <r>
          <rPr>
            <sz val="10"/>
            <rFont val="Arial"/>
            <family val="2"/>
          </rPr>
          <t xml:space="preserve">2/5 — médiocre
La bulle nettoie la friture (P34) ; mais un brut paraît maigre face au sucre (P22).
Principes de Pat : P34, P22</t>
        </r>
      </text>
    </comment>
    <comment ref="M77" authorId="0">
      <text>
        <r>
          <rPr>
            <sz val="10"/>
            <rFont val="Arial"/>
            <family val="2"/>
          </rPr>
          <t xml:space="preserve">2/5 — médiocre
La bulle nettoie la friture (P34) ; mais un brut paraît maigre face au sucre (P22).
Principes de Pat : P34, P22</t>
        </r>
      </text>
    </comment>
    <comment ref="M78" authorId="0">
      <text>
        <r>
          <rPr>
            <sz val="10"/>
            <rFont val="Arial"/>
            <family val="2"/>
          </rPr>
          <t xml:space="preserve">2/5 — médiocre
La bulle nettoie la friture (P34) ; mais un brut paraît maigre face au sucre (P22).
Principes de Pat : P34, P22</t>
        </r>
      </text>
    </comment>
    <comment ref="M79" authorId="0">
      <text>
        <r>
          <rPr>
            <sz val="10"/>
            <rFont val="Arial"/>
            <family val="2"/>
          </rPr>
          <t xml:space="preserve">2/5 — médiocre
La bulle nettoie la friture (P34) ; mais un brut paraît maigre face au sucre (P22).
Principes de Pat : P34, P22</t>
        </r>
      </text>
    </comment>
    <comment ref="M81" authorId="0">
      <text>
        <r>
          <rPr>
            <sz val="10"/>
            <rFont val="Arial"/>
            <family val="2"/>
          </rPr>
          <t xml:space="preserve">3/5 — correct
Sucre au niveau de la sauce aigre-douce (P22) ; mais liquoreux lourd sur la friture (P20).
Principes de Pat : P22, P20</t>
        </r>
      </text>
    </comment>
    <comment ref="N7" authorId="0">
      <text>
        <r>
          <rPr>
            <sz val="10"/>
            <rFont val="Arial"/>
            <family val="2"/>
          </rPr>
          <t xml:space="preserve">4/5 — très bon
La mayonnaise plafonne l'accord (P10, P35) ; acidité et salinité à la hauteur de la pomme verte et du crabe (P23, P9).
Principes de Pat : P10, P35, P23, P9</t>
        </r>
      </text>
    </comment>
    <comment ref="N8" authorId="0">
      <text>
        <r>
          <rPr>
            <sz val="10"/>
            <rFont val="Arial"/>
            <family val="2"/>
          </rPr>
          <t xml:space="preserve">4/5 — très bon
La mayonnaise plafonne l'accord (P10, P35) ; acidité et salinité à la hauteur de la pomme verte et du crabe (P23, P9).
Principes de Pat : P10, P35, P23, P9</t>
        </r>
      </text>
    </comment>
    <comment ref="N9" authorId="0">
      <text>
        <r>
          <rPr>
            <sz val="10"/>
            <rFont val="Arial"/>
            <family val="2"/>
          </rPr>
          <t xml:space="preserve">4/5 — très bon
La mayonnaise plafonne l'accord (P10, P35) ; acidité et salinité à la hauteur de la pomme verte et du crabe (P23, P9).
Principes de Pat : P10, P35, P23, P9</t>
        </r>
      </text>
    </comment>
    <comment ref="N10" authorId="0">
      <text>
        <r>
          <rPr>
            <sz val="10"/>
            <rFont val="Arial"/>
            <family val="2"/>
          </rPr>
          <t xml:space="preserve">2/5 — médiocre
Le bois couvre la finesse et amplifie l'amertume (P19).
Principes de Pat : P19</t>
        </r>
      </text>
    </comment>
    <comment ref="N11" authorId="0">
      <text>
        <r>
          <rPr>
            <sz val="10"/>
            <rFont val="Arial"/>
            <family val="2"/>
          </rPr>
          <t xml:space="preserve">4/5 — très bon
La mayonnaise plafonne l'accord (P10, P35) ; acidité et salinité à la hauteur de la pomme verte et du crabe (P23, P9).
Principes de Pat : P10, P35, P23, P9</t>
        </r>
      </text>
    </comment>
    <comment ref="N12" authorId="0">
      <text>
        <r>
          <rPr>
            <sz val="10"/>
            <rFont val="Arial"/>
            <family val="2"/>
          </rPr>
          <t xml:space="preserve">2/5 — médiocre
Le bois couvre la finesse et amplifie l'amertume (P19) ; acidité trop faible face à la Granny Smith (P23).
Principes de Pat : P19, P23</t>
        </r>
      </text>
    </comment>
    <comment ref="N13" authorId="0">
      <text>
        <r>
          <rPr>
            <sz val="10"/>
            <rFont val="Arial"/>
            <family val="2"/>
          </rPr>
          <t xml:space="preserve">2/5 — médiocre
Le bois couvre la finesse et amplifie l'amertume (P19) ; acidité trop faible face à la Granny Smith (P23).
Principes de Pat : P19, P23</t>
        </r>
      </text>
    </comment>
    <comment ref="N14" authorId="0">
      <text>
        <r>
          <rPr>
            <sz val="10"/>
            <rFont val="Arial"/>
            <family val="2"/>
          </rPr>
          <t xml:space="preserve">1/5 — pas bon du tout
Le bois couvre la finesse et amplifie l'amertume (P19) ; trop puissant, il écrase le plat (P20).
Principes de Pat : P19, P20</t>
        </r>
      </text>
    </comment>
    <comment ref="N15" authorId="0">
      <text>
        <r>
          <rPr>
            <sz val="10"/>
            <rFont val="Arial"/>
            <family val="2"/>
          </rPr>
          <t xml:space="preserve">1/5 — pas bon du tout
Le bois couvre la finesse et amplifie l'amertume (P19) ; trop puissant, il écrase le plat (P20).
Principes de Pat : P19, P20</t>
        </r>
      </text>
    </comment>
    <comment ref="N16" authorId="0">
      <text>
        <r>
          <rPr>
            <sz val="10"/>
            <rFont val="Arial"/>
            <family val="2"/>
          </rPr>
          <t xml:space="preserve">1/5 — pas bon du tout
Le bois couvre la finesse et amplifie l'amertume (P19) ; acidité trop faible face à la Granny Smith (P23) ; trop puissant, il écrase le plat (P20).
Principes de Pat : P19, P23, P20</t>
        </r>
      </text>
    </comment>
    <comment ref="N17" authorId="0">
      <text>
        <r>
          <rPr>
            <sz val="10"/>
            <rFont val="Arial"/>
            <family val="2"/>
          </rPr>
          <t xml:space="preserve">1/5 — pas bon du tout
Le bois couvre la finesse et amplifie l'amertume (P19) ; acidité trop faible face à la Granny Smith (P23) ; trop puissant, il écrase le plat (P20).
Principes de Pat : P19, P23, P20</t>
        </r>
      </text>
    </comment>
    <comment ref="N18" authorId="0">
      <text>
        <r>
          <rPr>
            <sz val="10"/>
            <rFont val="Arial"/>
            <family val="2"/>
          </rPr>
          <t xml:space="preserve">1/5 — pas bon du tout
Le bois couvre la finesse et amplifie l'amertume (P19) ; acidité trop faible face à la Granny Smith (P23) ; trop puissant, il écrase le plat (P20).
Principes de Pat : P19, P23, P20</t>
        </r>
      </text>
    </comment>
    <comment ref="N19" authorId="0">
      <text>
        <r>
          <rPr>
            <sz val="10"/>
            <rFont val="Arial"/>
            <family val="2"/>
          </rPr>
          <t xml:space="preserve">1/5 — pas bon du tout
Le bois couvre la finesse et amplifie l'amertume (P19) ; trop puissant, il écrase le plat (P20).
Principes de Pat : P19, P20</t>
        </r>
      </text>
    </comment>
    <comment ref="N20" authorId="0">
      <text>
        <r>
          <rPr>
            <sz val="10"/>
            <rFont val="Arial"/>
            <family val="2"/>
          </rPr>
          <t xml:space="preserve">1/5 — pas bon du tout
Le bois couvre la finesse et amplifie l'amertume (P19) ; acidité trop faible face à la Granny Smith (P23) ; trop puissant, il écrase le plat (P20) ; l'alcool attise le curry (P31).
Principes de Pat : P19, P23, P20, P31</t>
        </r>
      </text>
    </comment>
    <comment ref="N21" authorId="0">
      <text>
        <r>
          <rPr>
            <sz val="10"/>
            <rFont val="Arial"/>
            <family val="2"/>
          </rPr>
          <t xml:space="preserve">1/5 — pas bon du tout
Acidité trop faible face à la Granny Smith (P23) ; le bois couvre la finesse et amplifie l'amertume (P19) ; trop puissant, il écrase le plat (P20) ; l'alcool attise le curry (P31).
Principes de Pat : P23, P19, P20, P31</t>
        </r>
      </text>
    </comment>
    <comment ref="N22" authorId="0">
      <text>
        <r>
          <rPr>
            <sz val="10"/>
            <rFont val="Arial"/>
            <family val="2"/>
          </rPr>
          <t xml:space="preserve">1/5 — pas bon du tout
Acidité trop faible face à la Granny Smith (P23) ; le bois couvre la finesse et amplifie l'amertume (P19) ; trop puissant, il écrase le plat (P20) ; l'alcool attise le curry (P31).
Principes de Pat : P23, P19, P20, P31</t>
        </r>
      </text>
    </comment>
    <comment ref="N23" authorId="0">
      <text>
        <r>
          <rPr>
            <sz val="10"/>
            <rFont val="Arial"/>
            <family val="2"/>
          </rPr>
          <t xml:space="preserve">3/5 — correct
Acidité trop faible face à la Granny Smith (P23).
Principes de Pat : P23</t>
        </r>
      </text>
    </comment>
    <comment ref="N24" authorId="0">
      <text>
        <r>
          <rPr>
            <sz val="10"/>
            <rFont val="Arial"/>
            <family val="2"/>
          </rPr>
          <t xml:space="preserve">4/5 — très bon
La mayonnaise plafonne l'accord (P10, P35) ; acidité et salinité à la hauteur de la pomme verte et du crabe (P23, P9).
Principes de Pat : P10, P35, P23, P9</t>
        </r>
      </text>
    </comment>
    <comment ref="N25" authorId="0">
      <text>
        <r>
          <rPr>
            <sz val="10"/>
            <rFont val="Arial"/>
            <family val="2"/>
          </rPr>
          <t xml:space="preserve">1/5 — pas bon du tout
Le bois couvre la finesse et amplifie l'amertume (P19) ; acidité trop faible face à la Granny Smith (P23) ; trop puissant, il écrase le plat (P20) ; l'alcool attise le curry (P31).
Principes de Pat : P19, P23, P20, P31</t>
        </r>
      </text>
    </comment>
    <comment ref="N26" authorId="0">
      <text>
        <r>
          <rPr>
            <sz val="10"/>
            <rFont val="Arial"/>
            <family val="2"/>
          </rPr>
          <t xml:space="preserve">3/5 — correct
Le bois couvre la finesse et amplifie l'amertume (P19).
Principes de Pat : P19</t>
        </r>
      </text>
    </comment>
    <comment ref="N27" authorId="0">
      <text>
        <r>
          <rPr>
            <sz val="10"/>
            <rFont val="Arial"/>
            <family val="2"/>
          </rPr>
          <t xml:space="preserve">4/5 — très bon
La mayonnaise plafonne l'accord (P10, P35) ; acidité et salinité à la hauteur de la pomme verte et du crabe (P23, P9).
Principes de Pat : P10, P35, P23, P9</t>
        </r>
      </text>
    </comment>
    <comment ref="N29" authorId="0">
      <text>
        <r>
          <rPr>
            <sz val="10"/>
            <rFont val="Arial"/>
            <family val="2"/>
          </rPr>
          <t xml:space="preserve">2/5 — médiocre
Rouge : son tanin durcit au contact du curry (P6) ; seule sa légèreté limite les dégâts (P20).
Principes de Pat : P6, P20</t>
        </r>
      </text>
    </comment>
    <comment ref="N30" authorId="0">
      <text>
        <r>
          <rPr>
            <sz val="10"/>
            <rFont val="Arial"/>
            <family val="2"/>
          </rPr>
          <t xml:space="preserve">1/5 — pas bon du tout
Rouge : son tanin durcit au contact du curry (P6).
Principes de Pat : P6</t>
        </r>
      </text>
    </comment>
    <comment ref="N31" authorId="0">
      <text>
        <r>
          <rPr>
            <sz val="10"/>
            <rFont val="Arial"/>
            <family val="2"/>
          </rPr>
          <t xml:space="preserve">1/5 — pas bon du tout
Rouge : son tanin durcit au contact du curry (P6).
Principes de Pat : P6</t>
        </r>
      </text>
    </comment>
    <comment ref="N32" authorId="0">
      <text>
        <r>
          <rPr>
            <sz val="10"/>
            <rFont val="Arial"/>
            <family val="2"/>
          </rPr>
          <t xml:space="preserve">2/5 — médiocre
Rouge : son tanin durcit au contact du curry (P6) ; seule sa légèreté limite les dégâts (P20).
Principes de Pat : P6, P20</t>
        </r>
      </text>
    </comment>
    <comment ref="N33" authorId="0">
      <text>
        <r>
          <rPr>
            <sz val="10"/>
            <rFont val="Arial"/>
            <family val="2"/>
          </rPr>
          <t xml:space="preserve">1/5 — pas bon du tout
Rouge : son tanin durcit au contact du curry (P6).
Principes de Pat : P6</t>
        </r>
      </text>
    </comment>
    <comment ref="N34" authorId="0">
      <text>
        <r>
          <rPr>
            <sz val="10"/>
            <rFont val="Arial"/>
            <family val="2"/>
          </rPr>
          <t xml:space="preserve">1/5 — pas bon du tout
Rouge : son tanin durcit au contact du curry (P6).
Principes de Pat : P6</t>
        </r>
      </text>
    </comment>
    <comment ref="N35" authorId="0">
      <text>
        <r>
          <rPr>
            <sz val="10"/>
            <rFont val="Arial"/>
            <family val="2"/>
          </rPr>
          <t xml:space="preserve">1/5 — pas bon du tout
Rouge : son tanin durcit au contact du curry (P6).
Principes de Pat : P6</t>
        </r>
      </text>
    </comment>
    <comment ref="N36" authorId="0">
      <text>
        <r>
          <rPr>
            <sz val="10"/>
            <rFont val="Arial"/>
            <family val="2"/>
          </rPr>
          <t xml:space="preserve">1/5 — pas bon du tout
Rouge : son tanin durcit au contact du curry (P6).
Principes de Pat : P6</t>
        </r>
      </text>
    </comment>
    <comment ref="N37" authorId="0">
      <text>
        <r>
          <rPr>
            <sz val="10"/>
            <rFont val="Arial"/>
            <family val="2"/>
          </rPr>
          <t xml:space="preserve">1/5 — pas bon du tout
Rouge : son tanin durcit au contact du curry (P6).
Principes de Pat : P6</t>
        </r>
      </text>
    </comment>
    <comment ref="N38" authorId="0">
      <text>
        <r>
          <rPr>
            <sz val="10"/>
            <rFont val="Arial"/>
            <family val="2"/>
          </rPr>
          <t xml:space="preserve">2/5 — médiocre
Rouge : son tanin durcit au contact du curry (P6) ; seule sa légèreté limite les dégâts (P20).
Principes de Pat : P6, P20</t>
        </r>
      </text>
    </comment>
    <comment ref="N39" authorId="0">
      <text>
        <r>
          <rPr>
            <sz val="10"/>
            <rFont val="Arial"/>
            <family val="2"/>
          </rPr>
          <t xml:space="preserve">2/5 — médiocre
Rouge : son tanin durcit au contact du curry (P6) ; seule sa légèreté limite les dégâts (P20).
Principes de Pat : P6, P20</t>
        </r>
      </text>
    </comment>
    <comment ref="N40" authorId="0">
      <text>
        <r>
          <rPr>
            <sz val="10"/>
            <rFont val="Arial"/>
            <family val="2"/>
          </rPr>
          <t xml:space="preserve">1/5 — pas bon du tout
Rouge : son tanin durcit au contact du curry (P6).
Principes de Pat : P6</t>
        </r>
      </text>
    </comment>
    <comment ref="N41" authorId="0">
      <text>
        <r>
          <rPr>
            <sz val="10"/>
            <rFont val="Arial"/>
            <family val="2"/>
          </rPr>
          <t xml:space="preserve">1/5 — pas bon du tout
Rouge : son tanin durcit au contact du curry (P6).
Principes de Pat : P6</t>
        </r>
      </text>
    </comment>
    <comment ref="N42" authorId="0">
      <text>
        <r>
          <rPr>
            <sz val="10"/>
            <rFont val="Arial"/>
            <family val="2"/>
          </rPr>
          <t xml:space="preserve">1/5 — pas bon du tout
Rouge : son tanin durcit au contact du curry (P6).
Principes de Pat : P6</t>
        </r>
      </text>
    </comment>
    <comment ref="N43" authorId="0">
      <text>
        <r>
          <rPr>
            <sz val="10"/>
            <rFont val="Arial"/>
            <family val="2"/>
          </rPr>
          <t xml:space="preserve">1/5 — pas bon du tout
Rouge : son tanin durcit au contact du curry (P6).
Principes de Pat : P6</t>
        </r>
      </text>
    </comment>
    <comment ref="N44" authorId="0">
      <text>
        <r>
          <rPr>
            <sz val="10"/>
            <rFont val="Arial"/>
            <family val="2"/>
          </rPr>
          <t xml:space="preserve">1/5 — pas bon du tout
Rouge : son tanin durcit au contact du curry (P6).
Principes de Pat : P6</t>
        </r>
      </text>
    </comment>
    <comment ref="N45" authorId="0">
      <text>
        <r>
          <rPr>
            <sz val="10"/>
            <rFont val="Arial"/>
            <family val="2"/>
          </rPr>
          <t xml:space="preserve">1/5 — pas bon du tout
Rouge : son tanin durcit au contact du curry (P6).
Principes de Pat : P6</t>
        </r>
      </text>
    </comment>
    <comment ref="N46" authorId="0">
      <text>
        <r>
          <rPr>
            <sz val="10"/>
            <rFont val="Arial"/>
            <family val="2"/>
          </rPr>
          <t xml:space="preserve">1/5 — pas bon du tout
Rouge : son tanin durcit au contact du curry (P6).
Principes de Pat : P6</t>
        </r>
      </text>
    </comment>
    <comment ref="N47" authorId="0">
      <text>
        <r>
          <rPr>
            <sz val="10"/>
            <rFont val="Arial"/>
            <family val="2"/>
          </rPr>
          <t xml:space="preserve">1/5 — pas bon du tout
Rouge : son tanin durcit au contact du curry (P6).
Principes de Pat : P6</t>
        </r>
      </text>
    </comment>
    <comment ref="N48" authorId="0">
      <text>
        <r>
          <rPr>
            <sz val="10"/>
            <rFont val="Arial"/>
            <family val="2"/>
          </rPr>
          <t xml:space="preserve">1/5 — pas bon du tout
Rouge : son tanin durcit au contact du curry (P6).
Principes de Pat : P6</t>
        </r>
      </text>
    </comment>
    <comment ref="N49" authorId="0">
      <text>
        <r>
          <rPr>
            <sz val="10"/>
            <rFont val="Arial"/>
            <family val="2"/>
          </rPr>
          <t xml:space="preserve">1/5 — pas bon du tout
Rouge : son tanin durcit au contact du curry (P6).
Principes de Pat : P6</t>
        </r>
      </text>
    </comment>
    <comment ref="N50" authorId="0">
      <text>
        <r>
          <rPr>
            <sz val="10"/>
            <rFont val="Arial"/>
            <family val="2"/>
          </rPr>
          <t xml:space="preserve">1/5 — pas bon du tout
Rouge : son tanin durcit au contact du curry (P6).
Principes de Pat : P6</t>
        </r>
      </text>
    </comment>
    <comment ref="N51" authorId="0">
      <text>
        <r>
          <rPr>
            <sz val="10"/>
            <rFont val="Arial"/>
            <family val="2"/>
          </rPr>
          <t xml:space="preserve">1/5 — pas bon du tout
Rouge : son tanin durcit au contact du curry (P6).
Principes de Pat : P6</t>
        </r>
      </text>
    </comment>
    <comment ref="N52" authorId="0">
      <text>
        <r>
          <rPr>
            <sz val="10"/>
            <rFont val="Arial"/>
            <family val="2"/>
          </rPr>
          <t xml:space="preserve">1/5 — pas bon du tout
Rouge : son tanin durcit au contact du curry (P6).
Principes de Pat : P6</t>
        </r>
      </text>
    </comment>
    <comment ref="N53" authorId="0">
      <text>
        <r>
          <rPr>
            <sz val="10"/>
            <rFont val="Arial"/>
            <family val="2"/>
          </rPr>
          <t xml:space="preserve">1/5 — pas bon du tout
Rouge : son tanin durcit au contact du curry (P6).
Principes de Pat : P6</t>
        </r>
      </text>
    </comment>
    <comment ref="N54" authorId="0">
      <text>
        <r>
          <rPr>
            <sz val="10"/>
            <rFont val="Arial"/>
            <family val="2"/>
          </rPr>
          <t xml:space="preserve">1/5 — pas bon du tout
Rouge : son tanin durcit au contact du curry (P6).
Principes de Pat : P6</t>
        </r>
      </text>
    </comment>
    <comment ref="N55" authorId="0">
      <text>
        <r>
          <rPr>
            <sz val="10"/>
            <rFont val="Arial"/>
            <family val="2"/>
          </rPr>
          <t xml:space="preserve">1/5 — pas bon du tout
Rouge : son tanin durcit au contact du curry (P6).
Principes de Pat : P6</t>
        </r>
      </text>
    </comment>
    <comment ref="N56" authorId="0">
      <text>
        <r>
          <rPr>
            <sz val="10"/>
            <rFont val="Arial"/>
            <family val="2"/>
          </rPr>
          <t xml:space="preserve">1/5 — pas bon du tout
Rouge : son tanin durcit au contact du curry (P6).
Principes de Pat : P6</t>
        </r>
      </text>
    </comment>
    <comment ref="N57" authorId="0">
      <text>
        <r>
          <rPr>
            <sz val="10"/>
            <rFont val="Arial"/>
            <family val="2"/>
          </rPr>
          <t xml:space="preserve">1/5 — pas bon du tout
Rouge : son tanin durcit au contact du curry (P6).
Principes de Pat : P6</t>
        </r>
      </text>
    </comment>
    <comment ref="N58" authorId="0">
      <text>
        <r>
          <rPr>
            <sz val="10"/>
            <rFont val="Arial"/>
            <family val="2"/>
          </rPr>
          <t xml:space="preserve">2/5 — médiocre
Rouge : son tanin durcit au contact du curry (P6) ; seule sa légèreté limite les dégâts (P20).
Principes de Pat : P6, P20</t>
        </r>
      </text>
    </comment>
    <comment ref="N59" authorId="0">
      <text>
        <r>
          <rPr>
            <sz val="10"/>
            <rFont val="Arial"/>
            <family val="2"/>
          </rPr>
          <t xml:space="preserve">1/5 — pas bon du tout
Rouge : son tanin durcit au contact du curry (P6).
Principes de Pat : P6</t>
        </r>
      </text>
    </comment>
    <comment ref="N60" authorId="0">
      <text>
        <r>
          <rPr>
            <sz val="10"/>
            <rFont val="Arial"/>
            <family val="2"/>
          </rPr>
          <t xml:space="preserve">1/5 — pas bon du tout
Rouge : son tanin durcit au contact du curry (P6).
Principes de Pat : P6</t>
        </r>
      </text>
    </comment>
    <comment ref="N61" authorId="0">
      <text>
        <r>
          <rPr>
            <sz val="10"/>
            <rFont val="Arial"/>
            <family val="2"/>
          </rPr>
          <t xml:space="preserve">1/5 — pas bon du tout
Rouge : son tanin durcit au contact du curry (P6).
Principes de Pat : P6</t>
        </r>
      </text>
    </comment>
    <comment ref="N62" authorId="0">
      <text>
        <r>
          <rPr>
            <sz val="10"/>
            <rFont val="Arial"/>
            <family val="2"/>
          </rPr>
          <t xml:space="preserve">1/5 — pas bon du tout
Rouge : son tanin durcit au contact du curry (P6).
Principes de Pat : P6</t>
        </r>
      </text>
    </comment>
    <comment ref="N63" authorId="0">
      <text>
        <r>
          <rPr>
            <sz val="10"/>
            <rFont val="Arial"/>
            <family val="2"/>
          </rPr>
          <t xml:space="preserve">1/5 — pas bon du tout
Rouge : son tanin durcit au contact du curry (P6).
Principes de Pat : P6</t>
        </r>
      </text>
    </comment>
    <comment ref="N64" authorId="0">
      <text>
        <r>
          <rPr>
            <sz val="10"/>
            <rFont val="Arial"/>
            <family val="2"/>
          </rPr>
          <t xml:space="preserve">1/5 — pas bon du tout
Rouge : son tanin durcit au contact du curry (P6).
Principes de Pat : P6</t>
        </r>
      </text>
    </comment>
    <comment ref="N65" authorId="0">
      <text>
        <r>
          <rPr>
            <sz val="10"/>
            <rFont val="Arial"/>
            <family val="2"/>
          </rPr>
          <t xml:space="preserve">1/5 — pas bon du tout
Rouge : son tanin durcit au contact du curry (P6).
Principes de Pat : P6</t>
        </r>
      </text>
    </comment>
    <comment ref="N66" authorId="0">
      <text>
        <r>
          <rPr>
            <sz val="10"/>
            <rFont val="Arial"/>
            <family val="2"/>
          </rPr>
          <t xml:space="preserve">1/5 — pas bon du tout
Rouge : son tanin durcit au contact du curry (P6).
Principes de Pat : P6</t>
        </r>
      </text>
    </comment>
    <comment ref="N67" authorId="0">
      <text>
        <r>
          <rPr>
            <sz val="10"/>
            <rFont val="Arial"/>
            <family val="2"/>
          </rPr>
          <t xml:space="preserve">1/5 — pas bon du tout
Rouge : son tanin durcit au contact du curry (P6).
Principes de Pat : P6</t>
        </r>
      </text>
    </comment>
    <comment ref="N68" authorId="0">
      <text>
        <r>
          <rPr>
            <sz val="10"/>
            <rFont val="Arial"/>
            <family val="2"/>
          </rPr>
          <t xml:space="preserve">1/5 — pas bon du tout
Rouge : son tanin durcit au contact du curry (P6).
Principes de Pat : P6</t>
        </r>
      </text>
    </comment>
    <comment ref="N70" authorId="0">
      <text>
        <r>
          <rPr>
            <sz val="10"/>
            <rFont val="Arial"/>
            <family val="2"/>
          </rPr>
          <t xml:space="preserve">3/5 — correct
Acidité trop faible face à la Granny Smith (P23).
Principes de Pat : P23</t>
        </r>
      </text>
    </comment>
    <comment ref="N71" authorId="0">
      <text>
        <r>
          <rPr>
            <sz val="10"/>
            <rFont val="Arial"/>
            <family val="2"/>
          </rPr>
          <t xml:space="preserve">3/5 — correct
Acidité trop faible face à la Granny Smith (P23).
Principes de Pat : P23</t>
        </r>
      </text>
    </comment>
    <comment ref="N73" authorId="0">
      <text>
        <r>
          <rPr>
            <sz val="10"/>
            <rFont val="Arial"/>
            <family val="2"/>
          </rPr>
          <t xml:space="preserve">3/5 — correct
Acidité trop faible face à la Granny Smith (P23).
Principes de Pat : P23</t>
        </r>
      </text>
    </comment>
    <comment ref="N74" authorId="0">
      <text>
        <r>
          <rPr>
            <sz val="10"/>
            <rFont val="Arial"/>
            <family val="2"/>
          </rPr>
          <t xml:space="preserve">4/5 — très bon
Effervescent vineux : profil qui convient, sans point d'ancrage décisif (P20, P23) ; la mayonnaise plafonne l'accord (P10, P35).
Principes de Pat : P20, P23, P10, P35</t>
        </r>
      </text>
    </comment>
    <comment ref="N75" authorId="0">
      <text>
        <r>
          <rPr>
            <sz val="10"/>
            <rFont val="Arial"/>
            <family val="2"/>
          </rPr>
          <t xml:space="preserve">4/5 — très bon
Effervescent vineux : profil qui convient, sans point d'ancrage décisif (P20, P23) ; la mayonnaise plafonne l'accord (P10, P35).
Principes de Pat : P20, P23, P10, P35</t>
        </r>
      </text>
    </comment>
    <comment ref="N76" authorId="0">
      <text>
        <r>
          <rPr>
            <sz val="10"/>
            <rFont val="Arial"/>
            <family val="2"/>
          </rPr>
          <t xml:space="preserve">2/5 — médiocre
Tanin trop présent pour le curry (P6) ; acidité trop faible face à la Granny Smith (P23).
Principes de Pat : P6, P23</t>
        </r>
      </text>
    </comment>
    <comment ref="N77" authorId="0">
      <text>
        <r>
          <rPr>
            <sz val="10"/>
            <rFont val="Arial"/>
            <family val="2"/>
          </rPr>
          <t xml:space="preserve">4/5 — très bon
Effervescent blanc de blancs : profil qui convient, sans point d'ancrage décisif (P20, P23) ; la mayonnaise plafonne l'accord (P10, P35).
Principes de Pat : P20, P23, P10, P35</t>
        </r>
      </text>
    </comment>
    <comment ref="N78" authorId="0">
      <text>
        <r>
          <rPr>
            <sz val="10"/>
            <rFont val="Arial"/>
            <family val="2"/>
          </rPr>
          <t xml:space="preserve">4/5 — très bon
Effervescent blanc de blancs : profil qui convient, sans point d'ancrage décisif (P20, P23) ; la mayonnaise plafonne l'accord (P10, P35).
Principes de Pat : P20, P23, P10, P35</t>
        </r>
      </text>
    </comment>
    <comment ref="N79" authorId="0">
      <text>
        <r>
          <rPr>
            <sz val="10"/>
            <rFont val="Arial"/>
            <family val="2"/>
          </rPr>
          <t xml:space="preserve">3/5 — correct
Trop puissant, il écrase le plat (P20).
Principes de Pat : P20</t>
        </r>
      </text>
    </comment>
    <comment ref="N81" authorId="0">
      <text>
        <r>
          <rPr>
            <sz val="10"/>
            <rFont val="Arial"/>
            <family val="2"/>
          </rPr>
          <t xml:space="preserve">1/5 — pas bon du tout
Liquoreux hors de propos sur un plat salé qui n'appelle pas de sucre (P20, P4).
Principes de Pat : P20, P4</t>
        </r>
      </text>
    </comment>
    <comment ref="O7" authorId="0">
      <text>
        <r>
          <rPr>
            <sz val="10"/>
            <rFont val="Arial"/>
            <family val="2"/>
          </rPr>
          <t xml:space="preserve">2/5 — médiocre
Blanc sec trop maigre face au gras (P20) ; sans le sucre qui répond au sel (P4).
Principes de Pat : P20, P4</t>
        </r>
      </text>
    </comment>
    <comment ref="O8" authorId="0">
      <text>
        <r>
          <rPr>
            <sz val="10"/>
            <rFont val="Arial"/>
            <family val="2"/>
          </rPr>
          <t xml:space="preserve">2/5 — médiocre
Blanc sec trop maigre face au gras (P20) ; sans le sucre qui répond au sel (P4).
Principes de Pat : P20, P4</t>
        </r>
      </text>
    </comment>
    <comment ref="O9" authorId="0">
      <text>
        <r>
          <rPr>
            <sz val="10"/>
            <rFont val="Arial"/>
            <family val="2"/>
          </rPr>
          <t xml:space="preserve">2/5 — médiocre
Blanc sec trop maigre face au gras (P20) ; sans le sucre qui répond au sel (P4).
Principes de Pat : P20, P4</t>
        </r>
      </text>
    </comment>
    <comment ref="O10" authorId="0">
      <text>
        <r>
          <rPr>
            <sz val="10"/>
            <rFont val="Arial"/>
            <family val="2"/>
          </rPr>
          <t xml:space="preserve">2/5 — médiocre
Blanc sec trop maigre face au gras (P20) ; sans le sucre qui répond au sel (P4).
Principes de Pat : P20, P4</t>
        </r>
      </text>
    </comment>
    <comment ref="O11" authorId="0">
      <text>
        <r>
          <rPr>
            <sz val="10"/>
            <rFont val="Arial"/>
            <family val="2"/>
          </rPr>
          <t xml:space="preserve">2/5 — médiocre
Blanc sec trop maigre face au gras (P20) ; sans le sucre qui répond au sel (P4).
Principes de Pat : P20, P4</t>
        </r>
      </text>
    </comment>
    <comment ref="O12" authorId="0">
      <text>
        <r>
          <rPr>
            <sz val="10"/>
            <rFont val="Arial"/>
            <family val="2"/>
          </rPr>
          <t xml:space="preserve">2/5 — médiocre
Blanc sec trop maigre face au gras (P20) ; sans le sucre qui répond au sel (P4).
Principes de Pat : P20, P4</t>
        </r>
      </text>
    </comment>
    <comment ref="O13" authorId="0">
      <text>
        <r>
          <rPr>
            <sz val="10"/>
            <rFont val="Arial"/>
            <family val="2"/>
          </rPr>
          <t xml:space="preserve">2/5 — médiocre
Blanc sec trop maigre face au gras (P20) ; sans le sucre qui répond au sel (P4).
Principes de Pat : P20, P4</t>
        </r>
      </text>
    </comment>
    <comment ref="O14" authorId="0">
      <text>
        <r>
          <rPr>
            <sz val="10"/>
            <rFont val="Arial"/>
            <family val="2"/>
          </rPr>
          <t xml:space="preserve">3/5 — correct
Blanc ample qui tient le gras (P20) ; mais sans le sucre qui ferait l'accord (P4).
Principes de Pat : P20, P4</t>
        </r>
      </text>
    </comment>
    <comment ref="O15" authorId="0">
      <text>
        <r>
          <rPr>
            <sz val="10"/>
            <rFont val="Arial"/>
            <family val="2"/>
          </rPr>
          <t xml:space="preserve">3/5 — correct
Blanc ample qui tient le gras (P20) ; mais sans le sucre qui ferait l'accord (P4).
Principes de Pat : P20, P4</t>
        </r>
      </text>
    </comment>
    <comment ref="O16" authorId="0">
      <text>
        <r>
          <rPr>
            <sz val="10"/>
            <rFont val="Arial"/>
            <family val="2"/>
          </rPr>
          <t xml:space="preserve">3/5 — correct
Blanc ample qui tient le gras (P20) ; mais sans le sucre qui ferait l'accord (P4).
Principes de Pat : P20, P4</t>
        </r>
      </text>
    </comment>
    <comment ref="O17" authorId="0">
      <text>
        <r>
          <rPr>
            <sz val="10"/>
            <rFont val="Arial"/>
            <family val="2"/>
          </rPr>
          <t xml:space="preserve">3/5 — correct
Blanc ample qui tient le gras (P20) ; mais sans le sucre qui ferait l'accord (P4).
Principes de Pat : P20, P4</t>
        </r>
      </text>
    </comment>
    <comment ref="O18" authorId="0">
      <text>
        <r>
          <rPr>
            <sz val="10"/>
            <rFont val="Arial"/>
            <family val="2"/>
          </rPr>
          <t xml:space="preserve">3/5 — correct
Blanc ample qui tient le gras (P20) ; mais sans le sucre qui ferait l'accord (P4).
Principes de Pat : P20, P4</t>
        </r>
      </text>
    </comment>
    <comment ref="O19" authorId="0">
      <text>
        <r>
          <rPr>
            <sz val="10"/>
            <rFont val="Arial"/>
            <family val="2"/>
          </rPr>
          <t xml:space="preserve">3/5 — correct
Blanc ample qui tient le gras (P20) ; mais sans le sucre qui ferait l'accord (P4).
Principes de Pat : P20, P4</t>
        </r>
      </text>
    </comment>
    <comment ref="O20" authorId="0">
      <text>
        <r>
          <rPr>
            <sz val="10"/>
            <rFont val="Arial"/>
            <family val="2"/>
          </rPr>
          <t xml:space="preserve">3/5 — correct
Blanc ample qui tient le gras (P20) ; mais sans le sucre qui ferait l'accord (P4).
Principes de Pat : P20, P4</t>
        </r>
      </text>
    </comment>
    <comment ref="O21" authorId="0">
      <text>
        <r>
          <rPr>
            <sz val="10"/>
            <rFont val="Arial"/>
            <family val="2"/>
          </rPr>
          <t xml:space="preserve">3/5 — correct
Blanc ample qui tient le gras (P20) ; mais sans le sucre qui ferait l'accord (P4).
Principes de Pat : P20, P4</t>
        </r>
      </text>
    </comment>
    <comment ref="O22" authorId="0">
      <text>
        <r>
          <rPr>
            <sz val="10"/>
            <rFont val="Arial"/>
            <family val="2"/>
          </rPr>
          <t xml:space="preserve">3/5 — correct
Blanc ample qui tient le gras (P20) ; mais sans le sucre qui ferait l'accord (P4).
Principes de Pat : P20, P4</t>
        </r>
      </text>
    </comment>
    <comment ref="O23" authorId="0">
      <text>
        <r>
          <rPr>
            <sz val="10"/>
            <rFont val="Arial"/>
            <family val="2"/>
          </rPr>
          <t xml:space="preserve">2/5 — médiocre
Blanc sec trop maigre face au gras (P20) ; sans le sucre qui répond au sel (P4).
Principes de Pat : P20, P4</t>
        </r>
      </text>
    </comment>
    <comment ref="O24" authorId="0">
      <text>
        <r>
          <rPr>
            <sz val="10"/>
            <rFont val="Arial"/>
            <family val="2"/>
          </rPr>
          <t xml:space="preserve">2/5 — médiocre
Blanc sec trop maigre face au gras (P20) ; sans le sucre qui répond au sel (P4).
Principes de Pat : P20, P4</t>
        </r>
      </text>
    </comment>
    <comment ref="O25" authorId="0">
      <text>
        <r>
          <rPr>
            <sz val="10"/>
            <rFont val="Arial"/>
            <family val="2"/>
          </rPr>
          <t xml:space="preserve">3/5 — correct
Blanc ample qui tient le gras (P20) ; mais sans le sucre qui ferait l'accord (P4).
Principes de Pat : P20, P4</t>
        </r>
      </text>
    </comment>
    <comment ref="O26" authorId="0">
      <text>
        <r>
          <rPr>
            <sz val="10"/>
            <rFont val="Arial"/>
            <family val="2"/>
          </rPr>
          <t xml:space="preserve">2/5 — médiocre
Blanc sec trop maigre face au gras (P20) ; sans le sucre qui répond au sel (P4).
Principes de Pat : P20, P4</t>
        </r>
      </text>
    </comment>
    <comment ref="O27" authorId="0">
      <text>
        <r>
          <rPr>
            <sz val="10"/>
            <rFont val="Arial"/>
            <family val="2"/>
          </rPr>
          <t xml:space="preserve">2/5 — médiocre
Blanc sec trop maigre face au gras (P20) ; sans le sucre qui répond au sel (P4).
Principes de Pat : P20, P4</t>
        </r>
      </text>
    </comment>
    <comment ref="O29" authorId="0">
      <text>
        <r>
          <rPr>
            <sz val="10"/>
            <rFont val="Arial"/>
            <family val="2"/>
          </rPr>
          <t xml:space="preserve">2/5 — médiocre
Rouge sec sans le sucre qui répond au sel (P4) ; tanin léger, mais fruit perdu sur le gras (P20).
Principes de Pat : P4, P20</t>
        </r>
      </text>
    </comment>
    <comment ref="O30" authorId="0">
      <text>
        <r>
          <rPr>
            <sz val="10"/>
            <rFont val="Arial"/>
            <family val="2"/>
          </rPr>
          <t xml:space="preserve">2/5 — médiocre
Rouge sec sans le sucre qui répond au sel (P4) ; tanin léger, mais fruit perdu sur le gras (P20).
Principes de Pat : P4, P20</t>
        </r>
      </text>
    </comment>
    <comment ref="O31" authorId="0">
      <text>
        <r>
          <rPr>
            <sz val="10"/>
            <rFont val="Arial"/>
            <family val="2"/>
          </rPr>
          <t xml:space="preserve">1/5 — pas bon du tout
Tanin qui heurte le gras fondant, sans l'opposition du sucre (P4, P20).
Principes de Pat : P4, P20</t>
        </r>
      </text>
    </comment>
    <comment ref="O32" authorId="0">
      <text>
        <r>
          <rPr>
            <sz val="10"/>
            <rFont val="Arial"/>
            <family val="2"/>
          </rPr>
          <t xml:space="preserve">2/5 — médiocre
Rouge sec sans le sucre qui répond au sel (P4) ; tanin léger, mais fruit perdu sur le gras (P20).
Principes de Pat : P4, P20</t>
        </r>
      </text>
    </comment>
    <comment ref="O33" authorId="0">
      <text>
        <r>
          <rPr>
            <sz val="10"/>
            <rFont val="Arial"/>
            <family val="2"/>
          </rPr>
          <t xml:space="preserve">2/5 — médiocre
Rouge sec sans le sucre qui répond au sel (P4) ; tanin léger, mais fruit perdu sur le gras (P20).
Principes de Pat : P4, P20</t>
        </r>
      </text>
    </comment>
    <comment ref="O34" authorId="0">
      <text>
        <r>
          <rPr>
            <sz val="10"/>
            <rFont val="Arial"/>
            <family val="2"/>
          </rPr>
          <t xml:space="preserve">1/5 — pas bon du tout
Tanin qui heurte le gras fondant, sans l'opposition du sucre (P4, P20).
Principes de Pat : P4, P20</t>
        </r>
      </text>
    </comment>
    <comment ref="O35" authorId="0">
      <text>
        <r>
          <rPr>
            <sz val="10"/>
            <rFont val="Arial"/>
            <family val="2"/>
          </rPr>
          <t xml:space="preserve">1/5 — pas bon du tout
Tanin qui heurte le gras fondant, sans l'opposition du sucre (P4, P20).
Principes de Pat : P4, P20</t>
        </r>
      </text>
    </comment>
    <comment ref="O36" authorId="0">
      <text>
        <r>
          <rPr>
            <sz val="10"/>
            <rFont val="Arial"/>
            <family val="2"/>
          </rPr>
          <t xml:space="preserve">1/5 — pas bon du tout
Tanin qui heurte le gras fondant, sans l'opposition du sucre (P4, P20).
Principes de Pat : P4, P20</t>
        </r>
      </text>
    </comment>
    <comment ref="O37" authorId="0">
      <text>
        <r>
          <rPr>
            <sz val="10"/>
            <rFont val="Arial"/>
            <family val="2"/>
          </rPr>
          <t xml:space="preserve">1/5 — pas bon du tout
Tanin qui heurte le gras fondant, sans l'opposition du sucre (P4, P20).
Principes de Pat : P4, P20</t>
        </r>
      </text>
    </comment>
    <comment ref="O38" authorId="0">
      <text>
        <r>
          <rPr>
            <sz val="10"/>
            <rFont val="Arial"/>
            <family val="2"/>
          </rPr>
          <t xml:space="preserve">2/5 — médiocre
Rouge sec sans le sucre qui répond au sel (P4) ; tanin léger, mais fruit perdu sur le gras (P20).
Principes de Pat : P4, P20</t>
        </r>
      </text>
    </comment>
    <comment ref="O39" authorId="0">
      <text>
        <r>
          <rPr>
            <sz val="10"/>
            <rFont val="Arial"/>
            <family val="2"/>
          </rPr>
          <t xml:space="preserve">2/5 — médiocre
Rouge sec sans le sucre qui répond au sel (P4) ; tanin léger, mais fruit perdu sur le gras (P20).
Principes de Pat : P4, P20</t>
        </r>
      </text>
    </comment>
    <comment ref="O40" authorId="0">
      <text>
        <r>
          <rPr>
            <sz val="10"/>
            <rFont val="Arial"/>
            <family val="2"/>
          </rPr>
          <t xml:space="preserve">1/5 — pas bon du tout
Tanin qui heurte le gras fondant, sans l'opposition du sucre (P4, P20).
Principes de Pat : P4, P20</t>
        </r>
      </text>
    </comment>
    <comment ref="O41" authorId="0">
      <text>
        <r>
          <rPr>
            <sz val="10"/>
            <rFont val="Arial"/>
            <family val="2"/>
          </rPr>
          <t xml:space="preserve">1/5 — pas bon du tout
Tanin qui heurte le gras fondant, sans l'opposition du sucre (P4, P20).
Principes de Pat : P4, P20</t>
        </r>
      </text>
    </comment>
    <comment ref="O42" authorId="0">
      <text>
        <r>
          <rPr>
            <sz val="10"/>
            <rFont val="Arial"/>
            <family val="2"/>
          </rPr>
          <t xml:space="preserve">1/5 — pas bon du tout
Tanin qui heurte le gras fondant, sans l'opposition du sucre (P4, P20).
Principes de Pat : P4, P20</t>
        </r>
      </text>
    </comment>
    <comment ref="O43" authorId="0">
      <text>
        <r>
          <rPr>
            <sz val="10"/>
            <rFont val="Arial"/>
            <family val="2"/>
          </rPr>
          <t xml:space="preserve">1/5 — pas bon du tout
Tanin qui heurte le gras fondant, sans l'opposition du sucre (P4, P20).
Principes de Pat : P4, P20</t>
        </r>
      </text>
    </comment>
    <comment ref="O44" authorId="0">
      <text>
        <r>
          <rPr>
            <sz val="10"/>
            <rFont val="Arial"/>
            <family val="2"/>
          </rPr>
          <t xml:space="preserve">1/5 — pas bon du tout
Tanin qui heurte le gras fondant, sans l'opposition du sucre (P4, P20).
Principes de Pat : P4, P20</t>
        </r>
      </text>
    </comment>
    <comment ref="O45" authorId="0">
      <text>
        <r>
          <rPr>
            <sz val="10"/>
            <rFont val="Arial"/>
            <family val="2"/>
          </rPr>
          <t xml:space="preserve">1/5 — pas bon du tout
Tanin qui heurte le gras fondant, sans l'opposition du sucre (P4, P20).
Principes de Pat : P4, P20</t>
        </r>
      </text>
    </comment>
    <comment ref="O46" authorId="0">
      <text>
        <r>
          <rPr>
            <sz val="10"/>
            <rFont val="Arial"/>
            <family val="2"/>
          </rPr>
          <t xml:space="preserve">1/5 — pas bon du tout
Tanin qui heurte le gras fondant, sans l'opposition du sucre (P4, P20).
Principes de Pat : P4, P20</t>
        </r>
      </text>
    </comment>
    <comment ref="O47" authorId="0">
      <text>
        <r>
          <rPr>
            <sz val="10"/>
            <rFont val="Arial"/>
            <family val="2"/>
          </rPr>
          <t xml:space="preserve">1/5 — pas bon du tout
Tanin qui heurte le gras fondant, sans l'opposition du sucre (P4, P20).
Principes de Pat : P4, P20</t>
        </r>
      </text>
    </comment>
    <comment ref="O48" authorId="0">
      <text>
        <r>
          <rPr>
            <sz val="10"/>
            <rFont val="Arial"/>
            <family val="2"/>
          </rPr>
          <t xml:space="preserve">1/5 — pas bon du tout
Tanin qui heurte le gras fondant, sans l'opposition du sucre (P4, P20).
Principes de Pat : P4, P20</t>
        </r>
      </text>
    </comment>
    <comment ref="O49" authorId="0">
      <text>
        <r>
          <rPr>
            <sz val="10"/>
            <rFont val="Arial"/>
            <family val="2"/>
          </rPr>
          <t xml:space="preserve">1/5 — pas bon du tout
Tanin qui heurte le gras fondant, sans l'opposition du sucre (P4, P20).
Principes de Pat : P4, P20</t>
        </r>
      </text>
    </comment>
    <comment ref="O50" authorId="0">
      <text>
        <r>
          <rPr>
            <sz val="10"/>
            <rFont val="Arial"/>
            <family val="2"/>
          </rPr>
          <t xml:space="preserve">1/5 — pas bon du tout
Tanin qui heurte le gras fondant, sans l'opposition du sucre (P4, P20).
Principes de Pat : P4, P20</t>
        </r>
      </text>
    </comment>
    <comment ref="O51" authorId="0">
      <text>
        <r>
          <rPr>
            <sz val="10"/>
            <rFont val="Arial"/>
            <family val="2"/>
          </rPr>
          <t xml:space="preserve">1/5 — pas bon du tout
Tanin qui heurte le gras fondant, sans l'opposition du sucre (P4, P20).
Principes de Pat : P4, P20</t>
        </r>
      </text>
    </comment>
    <comment ref="O52" authorId="0">
      <text>
        <r>
          <rPr>
            <sz val="10"/>
            <rFont val="Arial"/>
            <family val="2"/>
          </rPr>
          <t xml:space="preserve">1/5 — pas bon du tout
Tanin qui heurte le gras fondant, sans l'opposition du sucre (P4, P20).
Principes de Pat : P4, P20</t>
        </r>
      </text>
    </comment>
    <comment ref="O53" authorId="0">
      <text>
        <r>
          <rPr>
            <sz val="10"/>
            <rFont val="Arial"/>
            <family val="2"/>
          </rPr>
          <t xml:space="preserve">1/5 — pas bon du tout
Tanin qui heurte le gras fondant, sans l'opposition du sucre (P4, P20).
Principes de Pat : P4, P20</t>
        </r>
      </text>
    </comment>
    <comment ref="O54" authorId="0">
      <text>
        <r>
          <rPr>
            <sz val="10"/>
            <rFont val="Arial"/>
            <family val="2"/>
          </rPr>
          <t xml:space="preserve">1/5 — pas bon du tout
Tanin qui heurte le gras fondant, sans l'opposition du sucre (P4, P20).
Principes de Pat : P4, P20</t>
        </r>
      </text>
    </comment>
    <comment ref="O55" authorId="0">
      <text>
        <r>
          <rPr>
            <sz val="10"/>
            <rFont val="Arial"/>
            <family val="2"/>
          </rPr>
          <t xml:space="preserve">1/5 — pas bon du tout
Tanin qui heurte le gras fondant, sans l'opposition du sucre (P4, P20).
Principes de Pat : P4, P20</t>
        </r>
      </text>
    </comment>
    <comment ref="O56" authorId="0">
      <text>
        <r>
          <rPr>
            <sz val="10"/>
            <rFont val="Arial"/>
            <family val="2"/>
          </rPr>
          <t xml:space="preserve">1/5 — pas bon du tout
Tanin qui heurte le gras fondant, sans l'opposition du sucre (P4, P20).
Principes de Pat : P4, P20</t>
        </r>
      </text>
    </comment>
    <comment ref="O57" authorId="0">
      <text>
        <r>
          <rPr>
            <sz val="10"/>
            <rFont val="Arial"/>
            <family val="2"/>
          </rPr>
          <t xml:space="preserve">1/5 — pas bon du tout
Tanin qui heurte le gras fondant, sans l'opposition du sucre (P4, P20).
Principes de Pat : P4, P20</t>
        </r>
      </text>
    </comment>
    <comment ref="O58" authorId="0">
      <text>
        <r>
          <rPr>
            <sz val="10"/>
            <rFont val="Arial"/>
            <family val="2"/>
          </rPr>
          <t xml:space="preserve">2/5 — médiocre
Rouge sec sans le sucre qui répond au sel (P4) ; tanin léger, mais fruit perdu sur le gras (P20).
Principes de Pat : P4, P20</t>
        </r>
      </text>
    </comment>
    <comment ref="O59" authorId="0">
      <text>
        <r>
          <rPr>
            <sz val="10"/>
            <rFont val="Arial"/>
            <family val="2"/>
          </rPr>
          <t xml:space="preserve">1/5 — pas bon du tout
Tanin qui heurte le gras fondant, sans l'opposition du sucre (P4, P20).
Principes de Pat : P4, P20</t>
        </r>
      </text>
    </comment>
    <comment ref="O60" authorId="0">
      <text>
        <r>
          <rPr>
            <sz val="10"/>
            <rFont val="Arial"/>
            <family val="2"/>
          </rPr>
          <t xml:space="preserve">1/5 — pas bon du tout
Tanin qui heurte le gras fondant, sans l'opposition du sucre (P4, P20).
Principes de Pat : P4, P20</t>
        </r>
      </text>
    </comment>
    <comment ref="O61" authorId="0">
      <text>
        <r>
          <rPr>
            <sz val="10"/>
            <rFont val="Arial"/>
            <family val="2"/>
          </rPr>
          <t xml:space="preserve">1/5 — pas bon du tout
Tanin qui heurte le gras fondant, sans l'opposition du sucre (P4, P20).
Principes de Pat : P4, P20</t>
        </r>
      </text>
    </comment>
    <comment ref="O62" authorId="0">
      <text>
        <r>
          <rPr>
            <sz val="10"/>
            <rFont val="Arial"/>
            <family val="2"/>
          </rPr>
          <t xml:space="preserve">1/5 — pas bon du tout
Tanin qui heurte le gras fondant, sans l'opposition du sucre (P4, P20).
Principes de Pat : P4, P20</t>
        </r>
      </text>
    </comment>
    <comment ref="O63" authorId="0">
      <text>
        <r>
          <rPr>
            <sz val="10"/>
            <rFont val="Arial"/>
            <family val="2"/>
          </rPr>
          <t xml:space="preserve">1/5 — pas bon du tout
Tanin qui heurte le gras fondant, sans l'opposition du sucre (P4, P20).
Principes de Pat : P4, P20</t>
        </r>
      </text>
    </comment>
    <comment ref="O64" authorId="0">
      <text>
        <r>
          <rPr>
            <sz val="10"/>
            <rFont val="Arial"/>
            <family val="2"/>
          </rPr>
          <t xml:space="preserve">1/5 — pas bon du tout
Tanin qui heurte le gras fondant, sans l'opposition du sucre (P4, P20).
Principes de Pat : P4, P20</t>
        </r>
      </text>
    </comment>
    <comment ref="O65" authorId="0">
      <text>
        <r>
          <rPr>
            <sz val="10"/>
            <rFont val="Arial"/>
            <family val="2"/>
          </rPr>
          <t xml:space="preserve">1/5 — pas bon du tout
Tanin qui heurte le gras fondant, sans l'opposition du sucre (P4, P20).
Principes de Pat : P4, P20</t>
        </r>
      </text>
    </comment>
    <comment ref="O66" authorId="0">
      <text>
        <r>
          <rPr>
            <sz val="10"/>
            <rFont val="Arial"/>
            <family val="2"/>
          </rPr>
          <t xml:space="preserve">1/5 — pas bon du tout
Tanin qui heurte le gras fondant, sans l'opposition du sucre (P4, P20).
Principes de Pat : P4, P20</t>
        </r>
      </text>
    </comment>
    <comment ref="O67" authorId="0">
      <text>
        <r>
          <rPr>
            <sz val="10"/>
            <rFont val="Arial"/>
            <family val="2"/>
          </rPr>
          <t xml:space="preserve">1/5 — pas bon du tout
Tanin qui heurte le gras fondant, sans l'opposition du sucre (P4, P20).
Principes de Pat : P4, P20</t>
        </r>
      </text>
    </comment>
    <comment ref="O68" authorId="0">
      <text>
        <r>
          <rPr>
            <sz val="10"/>
            <rFont val="Arial"/>
            <family val="2"/>
          </rPr>
          <t xml:space="preserve">1/5 — pas bon du tout
Tanin qui heurte le gras fondant, sans l'opposition du sucre (P4, P20).
Principes de Pat : P4, P20</t>
        </r>
      </text>
    </comment>
    <comment ref="O70" authorId="0">
      <text>
        <r>
          <rPr>
            <sz val="10"/>
            <rFont val="Arial"/>
            <family val="2"/>
          </rPr>
          <t xml:space="preserve">2/5 — médiocre
Blanc sec trop maigre face au gras (P20) ; sans le sucre qui répond au sel (P4).
Principes de Pat : P20, P4</t>
        </r>
      </text>
    </comment>
    <comment ref="O71" authorId="0">
      <text>
        <r>
          <rPr>
            <sz val="10"/>
            <rFont val="Arial"/>
            <family val="2"/>
          </rPr>
          <t xml:space="preserve">2/5 — médiocre
Blanc sec trop maigre face au gras (P20) ; sans le sucre qui répond au sel (P4).
Principes de Pat : P20, P4</t>
        </r>
      </text>
    </comment>
    <comment ref="O73" authorId="0">
      <text>
        <r>
          <rPr>
            <sz val="10"/>
            <rFont val="Arial"/>
            <family val="2"/>
          </rPr>
          <t xml:space="preserve">2/5 — médiocre
Blanc sec trop maigre face au gras (P20) ; sans le sucre qui répond au sel (P4).
Principes de Pat : P20, P4</t>
        </r>
      </text>
    </comment>
    <comment ref="O74" authorId="0">
      <text>
        <r>
          <rPr>
            <sz val="10"/>
            <rFont val="Arial"/>
            <family val="2"/>
          </rPr>
          <t xml:space="preserve">2/5 — médiocre
Blanc sec trop maigre face au gras (P20) ; sans le sucre qui répond au sel (P4).
Principes de Pat : P20, P4</t>
        </r>
      </text>
    </comment>
    <comment ref="O75" authorId="0">
      <text>
        <r>
          <rPr>
            <sz val="10"/>
            <rFont val="Arial"/>
            <family val="2"/>
          </rPr>
          <t xml:space="preserve">2/5 — médiocre
Blanc sec trop maigre face au gras (P20) ; sans le sucre qui répond au sel (P4).
Principes de Pat : P20, P4</t>
        </r>
      </text>
    </comment>
    <comment ref="O76" authorId="0">
      <text>
        <r>
          <rPr>
            <sz val="10"/>
            <rFont val="Arial"/>
            <family val="2"/>
          </rPr>
          <t xml:space="preserve">2/5 — médiocre
Blanc sec trop maigre face au gras (P20) ; sans le sucre qui répond au sel (P4).
Principes de Pat : P20, P4</t>
        </r>
      </text>
    </comment>
    <comment ref="O77" authorId="0">
      <text>
        <r>
          <rPr>
            <sz val="10"/>
            <rFont val="Arial"/>
            <family val="2"/>
          </rPr>
          <t xml:space="preserve">2/5 — médiocre
Blanc sec trop maigre face au gras (P20) ; sans le sucre qui répond au sel (P4).
Principes de Pat : P20, P4</t>
        </r>
      </text>
    </comment>
    <comment ref="O78" authorId="0">
      <text>
        <r>
          <rPr>
            <sz val="10"/>
            <rFont val="Arial"/>
            <family val="2"/>
          </rPr>
          <t xml:space="preserve">2/5 — médiocre
Blanc sec trop maigre face au gras (P20) ; sans le sucre qui répond au sel (P4).
Principes de Pat : P20, P4</t>
        </r>
      </text>
    </comment>
    <comment ref="O79" authorId="0">
      <text>
        <r>
          <rPr>
            <sz val="10"/>
            <rFont val="Arial"/>
            <family val="2"/>
          </rPr>
          <t xml:space="preserve">3/5 — correct
Blanc ample qui tient le gras (P20) ; mais sans le sucre qui ferait l'accord (P4).
Principes de Pat : P20, P4</t>
        </r>
      </text>
    </comment>
    <comment ref="O81" authorId="0">
      <text>
        <r>
          <rPr>
            <sz val="10"/>
            <rFont val="Arial"/>
            <family val="2"/>
          </rPr>
          <t xml:space="preserve">5/5 — accord parfait
Opposition sucre ↔ sel sur le foie gras (P4) ; sa fraîcheur allège le gras (P3).
Principes de Pat : P4, P3</t>
        </r>
      </text>
    </comment>
    <comment ref="P7" authorId="0">
      <text>
        <r>
          <rPr>
            <sz val="10"/>
            <rFont val="Arial"/>
            <family val="2"/>
          </rPr>
          <t xml:space="preserve">3/5 — correct
Trop léger, il disparaît derrière le plat (P20).
Principes de Pat : P20</t>
        </r>
      </text>
    </comment>
    <comment ref="P8" authorId="0">
      <text>
        <r>
          <rPr>
            <sz val="10"/>
            <rFont val="Arial"/>
            <family val="2"/>
          </rPr>
          <t xml:space="preserve">4/5 — très bon
Blanc tendu, de poids moyen, sans bois : profil qui convient, sans point d'ancrage décisif (P20, P3).
Principes de Pat : P20, P3</t>
        </r>
      </text>
    </comment>
    <comment ref="P9" authorId="0">
      <text>
        <r>
          <rPr>
            <sz val="10"/>
            <rFont val="Arial"/>
            <family val="2"/>
          </rPr>
          <t xml:space="preserve">5/5 — accord parfait
Élevé sur lies : chair pour la bisque, acidité pour la crème (P39, P3).
Principes de Pat : P39, P3</t>
        </r>
      </text>
    </comment>
    <comment ref="P10" authorId="0">
      <text>
        <r>
          <rPr>
            <sz val="10"/>
            <rFont val="Arial"/>
            <family val="2"/>
          </rPr>
          <t xml:space="preserve">3/5 — correct
Le bois couvre la finesse et amplifie l'amertume (P19).
Principes de Pat : P19</t>
        </r>
      </text>
    </comment>
    <comment ref="P11" authorId="0">
      <text>
        <r>
          <rPr>
            <sz val="10"/>
            <rFont val="Arial"/>
            <family val="2"/>
          </rPr>
          <t xml:space="preserve">4/5 — très bon
Élevé sur lies : chair pour la bisque, acidité pour la crème (P39, P3) ; trop léger, il disparaît derrière le plat (P20).
Principes de Pat : P39, P3, P20</t>
        </r>
      </text>
    </comment>
    <comment ref="P12" authorId="0">
      <text>
        <r>
          <rPr>
            <sz val="10"/>
            <rFont val="Arial"/>
            <family val="2"/>
          </rPr>
          <t xml:space="preserve">4/5 — très bon
Blanc souple, de poids moyen, peu boisé : profil qui convient, sans point d'ancrage décisif (P20, P3).
Principes de Pat : P20, P3</t>
        </r>
      </text>
    </comment>
    <comment ref="P13" authorId="0">
      <text>
        <r>
          <rPr>
            <sz val="10"/>
            <rFont val="Arial"/>
            <family val="2"/>
          </rPr>
          <t xml:space="preserve">3/5 — correct
Trop léger, il disparaît derrière le plat (P20).
Principes de Pat : P20</t>
        </r>
      </text>
    </comment>
    <comment ref="P14" authorId="0">
      <text>
        <r>
          <rPr>
            <sz val="10"/>
            <rFont val="Arial"/>
            <family val="2"/>
          </rPr>
          <t xml:space="preserve">3/5 — correct
Le bois couvre la finesse et amplifie l'amertume (P19).
Principes de Pat : P19</t>
        </r>
      </text>
    </comment>
    <comment ref="P15" authorId="0">
      <text>
        <r>
          <rPr>
            <sz val="10"/>
            <rFont val="Arial"/>
            <family val="2"/>
          </rPr>
          <t xml:space="preserve">3/5 — correct
Le bois couvre la finesse et amplifie l'amertume (P19).
Principes de Pat : P19</t>
        </r>
      </text>
    </comment>
    <comment ref="P16" authorId="0">
      <text>
        <r>
          <rPr>
            <sz val="10"/>
            <rFont val="Arial"/>
            <family val="2"/>
          </rPr>
          <t xml:space="preserve">3/5 — correct
Le bois couvre la finesse et amplifie l'amertume (P19).
Principes de Pat : P19</t>
        </r>
      </text>
    </comment>
    <comment ref="P17" authorId="0">
      <text>
        <r>
          <rPr>
            <sz val="10"/>
            <rFont val="Arial"/>
            <family val="2"/>
          </rPr>
          <t xml:space="preserve">3/5 — correct
Le bois couvre la finesse et amplifie l'amertume (P19).
Principes de Pat : P19</t>
        </r>
      </text>
    </comment>
    <comment ref="P18" authorId="0">
      <text>
        <r>
          <rPr>
            <sz val="10"/>
            <rFont val="Arial"/>
            <family val="2"/>
          </rPr>
          <t xml:space="preserve">3/5 — correct
Le bois couvre la finesse et amplifie l'amertume (P19).
Principes de Pat : P19</t>
        </r>
      </text>
    </comment>
    <comment ref="P19" authorId="0">
      <text>
        <r>
          <rPr>
            <sz val="10"/>
            <rFont val="Arial"/>
            <family val="2"/>
          </rPr>
          <t xml:space="preserve">3/5 — correct
Le bois couvre la finesse et amplifie l'amertume (P19).
Principes de Pat : P19</t>
        </r>
      </text>
    </comment>
    <comment ref="P20" authorId="0">
      <text>
        <r>
          <rPr>
            <sz val="10"/>
            <rFont val="Arial"/>
            <family val="2"/>
          </rPr>
          <t xml:space="preserve">4/5 — très bon
Blanc souple, ample, peu boisé : profil qui convient, sans point d'ancrage décisif (P20, P3).
Principes de Pat : P20, P3</t>
        </r>
      </text>
    </comment>
    <comment ref="P21" authorId="0">
      <text>
        <r>
          <rPr>
            <sz val="10"/>
            <rFont val="Arial"/>
            <family val="2"/>
          </rPr>
          <t xml:space="preserve">3/5 — correct
Acidité trop faible face à la bisque crémeuse (P3).
Principes de Pat : P3</t>
        </r>
      </text>
    </comment>
    <comment ref="P22" authorId="0">
      <text>
        <r>
          <rPr>
            <sz val="10"/>
            <rFont val="Arial"/>
            <family val="2"/>
          </rPr>
          <t xml:space="preserve">3/5 — correct
Acidité trop faible face à la bisque crémeuse (P3).
Principes de Pat : P3</t>
        </r>
      </text>
    </comment>
    <comment ref="P23" authorId="0">
      <text>
        <r>
          <rPr>
            <sz val="10"/>
            <rFont val="Arial"/>
            <family val="2"/>
          </rPr>
          <t xml:space="preserve">3/5 — correct
Trop léger, il disparaît derrière le plat (P20).
Principes de Pat : P20</t>
        </r>
      </text>
    </comment>
    <comment ref="P24" authorId="0">
      <text>
        <r>
          <rPr>
            <sz val="10"/>
            <rFont val="Arial"/>
            <family val="2"/>
          </rPr>
          <t xml:space="preserve">3/5 — correct
Trop léger, il disparaît derrière le plat (P20).
Principes de Pat : P20</t>
        </r>
      </text>
    </comment>
    <comment ref="P25" authorId="0">
      <text>
        <r>
          <rPr>
            <sz val="10"/>
            <rFont val="Arial"/>
            <family val="2"/>
          </rPr>
          <t xml:space="preserve">4/5 — très bon
Blanc souple, ample, peu boisé : profil qui convient, sans point d'ancrage décisif (P20, P3).
Principes de Pat : P20, P3</t>
        </r>
      </text>
    </comment>
    <comment ref="P26" authorId="0">
      <text>
        <r>
          <rPr>
            <sz val="10"/>
            <rFont val="Arial"/>
            <family val="2"/>
          </rPr>
          <t xml:space="preserve">4/5 — très bon
Blanc tendu, de poids moyen, peu boisé : profil qui convient, sans point d'ancrage décisif (P20, P3).
Principes de Pat : P20, P3</t>
        </r>
      </text>
    </comment>
    <comment ref="P27" authorId="0">
      <text>
        <r>
          <rPr>
            <sz val="10"/>
            <rFont val="Arial"/>
            <family val="2"/>
          </rPr>
          <t xml:space="preserve">3/5 — correct
Trop léger, il disparaît derrière le plat (P20).
Principes de Pat : P20</t>
        </r>
      </text>
    </comment>
    <comment ref="P29" authorId="0">
      <text>
        <r>
          <rPr>
            <sz val="10"/>
            <rFont val="Arial"/>
            <family val="2"/>
          </rPr>
          <t xml:space="preserve">2/5 — médiocre
Rouge : son tanin durcit au contact du homard (P27) ; seule sa légèreté limite les dégâts (P20).
Principes de Pat : P27, P20</t>
        </r>
      </text>
    </comment>
    <comment ref="P30" authorId="0">
      <text>
        <r>
          <rPr>
            <sz val="10"/>
            <rFont val="Arial"/>
            <family val="2"/>
          </rPr>
          <t xml:space="preserve">1/5 — pas bon du tout
Rouge : son tanin durcit au contact du homard (P27).
Principes de Pat : P27</t>
        </r>
      </text>
    </comment>
    <comment ref="P31" authorId="0">
      <text>
        <r>
          <rPr>
            <sz val="10"/>
            <rFont val="Arial"/>
            <family val="2"/>
          </rPr>
          <t xml:space="preserve">1/5 — pas bon du tout
Rouge : son tanin durcit au contact du homard (P27).
Principes de Pat : P27</t>
        </r>
      </text>
    </comment>
    <comment ref="P32" authorId="0">
      <text>
        <r>
          <rPr>
            <sz val="10"/>
            <rFont val="Arial"/>
            <family val="2"/>
          </rPr>
          <t xml:space="preserve">2/5 — médiocre
Rouge : son tanin durcit au contact du homard (P27) ; seule sa légèreté limite les dégâts (P20).
Principes de Pat : P27, P20</t>
        </r>
      </text>
    </comment>
    <comment ref="P33" authorId="0">
      <text>
        <r>
          <rPr>
            <sz val="10"/>
            <rFont val="Arial"/>
            <family val="2"/>
          </rPr>
          <t xml:space="preserve">1/5 — pas bon du tout
Rouge : son tanin durcit au contact du homard (P27).
Principes de Pat : P27</t>
        </r>
      </text>
    </comment>
    <comment ref="P34" authorId="0">
      <text>
        <r>
          <rPr>
            <sz val="10"/>
            <rFont val="Arial"/>
            <family val="2"/>
          </rPr>
          <t xml:space="preserve">1/5 — pas bon du tout
Rouge : son tanin durcit au contact du homard (P27).
Principes de Pat : P27</t>
        </r>
      </text>
    </comment>
    <comment ref="P35" authorId="0">
      <text>
        <r>
          <rPr>
            <sz val="10"/>
            <rFont val="Arial"/>
            <family val="2"/>
          </rPr>
          <t xml:space="preserve">1/5 — pas bon du tout
Rouge : son tanin durcit au contact du homard (P27).
Principes de Pat : P27</t>
        </r>
      </text>
    </comment>
    <comment ref="P36" authorId="0">
      <text>
        <r>
          <rPr>
            <sz val="10"/>
            <rFont val="Arial"/>
            <family val="2"/>
          </rPr>
          <t xml:space="preserve">1/5 — pas bon du tout
Rouge : son tanin durcit au contact du homard (P27).
Principes de Pat : P27</t>
        </r>
      </text>
    </comment>
    <comment ref="P37" authorId="0">
      <text>
        <r>
          <rPr>
            <sz val="10"/>
            <rFont val="Arial"/>
            <family val="2"/>
          </rPr>
          <t xml:space="preserve">1/5 — pas bon du tout
Rouge : son tanin durcit au contact du homard (P27).
Principes de Pat : P27</t>
        </r>
      </text>
    </comment>
    <comment ref="P38" authorId="0">
      <text>
        <r>
          <rPr>
            <sz val="10"/>
            <rFont val="Arial"/>
            <family val="2"/>
          </rPr>
          <t xml:space="preserve">2/5 — médiocre
Rouge : son tanin durcit au contact du homard (P27) ; seule sa légèreté limite les dégâts (P20).
Principes de Pat : P27, P20</t>
        </r>
      </text>
    </comment>
    <comment ref="P39" authorId="0">
      <text>
        <r>
          <rPr>
            <sz val="10"/>
            <rFont val="Arial"/>
            <family val="2"/>
          </rPr>
          <t xml:space="preserve">2/5 — médiocre
Rouge : son tanin durcit au contact du homard (P27) ; seule sa légèreté limite les dégâts (P20).
Principes de Pat : P27, P20</t>
        </r>
      </text>
    </comment>
    <comment ref="P40" authorId="0">
      <text>
        <r>
          <rPr>
            <sz val="10"/>
            <rFont val="Arial"/>
            <family val="2"/>
          </rPr>
          <t xml:space="preserve">1/5 — pas bon du tout
Rouge : son tanin durcit au contact du homard (P27).
Principes de Pat : P27</t>
        </r>
      </text>
    </comment>
    <comment ref="P41" authorId="0">
      <text>
        <r>
          <rPr>
            <sz val="10"/>
            <rFont val="Arial"/>
            <family val="2"/>
          </rPr>
          <t xml:space="preserve">1/5 — pas bon du tout
Rouge : son tanin durcit au contact du homard (P27).
Principes de Pat : P27</t>
        </r>
      </text>
    </comment>
    <comment ref="P42" authorId="0">
      <text>
        <r>
          <rPr>
            <sz val="10"/>
            <rFont val="Arial"/>
            <family val="2"/>
          </rPr>
          <t xml:space="preserve">1/5 — pas bon du tout
Rouge : son tanin durcit au contact du homard (P27).
Principes de Pat : P27</t>
        </r>
      </text>
    </comment>
    <comment ref="P43" authorId="0">
      <text>
        <r>
          <rPr>
            <sz val="10"/>
            <rFont val="Arial"/>
            <family val="2"/>
          </rPr>
          <t xml:space="preserve">1/5 — pas bon du tout
Rouge : son tanin durcit au contact du homard (P27).
Principes de Pat : P27</t>
        </r>
      </text>
    </comment>
    <comment ref="P44" authorId="0">
      <text>
        <r>
          <rPr>
            <sz val="10"/>
            <rFont val="Arial"/>
            <family val="2"/>
          </rPr>
          <t xml:space="preserve">1/5 — pas bon du tout
Rouge : son tanin durcit au contact du homard (P27).
Principes de Pat : P27</t>
        </r>
      </text>
    </comment>
    <comment ref="P45" authorId="0">
      <text>
        <r>
          <rPr>
            <sz val="10"/>
            <rFont val="Arial"/>
            <family val="2"/>
          </rPr>
          <t xml:space="preserve">1/5 — pas bon du tout
Rouge : son tanin durcit au contact du homard (P27).
Principes de Pat : P27</t>
        </r>
      </text>
    </comment>
    <comment ref="P46" authorId="0">
      <text>
        <r>
          <rPr>
            <sz val="10"/>
            <rFont val="Arial"/>
            <family val="2"/>
          </rPr>
          <t xml:space="preserve">1/5 — pas bon du tout
Rouge : son tanin durcit au contact du homard (P27).
Principes de Pat : P27</t>
        </r>
      </text>
    </comment>
    <comment ref="P47" authorId="0">
      <text>
        <r>
          <rPr>
            <sz val="10"/>
            <rFont val="Arial"/>
            <family val="2"/>
          </rPr>
          <t xml:space="preserve">1/5 — pas bon du tout
Rouge : son tanin durcit au contact du homard (P27).
Principes de Pat : P27</t>
        </r>
      </text>
    </comment>
    <comment ref="P48" authorId="0">
      <text>
        <r>
          <rPr>
            <sz val="10"/>
            <rFont val="Arial"/>
            <family val="2"/>
          </rPr>
          <t xml:space="preserve">1/5 — pas bon du tout
Rouge : son tanin durcit au contact du homard (P27).
Principes de Pat : P27</t>
        </r>
      </text>
    </comment>
    <comment ref="P49" authorId="0">
      <text>
        <r>
          <rPr>
            <sz val="10"/>
            <rFont val="Arial"/>
            <family val="2"/>
          </rPr>
          <t xml:space="preserve">1/5 — pas bon du tout
Rouge : son tanin durcit au contact du homard (P27).
Principes de Pat : P27</t>
        </r>
      </text>
    </comment>
    <comment ref="P50" authorId="0">
      <text>
        <r>
          <rPr>
            <sz val="10"/>
            <rFont val="Arial"/>
            <family val="2"/>
          </rPr>
          <t xml:space="preserve">1/5 — pas bon du tout
Rouge : son tanin durcit au contact du homard (P27).
Principes de Pat : P27</t>
        </r>
      </text>
    </comment>
    <comment ref="P51" authorId="0">
      <text>
        <r>
          <rPr>
            <sz val="10"/>
            <rFont val="Arial"/>
            <family val="2"/>
          </rPr>
          <t xml:space="preserve">1/5 — pas bon du tout
Rouge : son tanin durcit au contact du homard (P27).
Principes de Pat : P27</t>
        </r>
      </text>
    </comment>
    <comment ref="P52" authorId="0">
      <text>
        <r>
          <rPr>
            <sz val="10"/>
            <rFont val="Arial"/>
            <family val="2"/>
          </rPr>
          <t xml:space="preserve">1/5 — pas bon du tout
Rouge : son tanin durcit au contact du homard (P27).
Principes de Pat : P27</t>
        </r>
      </text>
    </comment>
    <comment ref="P53" authorId="0">
      <text>
        <r>
          <rPr>
            <sz val="10"/>
            <rFont val="Arial"/>
            <family val="2"/>
          </rPr>
          <t xml:space="preserve">1/5 — pas bon du tout
Rouge : son tanin durcit au contact du homard (P27).
Principes de Pat : P27</t>
        </r>
      </text>
    </comment>
    <comment ref="P54" authorId="0">
      <text>
        <r>
          <rPr>
            <sz val="10"/>
            <rFont val="Arial"/>
            <family val="2"/>
          </rPr>
          <t xml:space="preserve">1/5 — pas bon du tout
Rouge : son tanin durcit au contact du homard (P27).
Principes de Pat : P27</t>
        </r>
      </text>
    </comment>
    <comment ref="P55" authorId="0">
      <text>
        <r>
          <rPr>
            <sz val="10"/>
            <rFont val="Arial"/>
            <family val="2"/>
          </rPr>
          <t xml:space="preserve">1/5 — pas bon du tout
Rouge : son tanin durcit au contact du homard (P27).
Principes de Pat : P27</t>
        </r>
      </text>
    </comment>
    <comment ref="P56" authorId="0">
      <text>
        <r>
          <rPr>
            <sz val="10"/>
            <rFont val="Arial"/>
            <family val="2"/>
          </rPr>
          <t xml:space="preserve">1/5 — pas bon du tout
Rouge : son tanin durcit au contact du homard (P27).
Principes de Pat : P27</t>
        </r>
      </text>
    </comment>
    <comment ref="P57" authorId="0">
      <text>
        <r>
          <rPr>
            <sz val="10"/>
            <rFont val="Arial"/>
            <family val="2"/>
          </rPr>
          <t xml:space="preserve">1/5 — pas bon du tout
Rouge : son tanin durcit au contact du homard (P27).
Principes de Pat : P27</t>
        </r>
      </text>
    </comment>
    <comment ref="P58" authorId="0">
      <text>
        <r>
          <rPr>
            <sz val="10"/>
            <rFont val="Arial"/>
            <family val="2"/>
          </rPr>
          <t xml:space="preserve">2/5 — médiocre
Rouge : son tanin durcit au contact du homard (P27) ; seule sa légèreté limite les dégâts (P20).
Principes de Pat : P27, P20</t>
        </r>
      </text>
    </comment>
    <comment ref="P59" authorId="0">
      <text>
        <r>
          <rPr>
            <sz val="10"/>
            <rFont val="Arial"/>
            <family val="2"/>
          </rPr>
          <t xml:space="preserve">1/5 — pas bon du tout
Rouge : son tanin durcit au contact du homard (P27).
Principes de Pat : P27</t>
        </r>
      </text>
    </comment>
    <comment ref="P60" authorId="0">
      <text>
        <r>
          <rPr>
            <sz val="10"/>
            <rFont val="Arial"/>
            <family val="2"/>
          </rPr>
          <t xml:space="preserve">1/5 — pas bon du tout
Rouge : son tanin durcit au contact du homard (P27).
Principes de Pat : P27</t>
        </r>
      </text>
    </comment>
    <comment ref="P61" authorId="0">
      <text>
        <r>
          <rPr>
            <sz val="10"/>
            <rFont val="Arial"/>
            <family val="2"/>
          </rPr>
          <t xml:space="preserve">1/5 — pas bon du tout
Rouge : son tanin durcit au contact du homard (P27).
Principes de Pat : P27</t>
        </r>
      </text>
    </comment>
    <comment ref="P62" authorId="0">
      <text>
        <r>
          <rPr>
            <sz val="10"/>
            <rFont val="Arial"/>
            <family val="2"/>
          </rPr>
          <t xml:space="preserve">1/5 — pas bon du tout
Rouge : son tanin durcit au contact du homard (P27).
Principes de Pat : P27</t>
        </r>
      </text>
    </comment>
    <comment ref="P63" authorId="0">
      <text>
        <r>
          <rPr>
            <sz val="10"/>
            <rFont val="Arial"/>
            <family val="2"/>
          </rPr>
          <t xml:space="preserve">1/5 — pas bon du tout
Rouge : son tanin durcit au contact du homard (P27).
Principes de Pat : P27</t>
        </r>
      </text>
    </comment>
    <comment ref="P64" authorId="0">
      <text>
        <r>
          <rPr>
            <sz val="10"/>
            <rFont val="Arial"/>
            <family val="2"/>
          </rPr>
          <t xml:space="preserve">1/5 — pas bon du tout
Rouge : son tanin durcit au contact du homard (P27).
Principes de Pat : P27</t>
        </r>
      </text>
    </comment>
    <comment ref="P65" authorId="0">
      <text>
        <r>
          <rPr>
            <sz val="10"/>
            <rFont val="Arial"/>
            <family val="2"/>
          </rPr>
          <t xml:space="preserve">1/5 — pas bon du tout
Rouge : son tanin durcit au contact du homard (P27).
Principes de Pat : P27</t>
        </r>
      </text>
    </comment>
    <comment ref="P66" authorId="0">
      <text>
        <r>
          <rPr>
            <sz val="10"/>
            <rFont val="Arial"/>
            <family val="2"/>
          </rPr>
          <t xml:space="preserve">1/5 — pas bon du tout
Rouge : son tanin durcit au contact du homard (P27).
Principes de Pat : P27</t>
        </r>
      </text>
    </comment>
    <comment ref="P67" authorId="0">
      <text>
        <r>
          <rPr>
            <sz val="10"/>
            <rFont val="Arial"/>
            <family val="2"/>
          </rPr>
          <t xml:space="preserve">1/5 — pas bon du tout
Rouge : son tanin durcit au contact du homard (P27).
Principes de Pat : P27</t>
        </r>
      </text>
    </comment>
    <comment ref="P68" authorId="0">
      <text>
        <r>
          <rPr>
            <sz val="10"/>
            <rFont val="Arial"/>
            <family val="2"/>
          </rPr>
          <t xml:space="preserve">1/5 — pas bon du tout
Rouge : son tanin durcit au contact du homard (P27).
Principes de Pat : P27</t>
        </r>
      </text>
    </comment>
    <comment ref="P70" authorId="0">
      <text>
        <r>
          <rPr>
            <sz val="10"/>
            <rFont val="Arial"/>
            <family val="2"/>
          </rPr>
          <t xml:space="preserve">3/5 — correct
Trop léger, il disparaît derrière le plat (P20).
Principes de Pat : P20</t>
        </r>
      </text>
    </comment>
    <comment ref="P71" authorId="0">
      <text>
        <r>
          <rPr>
            <sz val="10"/>
            <rFont val="Arial"/>
            <family val="2"/>
          </rPr>
          <t xml:space="preserve">3/5 — correct
Trop léger, il disparaît derrière le plat (P20).
Principes de Pat : P20</t>
        </r>
      </text>
    </comment>
    <comment ref="P73" authorId="0">
      <text>
        <r>
          <rPr>
            <sz val="10"/>
            <rFont val="Arial"/>
            <family val="2"/>
          </rPr>
          <t xml:space="preserve">3/5 — correct
Trop léger, il disparaît derrière le plat (P20).
Principes de Pat : P20</t>
        </r>
      </text>
    </comment>
    <comment ref="P74" authorId="0">
      <text>
        <r>
          <rPr>
            <sz val="10"/>
            <rFont val="Arial"/>
            <family val="2"/>
          </rPr>
          <t xml:space="preserve">5/5 — accord parfait
Effervescent vineux : la bulle coupe la crème, les pinots répondent à la bisque (P41, P3).
Principes de Pat : P41, P3</t>
        </r>
      </text>
    </comment>
    <comment ref="P75" authorId="0">
      <text>
        <r>
          <rPr>
            <sz val="10"/>
            <rFont val="Arial"/>
            <family val="2"/>
          </rPr>
          <t xml:space="preserve">5/5 — accord parfait
Effervescent vineux : la bulle coupe la crème, les pinots répondent à la bisque (P41, P3).
Principes de Pat : P41, P3</t>
        </r>
      </text>
    </comment>
    <comment ref="P76" authorId="0">
      <text>
        <r>
          <rPr>
            <sz val="10"/>
            <rFont val="Arial"/>
            <family val="2"/>
          </rPr>
          <t xml:space="preserve">5/5 — accord parfait
Effervescent vineux : la bulle coupe la crème, les pinots répondent à la bisque (P41, P3).
Principes de Pat : P41, P3</t>
        </r>
      </text>
    </comment>
    <comment ref="P77" authorId="0">
      <text>
        <r>
          <rPr>
            <sz val="10"/>
            <rFont val="Arial"/>
            <family val="2"/>
          </rPr>
          <t xml:space="preserve">3/5 — correct
Trop léger, il disparaît derrière le plat (P20).
Principes de Pat : P20</t>
        </r>
      </text>
    </comment>
    <comment ref="P78" authorId="0">
      <text>
        <r>
          <rPr>
            <sz val="10"/>
            <rFont val="Arial"/>
            <family val="2"/>
          </rPr>
          <t xml:space="preserve">3/5 — correct
Trop léger, il disparaît derrière le plat (P20).
Principes de Pat : P20</t>
        </r>
      </text>
    </comment>
    <comment ref="P79" authorId="0">
      <text>
        <r>
          <rPr>
            <sz val="10"/>
            <rFont val="Arial"/>
            <family val="2"/>
          </rPr>
          <t xml:space="preserve">5/5 — accord parfait
Effervescent vineux : la bulle coupe la crème, les pinots répondent à la bisque (P41, P3).
Principes de Pat : P41, P3</t>
        </r>
      </text>
    </comment>
    <comment ref="P81" authorId="0">
      <text>
        <r>
          <rPr>
            <sz val="10"/>
            <rFont val="Arial"/>
            <family val="2"/>
          </rPr>
          <t xml:space="preserve">1/5 — pas bon du tout
Liquoreux hors de propos sur un plat salé qui n'appelle pas de sucre (P20, P4).
Principes de Pat : P20, P4</t>
        </r>
      </text>
    </comment>
    <comment ref="Q7" authorId="0">
      <text>
        <r>
          <rPr>
            <sz val="10"/>
            <rFont val="Arial"/>
            <family val="2"/>
          </rPr>
          <t xml:space="preserve">4/5 — très bon
Le citron de la sauce vierge plafonne l'accord (P11, P35) ; notes d'herbes en miroir de la sauce vierge (P25).
Principes de Pat : P11, P35, P25</t>
        </r>
      </text>
    </comment>
    <comment ref="Q8" authorId="0">
      <text>
        <r>
          <rPr>
            <sz val="10"/>
            <rFont val="Arial"/>
            <family val="2"/>
          </rPr>
          <t xml:space="preserve">4/5 — très bon
Le citron de la sauce vierge plafonne l'accord (P11, P35) ; notes d'herbes en miroir de la sauce vierge (P25).
Principes de Pat : P11, P35, P25</t>
        </r>
      </text>
    </comment>
    <comment ref="Q9" authorId="0">
      <text>
        <r>
          <rPr>
            <sz val="10"/>
            <rFont val="Arial"/>
            <family val="2"/>
          </rPr>
          <t xml:space="preserve">4/5 — très bon
Le citron de la sauce vierge plafonne l'accord (P11, P35) ; notes d'herbes en miroir de la sauce vierge (P25).
Principes de Pat : P11, P35, P25</t>
        </r>
      </text>
    </comment>
    <comment ref="Q10" authorId="0">
      <text>
        <r>
          <rPr>
            <sz val="10"/>
            <rFont val="Arial"/>
            <family val="2"/>
          </rPr>
          <t xml:space="preserve">3/5 — correct
Le bois couvre la finesse et amplifie l'amertume (P19).
Principes de Pat : P19</t>
        </r>
      </text>
    </comment>
    <comment ref="Q11" authorId="0">
      <text>
        <r>
          <rPr>
            <sz val="10"/>
            <rFont val="Arial"/>
            <family val="2"/>
          </rPr>
          <t xml:space="preserve">4/5 — très bon
Blanc tendu, léger, sans bois : profil qui convient, sans point d'ancrage décisif (P20, P23) ; le citron de la sauce vierge plafonne l'accord (P11, P35).
Principes de Pat : P20, P23, P11, P35</t>
        </r>
      </text>
    </comment>
    <comment ref="Q12" authorId="0">
      <text>
        <r>
          <rPr>
            <sz val="10"/>
            <rFont val="Arial"/>
            <family val="2"/>
          </rPr>
          <t xml:space="preserve">2/5 — médiocre
Le bois couvre la finesse et amplifie l'amertume (P19) ; acidité trop faible face à la tomate et le citron (P23).
Principes de Pat : P19, P23</t>
        </r>
      </text>
    </comment>
    <comment ref="Q13" authorId="0">
      <text>
        <r>
          <rPr>
            <sz val="10"/>
            <rFont val="Arial"/>
            <family val="2"/>
          </rPr>
          <t xml:space="preserve">2/5 — médiocre
Le bois couvre la finesse et amplifie l'amertume (P19) ; acidité trop faible face à la tomate et le citron (P23).
Principes de Pat : P19, P23</t>
        </r>
      </text>
    </comment>
    <comment ref="Q14" authorId="0">
      <text>
        <r>
          <rPr>
            <sz val="10"/>
            <rFont val="Arial"/>
            <family val="2"/>
          </rPr>
          <t xml:space="preserve">2/5 — médiocre
Le bois couvre la finesse et amplifie l'amertume (P19).
Principes de Pat : P19</t>
        </r>
      </text>
    </comment>
    <comment ref="Q15" authorId="0">
      <text>
        <r>
          <rPr>
            <sz val="10"/>
            <rFont val="Arial"/>
            <family val="2"/>
          </rPr>
          <t xml:space="preserve">2/5 — médiocre
Le bois couvre la finesse et amplifie l'amertume (P19).
Principes de Pat : P19</t>
        </r>
      </text>
    </comment>
    <comment ref="Q16" authorId="0">
      <text>
        <r>
          <rPr>
            <sz val="10"/>
            <rFont val="Arial"/>
            <family val="2"/>
          </rPr>
          <t xml:space="preserve">1/5 — pas bon du tout
Le bois couvre la finesse et amplifie l'amertume (P19) ; acidité trop faible face à la tomate et le citron (P23).
Principes de Pat : P19, P23</t>
        </r>
      </text>
    </comment>
    <comment ref="Q17" authorId="0">
      <text>
        <r>
          <rPr>
            <sz val="10"/>
            <rFont val="Arial"/>
            <family val="2"/>
          </rPr>
          <t xml:space="preserve">1/5 — pas bon du tout
Le bois couvre la finesse et amplifie l'amertume (P19) ; acidité trop faible face à la tomate et le citron (P23).
Principes de Pat : P19, P23</t>
        </r>
      </text>
    </comment>
    <comment ref="Q18" authorId="0">
      <text>
        <r>
          <rPr>
            <sz val="10"/>
            <rFont val="Arial"/>
            <family val="2"/>
          </rPr>
          <t xml:space="preserve">1/5 — pas bon du tout
Le bois couvre la finesse et amplifie l'amertume (P19) ; acidité trop faible face à la tomate et le citron (P23).
Principes de Pat : P19, P23</t>
        </r>
      </text>
    </comment>
    <comment ref="Q19" authorId="0">
      <text>
        <r>
          <rPr>
            <sz val="10"/>
            <rFont val="Arial"/>
            <family val="2"/>
          </rPr>
          <t xml:space="preserve">2/5 — médiocre
Le bois couvre la finesse et amplifie l'amertume (P19).
Principes de Pat : P19</t>
        </r>
      </text>
    </comment>
    <comment ref="Q20" authorId="0">
      <text>
        <r>
          <rPr>
            <sz val="10"/>
            <rFont val="Arial"/>
            <family val="2"/>
          </rPr>
          <t xml:space="preserve">2/5 — médiocre
Le bois couvre la finesse et amplifie l'amertume (P19) ; acidité trop faible face à la tomate et le citron (P23).
Principes de Pat : P19, P23</t>
        </r>
      </text>
    </comment>
    <comment ref="Q21" authorId="0">
      <text>
        <r>
          <rPr>
            <sz val="10"/>
            <rFont val="Arial"/>
            <family val="2"/>
          </rPr>
          <t xml:space="preserve">1/5 — pas bon du tout
Acidité trop faible face à la tomate et le citron (P23) ; le bois couvre la finesse et amplifie l'amertume (P19).
Principes de Pat : P23, P19</t>
        </r>
      </text>
    </comment>
    <comment ref="Q22" authorId="0">
      <text>
        <r>
          <rPr>
            <sz val="10"/>
            <rFont val="Arial"/>
            <family val="2"/>
          </rPr>
          <t xml:space="preserve">1/5 — pas bon du tout
Acidité trop faible face à la tomate et le citron (P23) ; le bois couvre la finesse et amplifie l'amertume (P19).
Principes de Pat : P23, P19</t>
        </r>
      </text>
    </comment>
    <comment ref="Q23" authorId="0">
      <text>
        <r>
          <rPr>
            <sz val="10"/>
            <rFont val="Arial"/>
            <family val="2"/>
          </rPr>
          <t xml:space="preserve">4/5 — très bon
Notes d'herbes en miroir de la sauce vierge (P25) ; acidité trop faible face à la tomate et le citron (P23) ; le citron de la sauce vierge plafonne l'accord (P11, P35).
Principes de Pat : P25, P23, P11, P35</t>
        </r>
      </text>
    </comment>
    <comment ref="Q24" authorId="0">
      <text>
        <r>
          <rPr>
            <sz val="10"/>
            <rFont val="Arial"/>
            <family val="2"/>
          </rPr>
          <t xml:space="preserve">4/5 — très bon
Blanc tendu, léger, sans bois : profil qui convient, sans point d'ancrage décisif (P20, P23) ; le citron de la sauce vierge plafonne l'accord (P11, P35).
Principes de Pat : P20, P23, P11, P35</t>
        </r>
      </text>
    </comment>
    <comment ref="Q25" authorId="0">
      <text>
        <r>
          <rPr>
            <sz val="10"/>
            <rFont val="Arial"/>
            <family val="2"/>
          </rPr>
          <t xml:space="preserve">2/5 — médiocre
Le bois couvre la finesse et amplifie l'amertume (P19) ; acidité trop faible face à la tomate et le citron (P23).
Principes de Pat : P19, P23</t>
        </r>
      </text>
    </comment>
    <comment ref="Q26" authorId="0">
      <text>
        <r>
          <rPr>
            <sz val="10"/>
            <rFont val="Arial"/>
            <family val="2"/>
          </rPr>
          <t xml:space="preserve">4/5 — très bon
Notes d'herbes en miroir de la sauce vierge (P25) ; le bois couvre la finesse et amplifie l'amertume (P19) ; le citron de la sauce vierge plafonne l'accord (P11, P35).
Principes de Pat : P25, P19, P11, P35</t>
        </r>
      </text>
    </comment>
    <comment ref="Q27" authorId="0">
      <text>
        <r>
          <rPr>
            <sz val="10"/>
            <rFont val="Arial"/>
            <family val="2"/>
          </rPr>
          <t xml:space="preserve">4/5 — très bon
Blanc tendu, léger, sans bois : profil qui convient, sans point d'ancrage décisif (P20, P23) ; le citron de la sauce vierge plafonne l'accord (P11, P35).
Principes de Pat : P20, P23, P11, P35</t>
        </r>
      </text>
    </comment>
    <comment ref="Q29" authorId="0">
      <text>
        <r>
          <rPr>
            <sz val="10"/>
            <rFont val="Arial"/>
            <family val="2"/>
          </rPr>
          <t xml:space="preserve">4/5 — très bon
Rouge léger très peu tannique : profil qui convient, sans point d'ancrage décisif (P20, P27) ; le citron de la sauce vierge plafonne l'accord (P11, P35).
Principes de Pat : P20, P27, P11, P35</t>
        </r>
      </text>
    </comment>
    <comment ref="Q30" authorId="0">
      <text>
        <r>
          <rPr>
            <sz val="10"/>
            <rFont val="Arial"/>
            <family val="2"/>
          </rPr>
          <t xml:space="preserve">2/5 — médiocre
Tanin trop présent pour la chair iodée et la tomate (P27) ; acidité trop faible face à la tomate et le citron (P23).
Principes de Pat : P27, P23</t>
        </r>
      </text>
    </comment>
    <comment ref="Q31"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32"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33" authorId="0">
      <text>
        <r>
          <rPr>
            <sz val="10"/>
            <rFont val="Arial"/>
            <family val="2"/>
          </rPr>
          <t xml:space="preserve">1/5 — pas bon du tout
Le bois couvre la finesse et amplifie l'amertume (P19) ; tanin trop présent pour la chair iodée et la tomate (P27) ; acidité trop faible face à la tomate et le citron (P23).
Principes de Pat : P19, P27, P23</t>
        </r>
      </text>
    </comment>
    <comment ref="Q34"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35"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36"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37" authorId="0">
      <text>
        <r>
          <rPr>
            <sz val="10"/>
            <rFont val="Arial"/>
            <family val="2"/>
          </rPr>
          <t xml:space="preserve">1/5 — pas bon du tout
Le bois couvre la finesse et amplifie l'amertume (P19) ; tanin trop présent pour la chair iodée et la tomate (P27) ; acidité trop faible face à la tomate et le citron (P23).
Principes de Pat : P19, P27, P23</t>
        </r>
      </text>
    </comment>
    <comment ref="Q38" authorId="0">
      <text>
        <r>
          <rPr>
            <sz val="10"/>
            <rFont val="Arial"/>
            <family val="2"/>
          </rPr>
          <t xml:space="preserve">3/5 — correct
Tanin trop présent pour la chair iodée et la tomate (P27).
Principes de Pat : P27</t>
        </r>
      </text>
    </comment>
    <comment ref="Q39" authorId="0">
      <text>
        <r>
          <rPr>
            <sz val="10"/>
            <rFont val="Arial"/>
            <family val="2"/>
          </rPr>
          <t xml:space="preserve">2/5 — médiocre
Tanin trop présent pour la chair iodée et la tomate (P27) ; le bois couvre la finesse et amplifie l'amertume (P19).
Principes de Pat : P27, P19</t>
        </r>
      </text>
    </comment>
    <comment ref="Q40"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41"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42"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43"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44"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45"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46"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47"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48" authorId="0">
      <text>
        <r>
          <rPr>
            <sz val="10"/>
            <rFont val="Arial"/>
            <family val="2"/>
          </rPr>
          <t xml:space="preserve">1/5 — pas bon du tout
Tanin trop présent pour la chair iodée et la tomate (P27) ; le bois couvre la finesse et amplifie l'amertume (P19).
Principes de Pat : P27, P19</t>
        </r>
      </text>
    </comment>
    <comment ref="Q49" authorId="0">
      <text>
        <r>
          <rPr>
            <sz val="10"/>
            <rFont val="Arial"/>
            <family val="2"/>
          </rPr>
          <t xml:space="preserve">1/5 — pas bon du tout
Tanin trop présent pour la chair iodée et la tomate (P27) ; le bois couvre la finesse et amplifie l'amertume (P19) ; acidité trop faible face à la tomate et le citron (P23) ; trop puissant, il écrase le plat (P20).
Principes de Pat : P27, P19, P23, P20</t>
        </r>
      </text>
    </comment>
    <comment ref="Q50" authorId="0">
      <text>
        <r>
          <rPr>
            <sz val="10"/>
            <rFont val="Arial"/>
            <family val="2"/>
          </rPr>
          <t xml:space="preserve">1/5 — pas bon du tout
Tanin trop présent pour la chair iodée et la tomate (P27) ; le bois couvre la finesse et amplifie l'amertume (P19).
Principes de Pat : P27, P19</t>
        </r>
      </text>
    </comment>
    <comment ref="Q51" authorId="0">
      <text>
        <r>
          <rPr>
            <sz val="10"/>
            <rFont val="Arial"/>
            <family val="2"/>
          </rPr>
          <t xml:space="preserve">1/5 — pas bon du tout
Le bois couvre la finesse et amplifie l'amertume (P19) ; tanin trop présent pour la chair iodée et la tomate (P27) ; acidité trop faible face à la tomate et le citron (P23).
Principes de Pat : P19, P27, P23</t>
        </r>
      </text>
    </comment>
    <comment ref="Q52"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53"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54" authorId="0">
      <text>
        <r>
          <rPr>
            <sz val="10"/>
            <rFont val="Arial"/>
            <family val="2"/>
          </rPr>
          <t xml:space="preserve">1/5 — pas bon du tout
Tanin trop présent pour la chair iodée et la tomate (P27) ; le bois couvre la finesse et amplifie l'amertume (P19).
Principes de Pat : P27, P19</t>
        </r>
      </text>
    </comment>
    <comment ref="Q55"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56" authorId="0">
      <text>
        <r>
          <rPr>
            <sz val="10"/>
            <rFont val="Arial"/>
            <family val="2"/>
          </rPr>
          <t xml:space="preserve">1/5 — pas bon du tout
Le bois couvre la finesse et amplifie l'amertume (P19) ; tanin trop présent pour la chair iodée et la tomate (P27) ; acidité trop faible face à la tomate et le citron (P23).
Principes de Pat : P19, P27, P23</t>
        </r>
      </text>
    </comment>
    <comment ref="Q57" authorId="0">
      <text>
        <r>
          <rPr>
            <sz val="10"/>
            <rFont val="Arial"/>
            <family val="2"/>
          </rPr>
          <t xml:space="preserve">1/5 — pas bon du tout
Tanin trop présent pour la chair iodée et la tomate (P27) ; le bois couvre la finesse et amplifie l'amertume (P19).
Principes de Pat : P27, P19</t>
        </r>
      </text>
    </comment>
    <comment ref="Q58" authorId="0">
      <text>
        <r>
          <rPr>
            <sz val="10"/>
            <rFont val="Arial"/>
            <family val="2"/>
          </rPr>
          <t xml:space="preserve">2/5 — médiocre
Tanin trop présent pour la chair iodée et la tomate (P27) ; le bois couvre la finesse et amplifie l'amertume (P19).
Principes de Pat : P27, P19</t>
        </r>
      </text>
    </comment>
    <comment ref="Q59" authorId="0">
      <text>
        <r>
          <rPr>
            <sz val="10"/>
            <rFont val="Arial"/>
            <family val="2"/>
          </rPr>
          <t xml:space="preserve">1/5 — pas bon du tout
Tanin trop présent pour la chair iodée et la tomate (P27) ; le bois couvre la finesse et amplifie l'amertume (P19).
Principes de Pat : P27, P19</t>
        </r>
      </text>
    </comment>
    <comment ref="Q60" authorId="0">
      <text>
        <r>
          <rPr>
            <sz val="10"/>
            <rFont val="Arial"/>
            <family val="2"/>
          </rPr>
          <t xml:space="preserve">1/5 — pas bon du tout
Tanin trop présent pour la chair iodée et la tomate (P27) ; le bois couvre la finesse et amplifie l'amertume (P19).
Principes de Pat : P27, P19</t>
        </r>
      </text>
    </comment>
    <comment ref="Q61"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62" authorId="0">
      <text>
        <r>
          <rPr>
            <sz val="10"/>
            <rFont val="Arial"/>
            <family val="2"/>
          </rPr>
          <t xml:space="preserve">1/5 — pas bon du tout
Tanin trop présent pour la chair iodée et la tomate (P27) ; le bois couvre la finesse et amplifie l'amertume (P19).
Principes de Pat : P27, P19</t>
        </r>
      </text>
    </comment>
    <comment ref="Q63" authorId="0">
      <text>
        <r>
          <rPr>
            <sz val="10"/>
            <rFont val="Arial"/>
            <family val="2"/>
          </rPr>
          <t xml:space="preserve">1/5 — pas bon du tout
Tanin trop présent pour la chair iodée et la tomate (P27) ; le bois couvre la finesse et amplifie l'amertume (P19).
Principes de Pat : P27, P19</t>
        </r>
      </text>
    </comment>
    <comment ref="Q64" authorId="0">
      <text>
        <r>
          <rPr>
            <sz val="10"/>
            <rFont val="Arial"/>
            <family val="2"/>
          </rPr>
          <t xml:space="preserve">1/5 — pas bon du tout
Tanin trop présent pour la chair iodée et la tomate (P27) ; le bois couvre la finesse et amplifie l'amertume (P19).
Principes de Pat : P27, P19</t>
        </r>
      </text>
    </comment>
    <comment ref="Q65" authorId="0">
      <text>
        <r>
          <rPr>
            <sz val="10"/>
            <rFont val="Arial"/>
            <family val="2"/>
          </rPr>
          <t xml:space="preserve">1/5 — pas bon du tout
Le bois couvre la finesse et amplifie l'amertume (P19) ; tanin trop présent pour la chair iodée et la tomate (P27) ; acidité trop faible face à la tomate et le citron (P23) ; trop puissant, il écrase le plat (P20).
Principes de Pat : P19, P27, P23, P20</t>
        </r>
      </text>
    </comment>
    <comment ref="Q66"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67"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68" authorId="0">
      <text>
        <r>
          <rPr>
            <sz val="10"/>
            <rFont val="Arial"/>
            <family val="2"/>
          </rPr>
          <t xml:space="preserve">1/5 — pas bon du tout
Tanin trop présent pour la chair iodée et la tomate (P27) ; le bois couvre la finesse et amplifie l'amertume (P19) ; acidité trop faible face à la tomate et le citron (P23).
Principes de Pat : P27, P19, P23</t>
        </r>
      </text>
    </comment>
    <comment ref="Q70" authorId="0">
      <text>
        <r>
          <rPr>
            <sz val="10"/>
            <rFont val="Arial"/>
            <family val="2"/>
          </rPr>
          <t xml:space="preserve">3/5 — correct
Acidité trop faible face à la tomate et le citron (P23).
Principes de Pat : P23</t>
        </r>
      </text>
    </comment>
    <comment ref="Q71" authorId="0">
      <text>
        <r>
          <rPr>
            <sz val="10"/>
            <rFont val="Arial"/>
            <family val="2"/>
          </rPr>
          <t xml:space="preserve">3/5 — correct
Acidité trop faible face à la tomate et le citron (P23).
Principes de Pat : P23</t>
        </r>
      </text>
    </comment>
    <comment ref="Q73" authorId="0">
      <text>
        <r>
          <rPr>
            <sz val="10"/>
            <rFont val="Arial"/>
            <family val="2"/>
          </rPr>
          <t xml:space="preserve">3/5 — correct
Acidité trop faible face à la tomate et le citron (P23).
Principes de Pat : P23</t>
        </r>
      </text>
    </comment>
    <comment ref="Q74" authorId="0">
      <text>
        <r>
          <rPr>
            <sz val="10"/>
            <rFont val="Arial"/>
            <family val="2"/>
          </rPr>
          <t xml:space="preserve">4/5 — très bon
Effervescent vineux : profil qui convient, sans point d'ancrage décisif (P20, P23) ; le citron de la sauce vierge plafonne l'accord (P11, P35).
Principes de Pat : P20, P23, P11, P35</t>
        </r>
      </text>
    </comment>
    <comment ref="Q75" authorId="0">
      <text>
        <r>
          <rPr>
            <sz val="10"/>
            <rFont val="Arial"/>
            <family val="2"/>
          </rPr>
          <t xml:space="preserve">4/5 — très bon
Effervescent vineux : profil qui convient, sans point d'ancrage décisif (P20, P23) ; le citron de la sauce vierge plafonne l'accord (P11, P35).
Principes de Pat : P20, P23, P11, P35</t>
        </r>
      </text>
    </comment>
    <comment ref="Q76" authorId="0">
      <text>
        <r>
          <rPr>
            <sz val="10"/>
            <rFont val="Arial"/>
            <family val="2"/>
          </rPr>
          <t xml:space="preserve">3/5 — correct
Acidité trop faible face à la tomate et le citron (P23).
Principes de Pat : P23</t>
        </r>
      </text>
    </comment>
    <comment ref="Q77" authorId="0">
      <text>
        <r>
          <rPr>
            <sz val="10"/>
            <rFont val="Arial"/>
            <family val="2"/>
          </rPr>
          <t xml:space="preserve">4/5 — très bon
Effervescent blanc de blancs : profil qui convient, sans point d'ancrage décisif (P20, P23) ; le citron de la sauce vierge plafonne l'accord (P11, P35).
Principes de Pat : P20, P23, P11, P35</t>
        </r>
      </text>
    </comment>
    <comment ref="Q78" authorId="0">
      <text>
        <r>
          <rPr>
            <sz val="10"/>
            <rFont val="Arial"/>
            <family val="2"/>
          </rPr>
          <t xml:space="preserve">4/5 — très bon
Effervescent blanc de blancs : profil qui convient, sans point d'ancrage décisif (P20, P23) ; le citron de la sauce vierge plafonne l'accord (P11, P35).
Principes de Pat : P20, P23, P11, P35</t>
        </r>
      </text>
    </comment>
    <comment ref="Q79" authorId="0">
      <text>
        <r>
          <rPr>
            <sz val="10"/>
            <rFont val="Arial"/>
            <family val="2"/>
          </rPr>
          <t xml:space="preserve">4/5 — très bon
Effervescent vineux : profil qui convient, sans point d'ancrage décisif (P20, P23) ; le citron de la sauce vierge plafonne l'accord (P11, P35).
Principes de Pat : P20, P23, P11, P35</t>
        </r>
      </text>
    </comment>
    <comment ref="Q81" authorId="0">
      <text>
        <r>
          <rPr>
            <sz val="10"/>
            <rFont val="Arial"/>
            <family val="2"/>
          </rPr>
          <t xml:space="preserve">1/5 — pas bon du tout
Liquoreux hors de propos sur un plat salé qui n'appelle pas de sucre (P20, P4).
Principes de Pat : P20, P4</t>
        </r>
      </text>
    </comment>
    <comment ref="R7" authorId="0">
      <text>
        <r>
          <rPr>
            <sz val="10"/>
            <rFont val="Arial"/>
            <family val="2"/>
          </rPr>
          <t xml:space="preserve">4/5 — très bon
Blanc tendu, léger, sans bois : profil qui convient, sans point d'ancrage décisif (P20, P23).
Principes de Pat : P20, P23</t>
        </r>
      </text>
    </comment>
    <comment ref="R8" authorId="0">
      <text>
        <r>
          <rPr>
            <sz val="10"/>
            <rFont val="Arial"/>
            <family val="2"/>
          </rPr>
          <t xml:space="preserve">4/5 — très bon
Blanc tendu, de poids moyen, sans bois : profil qui convient, sans point d'ancrage décisif (P20, P23).
Principes de Pat : P20, P23</t>
        </r>
      </text>
    </comment>
    <comment ref="R9" authorId="0">
      <text>
        <r>
          <rPr>
            <sz val="10"/>
            <rFont val="Arial"/>
            <family val="2"/>
          </rPr>
          <t xml:space="preserve">4/5 — très bon
Blanc tendu, de poids moyen, sans bois : profil qui convient, sans point d'ancrage décisif (P20, P23).
Principes de Pat : P20, P23</t>
        </r>
      </text>
    </comment>
    <comment ref="R10" authorId="0">
      <text>
        <r>
          <rPr>
            <sz val="10"/>
            <rFont val="Arial"/>
            <family val="2"/>
          </rPr>
          <t xml:space="preserve">3/5 — correct
Le bois couvre la finesse et amplifie l'amertume (P19).
Principes de Pat : P19</t>
        </r>
      </text>
    </comment>
    <comment ref="R11" authorId="0">
      <text>
        <r>
          <rPr>
            <sz val="10"/>
            <rFont val="Arial"/>
            <family val="2"/>
          </rPr>
          <t xml:space="preserve">4/5 — très bon
Blanc tendu, léger, sans bois : profil qui convient, sans point d'ancrage décisif (P20, P23).
Principes de Pat : P20, P23</t>
        </r>
      </text>
    </comment>
    <comment ref="R12" authorId="0">
      <text>
        <r>
          <rPr>
            <sz val="10"/>
            <rFont val="Arial"/>
            <family val="2"/>
          </rPr>
          <t xml:space="preserve">4/5 — très bon
Blanc souple, de poids moyen, peu boisé : profil qui convient, sans point d'ancrage décisif (P20, P23).
Principes de Pat : P20, P23</t>
        </r>
      </text>
    </comment>
    <comment ref="R13" authorId="0">
      <text>
        <r>
          <rPr>
            <sz val="10"/>
            <rFont val="Arial"/>
            <family val="2"/>
          </rPr>
          <t xml:space="preserve">4/5 — très bon
Blanc souple, léger, peu boisé : profil qui convient, sans point d'ancrage décisif (P20, P23).
Principes de Pat : P20, P23</t>
        </r>
      </text>
    </comment>
    <comment ref="R14" authorId="0">
      <text>
        <r>
          <rPr>
            <sz val="10"/>
            <rFont val="Arial"/>
            <family val="2"/>
          </rPr>
          <t xml:space="preserve">3/5 — correct
Le bois couvre la finesse et amplifie l'amertume (P19).
Principes de Pat : P19</t>
        </r>
      </text>
    </comment>
    <comment ref="R15" authorId="0">
      <text>
        <r>
          <rPr>
            <sz val="10"/>
            <rFont val="Arial"/>
            <family val="2"/>
          </rPr>
          <t xml:space="preserve">3/5 — correct
Le bois couvre la finesse et amplifie l'amertume (P19).
Principes de Pat : P19</t>
        </r>
      </text>
    </comment>
    <comment ref="R16" authorId="0">
      <text>
        <r>
          <rPr>
            <sz val="10"/>
            <rFont val="Arial"/>
            <family val="2"/>
          </rPr>
          <t xml:space="preserve">3/5 — correct
Le bois couvre la finesse et amplifie l'amertume (P19).
Principes de Pat : P19</t>
        </r>
      </text>
    </comment>
    <comment ref="R17" authorId="0">
      <text>
        <r>
          <rPr>
            <sz val="10"/>
            <rFont val="Arial"/>
            <family val="2"/>
          </rPr>
          <t xml:space="preserve">3/5 — correct
Le bois couvre la finesse et amplifie l'amertume (P19).
Principes de Pat : P19</t>
        </r>
      </text>
    </comment>
    <comment ref="R18" authorId="0">
      <text>
        <r>
          <rPr>
            <sz val="10"/>
            <rFont val="Arial"/>
            <family val="2"/>
          </rPr>
          <t xml:space="preserve">3/5 — correct
Le bois couvre la finesse et amplifie l'amertume (P19).
Principes de Pat : P19</t>
        </r>
      </text>
    </comment>
    <comment ref="R19" authorId="0">
      <text>
        <r>
          <rPr>
            <sz val="10"/>
            <rFont val="Arial"/>
            <family val="2"/>
          </rPr>
          <t xml:space="preserve">3/5 — correct
Le bois couvre la finesse et amplifie l'amertume (P19).
Principes de Pat : P19</t>
        </r>
      </text>
    </comment>
    <comment ref="R20" authorId="0">
      <text>
        <r>
          <rPr>
            <sz val="10"/>
            <rFont val="Arial"/>
            <family val="2"/>
          </rPr>
          <t xml:space="preserve">4/5 — très bon
Blanc souple, ample, peu boisé : profil qui convient, sans point d'ancrage décisif (P20, P23).
Principes de Pat : P20, P23</t>
        </r>
      </text>
    </comment>
    <comment ref="R21" authorId="0">
      <text>
        <r>
          <rPr>
            <sz val="10"/>
            <rFont val="Arial"/>
            <family val="2"/>
          </rPr>
          <t xml:space="preserve">3/5 — correct
Acidité trop faible face à la marinade (P23).
Principes de Pat : P23</t>
        </r>
      </text>
    </comment>
    <comment ref="R22" authorId="0">
      <text>
        <r>
          <rPr>
            <sz val="10"/>
            <rFont val="Arial"/>
            <family val="2"/>
          </rPr>
          <t xml:space="preserve">3/5 — correct
Acidité trop faible face à la marinade (P23).
Principes de Pat : P23</t>
        </r>
      </text>
    </comment>
    <comment ref="R23" authorId="0">
      <text>
        <r>
          <rPr>
            <sz val="10"/>
            <rFont val="Arial"/>
            <family val="2"/>
          </rPr>
          <t xml:space="preserve">4/5 — très bon
Blanc souple, léger, sans bois : profil qui convient, sans point d'ancrage décisif (P20, P23).
Principes de Pat : P20, P23</t>
        </r>
      </text>
    </comment>
    <comment ref="R24" authorId="0">
      <text>
        <r>
          <rPr>
            <sz val="10"/>
            <rFont val="Arial"/>
            <family val="2"/>
          </rPr>
          <t xml:space="preserve">4/5 — très bon
Blanc tendu, léger, sans bois : profil qui convient, sans point d'ancrage décisif (P20, P23).
Principes de Pat : P20, P23</t>
        </r>
      </text>
    </comment>
    <comment ref="R25" authorId="0">
      <text>
        <r>
          <rPr>
            <sz val="10"/>
            <rFont val="Arial"/>
            <family val="2"/>
          </rPr>
          <t xml:space="preserve">4/5 — très bon
Blanc souple, ample, peu boisé : profil qui convient, sans point d'ancrage décisif (P20, P23).
Principes de Pat : P20, P23</t>
        </r>
      </text>
    </comment>
    <comment ref="R26" authorId="0">
      <text>
        <r>
          <rPr>
            <sz val="10"/>
            <rFont val="Arial"/>
            <family val="2"/>
          </rPr>
          <t xml:space="preserve">4/5 — très bon
Blanc tendu, de poids moyen, peu boisé : profil qui convient, sans point d'ancrage décisif (P20, P23).
Principes de Pat : P20, P23</t>
        </r>
      </text>
    </comment>
    <comment ref="R27" authorId="0">
      <text>
        <r>
          <rPr>
            <sz val="10"/>
            <rFont val="Arial"/>
            <family val="2"/>
          </rPr>
          <t xml:space="preserve">4/5 — très bon
Blanc tendu, léger, sans bois : profil qui convient, sans point d'ancrage décisif (P20, P23).
Principes de Pat : P20, P23</t>
        </r>
      </text>
    </comment>
    <comment ref="R29" authorId="0">
      <text>
        <r>
          <rPr>
            <sz val="10"/>
            <rFont val="Arial"/>
            <family val="2"/>
          </rPr>
          <t xml:space="preserve">5/5 — accord parfait
Rouge léger servi frais sur un thon charnu, tanin discret face à l'umami (P27, P26).
Principes de Pat : P27, P26</t>
        </r>
      </text>
    </comment>
    <comment ref="R30" authorId="0">
      <text>
        <r>
          <rPr>
            <sz val="10"/>
            <rFont val="Arial"/>
            <family val="2"/>
          </rPr>
          <t xml:space="preserve">4/5 — très bon
Rouge de poids moyen aux tanins fins : profil qui convient, sans point d'ancrage décisif (P20, P29).
Principes de Pat : P20, P29</t>
        </r>
      </text>
    </comment>
    <comment ref="R31" authorId="0">
      <text>
        <r>
          <rPr>
            <sz val="10"/>
            <rFont val="Arial"/>
            <family val="2"/>
          </rPr>
          <t xml:space="preserve">4/5 — très bon
Rouge puissant aux tanins fondus, patiné : profil qui convient, sans point d'ancrage décisif (P20, P29).
Principes de Pat : P20, P29</t>
        </r>
      </text>
    </comment>
    <comment ref="R32" authorId="0">
      <text>
        <r>
          <rPr>
            <sz val="10"/>
            <rFont val="Arial"/>
            <family val="2"/>
          </rPr>
          <t xml:space="preserve">4/5 — très bon
Rouge léger aux tanins fins : profil qui convient, sans point d'ancrage décisif (P20, P29).
Principes de Pat : P20, P29</t>
        </r>
      </text>
    </comment>
    <comment ref="R33" authorId="0">
      <text>
        <r>
          <rPr>
            <sz val="10"/>
            <rFont val="Arial"/>
            <family val="2"/>
          </rPr>
          <t xml:space="preserve">3/5 — correct
Le bois couvre la finesse et amplifie l'amertume (P19).
Principes de Pat : P19</t>
        </r>
      </text>
    </comment>
    <comment ref="R34" authorId="0">
      <text>
        <r>
          <rPr>
            <sz val="10"/>
            <rFont val="Arial"/>
            <family val="2"/>
          </rPr>
          <t xml:space="preserve">2/5 — médiocre
Tanin trop présent pour l'umami et l'amertume du broccolini (P29) ; le bois couvre la finesse et amplifie l'amertume (P19).
Principes de Pat : P29, P19</t>
        </r>
      </text>
    </comment>
    <comment ref="R35" authorId="0">
      <text>
        <r>
          <rPr>
            <sz val="10"/>
            <rFont val="Arial"/>
            <family val="2"/>
          </rPr>
          <t xml:space="preserve">2/5 — médiocre
Tanin trop présent pour l'umami et l'amertume du broccolini (P29) ; le bois couvre la finesse et amplifie l'amertume (P19).
Principes de Pat : P29, P19</t>
        </r>
      </text>
    </comment>
    <comment ref="R36" authorId="0">
      <text>
        <r>
          <rPr>
            <sz val="10"/>
            <rFont val="Arial"/>
            <family val="2"/>
          </rPr>
          <t xml:space="preserve">1/5 — pas bon du tout
Tanin trop présent pour l'umami et l'amertume du broccolini (P29) ; le bois couvre la finesse et amplifie l'amertume (P19).
Principes de Pat : P29, P19</t>
        </r>
      </text>
    </comment>
    <comment ref="R37" authorId="0">
      <text>
        <r>
          <rPr>
            <sz val="10"/>
            <rFont val="Arial"/>
            <family val="2"/>
          </rPr>
          <t xml:space="preserve">1/5 — pas bon du tout
Le bois couvre la finesse et amplifie l'amertume (P19) ; tanin trop présent pour l'umami et l'amertume du broccolini (P29).
Principes de Pat : P19, P29</t>
        </r>
      </text>
    </comment>
    <comment ref="R38" authorId="0">
      <text>
        <r>
          <rPr>
            <sz val="10"/>
            <rFont val="Arial"/>
            <family val="2"/>
          </rPr>
          <t xml:space="preserve">5/5 — accord parfait
Rouge léger servi frais sur un thon charnu, tanin discret face à l'umami (P27, P26).
Principes de Pat : P27, P26</t>
        </r>
      </text>
    </comment>
    <comment ref="R39" authorId="0">
      <text>
        <r>
          <rPr>
            <sz val="10"/>
            <rFont val="Arial"/>
            <family val="2"/>
          </rPr>
          <t xml:space="preserve">5/5 — accord parfait
Rouge léger servi frais sur un thon charnu, tanin discret face à l'umami (P27, P26).
Principes de Pat : P27, P26</t>
        </r>
      </text>
    </comment>
    <comment ref="R40" authorId="0">
      <text>
        <r>
          <rPr>
            <sz val="10"/>
            <rFont val="Arial"/>
            <family val="2"/>
          </rPr>
          <t xml:space="preserve">3/5 — correct
Tanin trop présent pour l'umami et l'amertume du broccolini (P29).
Principes de Pat : P29</t>
        </r>
      </text>
    </comment>
    <comment ref="R41" authorId="0">
      <text>
        <r>
          <rPr>
            <sz val="10"/>
            <rFont val="Arial"/>
            <family val="2"/>
          </rPr>
          <t xml:space="preserve">3/5 — correct
Tanin trop présent pour l'umami et l'amertume du broccolini (P29).
Principes de Pat : P29</t>
        </r>
      </text>
    </comment>
    <comment ref="R42" authorId="0">
      <text>
        <r>
          <rPr>
            <sz val="10"/>
            <rFont val="Arial"/>
            <family val="2"/>
          </rPr>
          <t xml:space="preserve">3/5 — correct
Tanin trop présent pour l'umami et l'amertume du broccolini (P29).
Principes de Pat : P29</t>
        </r>
      </text>
    </comment>
    <comment ref="R43" authorId="0">
      <text>
        <r>
          <rPr>
            <sz val="10"/>
            <rFont val="Arial"/>
            <family val="2"/>
          </rPr>
          <t xml:space="preserve">2/5 — médiocre
Tanin trop présent pour l'umami et l'amertume du broccolini (P29) ; le bois couvre la finesse et amplifie l'amertume (P19).
Principes de Pat : P29, P19</t>
        </r>
      </text>
    </comment>
    <comment ref="R44" authorId="0">
      <text>
        <r>
          <rPr>
            <sz val="10"/>
            <rFont val="Arial"/>
            <family val="2"/>
          </rPr>
          <t xml:space="preserve">2/5 — médiocre
Tanin trop présent pour l'umami et l'amertume du broccolini (P29) ; le bois couvre la finesse et amplifie l'amertume (P19).
Principes de Pat : P29, P19</t>
        </r>
      </text>
    </comment>
    <comment ref="R45" authorId="0">
      <text>
        <r>
          <rPr>
            <sz val="10"/>
            <rFont val="Arial"/>
            <family val="2"/>
          </rPr>
          <t xml:space="preserve">2/5 — médiocre
Tanin trop présent pour l'umami et l'amertume du broccolini (P29) ; le bois couvre la finesse et amplifie l'amertume (P19).
Principes de Pat : P29, P19</t>
        </r>
      </text>
    </comment>
    <comment ref="R46" authorId="0">
      <text>
        <r>
          <rPr>
            <sz val="10"/>
            <rFont val="Arial"/>
            <family val="2"/>
          </rPr>
          <t xml:space="preserve">2/5 — médiocre
Tanin trop présent pour l'umami et l'amertume du broccolini (P29) ; le bois couvre la finesse et amplifie l'amertume (P19).
Principes de Pat : P29, P19</t>
        </r>
      </text>
    </comment>
    <comment ref="R47" authorId="0">
      <text>
        <r>
          <rPr>
            <sz val="10"/>
            <rFont val="Arial"/>
            <family val="2"/>
          </rPr>
          <t xml:space="preserve">2/5 — médiocre
Tanin trop présent pour l'umami et l'amertume du broccolini (P29) ; le bois couvre la finesse et amplifie l'amertume (P19).
Principes de Pat : P29, P19</t>
        </r>
      </text>
    </comment>
    <comment ref="R48" authorId="0">
      <text>
        <r>
          <rPr>
            <sz val="10"/>
            <rFont val="Arial"/>
            <family val="2"/>
          </rPr>
          <t xml:space="preserve">1/5 — pas bon du tout
Tanin trop présent pour l'umami et l'amertume du broccolini (P29) ; le bois couvre la finesse et amplifie l'amertume (P19).
Principes de Pat : P29, P19</t>
        </r>
      </text>
    </comment>
    <comment ref="R49" authorId="0">
      <text>
        <r>
          <rPr>
            <sz val="10"/>
            <rFont val="Arial"/>
            <family val="2"/>
          </rPr>
          <t xml:space="preserve">1/5 — pas bon du tout
Tanin trop présent pour l'umami et l'amertume du broccolini (P29) ; le bois couvre la finesse et amplifie l'amertume (P19) ; trop puissant, il écrase le plat (P20).
Principes de Pat : P29, P19, P20</t>
        </r>
      </text>
    </comment>
    <comment ref="R50" authorId="0">
      <text>
        <r>
          <rPr>
            <sz val="10"/>
            <rFont val="Arial"/>
            <family val="2"/>
          </rPr>
          <t xml:space="preserve">1/5 — pas bon du tout
Tanin trop présent pour l'umami et l'amertume du broccolini (P29) ; le bois couvre la finesse et amplifie l'amertume (P19).
Principes de Pat : P29, P19</t>
        </r>
      </text>
    </comment>
    <comment ref="R51" authorId="0">
      <text>
        <r>
          <rPr>
            <sz val="10"/>
            <rFont val="Arial"/>
            <family val="2"/>
          </rPr>
          <t xml:space="preserve">3/5 — correct
Le bois couvre la finesse et amplifie l'amertume (P19).
Principes de Pat : P19</t>
        </r>
      </text>
    </comment>
    <comment ref="R52" authorId="0">
      <text>
        <r>
          <rPr>
            <sz val="10"/>
            <rFont val="Arial"/>
            <family val="2"/>
          </rPr>
          <t xml:space="preserve">2/5 — médiocre
Tanin trop présent pour l'umami et l'amertume du broccolini (P29) ; le bois couvre la finesse et amplifie l'amertume (P19).
Principes de Pat : P29, P19</t>
        </r>
      </text>
    </comment>
    <comment ref="R53" authorId="0">
      <text>
        <r>
          <rPr>
            <sz val="10"/>
            <rFont val="Arial"/>
            <family val="2"/>
          </rPr>
          <t xml:space="preserve">2/5 — médiocre
Tanin trop présent pour l'umami et l'amertume du broccolini (P29) ; le bois couvre la finesse et amplifie l'amertume (P19).
Principes de Pat : P29, P19</t>
        </r>
      </text>
    </comment>
    <comment ref="R54" authorId="0">
      <text>
        <r>
          <rPr>
            <sz val="10"/>
            <rFont val="Arial"/>
            <family val="2"/>
          </rPr>
          <t xml:space="preserve">1/5 — pas bon du tout
Tanin trop présent pour l'umami et l'amertume du broccolini (P29) ; le bois couvre la finesse et amplifie l'amertume (P19).
Principes de Pat : P29, P19</t>
        </r>
      </text>
    </comment>
    <comment ref="R55" authorId="0">
      <text>
        <r>
          <rPr>
            <sz val="10"/>
            <rFont val="Arial"/>
            <family val="2"/>
          </rPr>
          <t xml:space="preserve">1/5 — pas bon du tout
Tanin trop présent pour l'umami et l'amertume du broccolini (P29) ; le bois couvre la finesse et amplifie l'amertume (P19).
Principes de Pat : P29, P19</t>
        </r>
      </text>
    </comment>
    <comment ref="R56" authorId="0">
      <text>
        <r>
          <rPr>
            <sz val="10"/>
            <rFont val="Arial"/>
            <family val="2"/>
          </rPr>
          <t xml:space="preserve">3/5 — correct
Le bois couvre la finesse et amplifie l'amertume (P19).
Principes de Pat : P19</t>
        </r>
      </text>
    </comment>
    <comment ref="R57" authorId="0">
      <text>
        <r>
          <rPr>
            <sz val="10"/>
            <rFont val="Arial"/>
            <family val="2"/>
          </rPr>
          <t xml:space="preserve">1/5 — pas bon du tout
Tanin trop présent pour l'umami et l'amertume du broccolini (P29) ; le bois couvre la finesse et amplifie l'amertume (P19).
Principes de Pat : P29, P19</t>
        </r>
      </text>
    </comment>
    <comment ref="R58" authorId="0">
      <text>
        <r>
          <rPr>
            <sz val="10"/>
            <rFont val="Arial"/>
            <family val="2"/>
          </rPr>
          <t xml:space="preserve">5/5 — accord parfait
Rouge léger servi frais sur un thon charnu, tanin discret face à l'umami (P27, P26).
Principes de Pat : P27, P26</t>
        </r>
      </text>
    </comment>
    <comment ref="R59" authorId="0">
      <text>
        <r>
          <rPr>
            <sz val="10"/>
            <rFont val="Arial"/>
            <family val="2"/>
          </rPr>
          <t xml:space="preserve">3/5 — correct
Tanin trop présent pour l'umami et l'amertume du broccolini (P29).
Principes de Pat : P29</t>
        </r>
      </text>
    </comment>
    <comment ref="R60" authorId="0">
      <text>
        <r>
          <rPr>
            <sz val="10"/>
            <rFont val="Arial"/>
            <family val="2"/>
          </rPr>
          <t xml:space="preserve">3/5 — correct
Tanin trop présent pour l'umami et l'amertume du broccolini (P29).
Principes de Pat : P29</t>
        </r>
      </text>
    </comment>
    <comment ref="R61" authorId="0">
      <text>
        <r>
          <rPr>
            <sz val="10"/>
            <rFont val="Arial"/>
            <family val="2"/>
          </rPr>
          <t xml:space="preserve">2/5 — médiocre
Tanin trop présent pour l'umami et l'amertume du broccolini (P29) ; le bois couvre la finesse et amplifie l'amertume (P19).
Principes de Pat : P29, P19</t>
        </r>
      </text>
    </comment>
    <comment ref="R62" authorId="0">
      <text>
        <r>
          <rPr>
            <sz val="10"/>
            <rFont val="Arial"/>
            <family val="2"/>
          </rPr>
          <t xml:space="preserve">1/5 — pas bon du tout
Tanin trop présent pour l'umami et l'amertume du broccolini (P29) ; le bois couvre la finesse et amplifie l'amertume (P19).
Principes de Pat : P29, P19</t>
        </r>
      </text>
    </comment>
    <comment ref="R63" authorId="0">
      <text>
        <r>
          <rPr>
            <sz val="10"/>
            <rFont val="Arial"/>
            <family val="2"/>
          </rPr>
          <t xml:space="preserve">1/5 — pas bon du tout
Tanin trop présent pour l'umami et l'amertume du broccolini (P29) ; le bois couvre la finesse et amplifie l'amertume (P19).
Principes de Pat : P29, P19</t>
        </r>
      </text>
    </comment>
    <comment ref="R64" authorId="0">
      <text>
        <r>
          <rPr>
            <sz val="10"/>
            <rFont val="Arial"/>
            <family val="2"/>
          </rPr>
          <t xml:space="preserve">2/5 — médiocre
Tanin trop présent pour l'umami et l'amertume du broccolini (P29) ; le bois couvre la finesse et amplifie l'amertume (P19).
Principes de Pat : P29, P19</t>
        </r>
      </text>
    </comment>
    <comment ref="R65" authorId="0">
      <text>
        <r>
          <rPr>
            <sz val="10"/>
            <rFont val="Arial"/>
            <family val="2"/>
          </rPr>
          <t xml:space="preserve">1/5 — pas bon du tout
Le bois couvre la finesse et amplifie l'amertume (P19) ; tanin trop présent pour l'umami et l'amertume du broccolini (P29) ; trop puissant, il écrase le plat (P20).
Principes de Pat : P19, P29, P20</t>
        </r>
      </text>
    </comment>
    <comment ref="R66" authorId="0">
      <text>
        <r>
          <rPr>
            <sz val="10"/>
            <rFont val="Arial"/>
            <family val="2"/>
          </rPr>
          <t xml:space="preserve">4/5 — très bon
Rouge de poids moyen aux tanins fondus, patiné : profil qui convient, sans point d'ancrage décisif (P20, P29).
Principes de Pat : P20, P29</t>
        </r>
      </text>
    </comment>
    <comment ref="R67" authorId="0">
      <text>
        <r>
          <rPr>
            <sz val="10"/>
            <rFont val="Arial"/>
            <family val="2"/>
          </rPr>
          <t xml:space="preserve">3/5 — correct
Tanin trop présent pour l'umami et l'amertume du broccolini (P29).
Principes de Pat : P29</t>
        </r>
      </text>
    </comment>
    <comment ref="R68" authorId="0">
      <text>
        <r>
          <rPr>
            <sz val="10"/>
            <rFont val="Arial"/>
            <family val="2"/>
          </rPr>
          <t xml:space="preserve">1/5 — pas bon du tout
Tanin trop présent pour l'umami et l'amertume du broccolini (P29) ; le bois couvre la finesse et amplifie l'amertume (P19).
Principes de Pat : P29, P19</t>
        </r>
      </text>
    </comment>
    <comment ref="R70" authorId="0">
      <text>
        <r>
          <rPr>
            <sz val="10"/>
            <rFont val="Arial"/>
            <family val="2"/>
          </rPr>
          <t xml:space="preserve">4/5 — très bon
Rosé souple, léger, sans bois : profil qui convient, sans point d'ancrage décisif (P20, P23).
Principes de Pat : P20, P23</t>
        </r>
      </text>
    </comment>
    <comment ref="R71" authorId="0">
      <text>
        <r>
          <rPr>
            <sz val="10"/>
            <rFont val="Arial"/>
            <family val="2"/>
          </rPr>
          <t xml:space="preserve">4/5 — très bon
Rosé souple, léger, sans bois : profil qui convient, sans point d'ancrage décisif (P20, P23).
Principes de Pat : P20, P23</t>
        </r>
      </text>
    </comment>
    <comment ref="R73" authorId="0">
      <text>
        <r>
          <rPr>
            <sz val="10"/>
            <rFont val="Arial"/>
            <family val="2"/>
          </rPr>
          <t xml:space="preserve">3/5 — correct
La bulle ne trouve pas d'ancrage sur le thon et l'umami (P41).
Principes de Pat : P41</t>
        </r>
      </text>
    </comment>
    <comment ref="R74" authorId="0">
      <text>
        <r>
          <rPr>
            <sz val="10"/>
            <rFont val="Arial"/>
            <family val="2"/>
          </rPr>
          <t xml:space="preserve">3/5 — correct
La bulle ne trouve pas d'ancrage sur le thon et l'umami (P41).
Principes de Pat : P41</t>
        </r>
      </text>
    </comment>
    <comment ref="R75" authorId="0">
      <text>
        <r>
          <rPr>
            <sz val="10"/>
            <rFont val="Arial"/>
            <family val="2"/>
          </rPr>
          <t xml:space="preserve">3/5 — correct
La bulle ne trouve pas d'ancrage sur le thon et l'umami (P41).
Principes de Pat : P41</t>
        </r>
      </text>
    </comment>
    <comment ref="R76" authorId="0">
      <text>
        <r>
          <rPr>
            <sz val="10"/>
            <rFont val="Arial"/>
            <family val="2"/>
          </rPr>
          <t xml:space="preserve">3/5 — correct
La bulle ne trouve pas d'ancrage sur le thon et l'umami (P41).
Principes de Pat : P41</t>
        </r>
      </text>
    </comment>
    <comment ref="R77" authorId="0">
      <text>
        <r>
          <rPr>
            <sz val="10"/>
            <rFont val="Arial"/>
            <family val="2"/>
          </rPr>
          <t xml:space="preserve">3/5 — correct
La bulle ne trouve pas d'ancrage sur le thon et l'umami (P41).
Principes de Pat : P41</t>
        </r>
      </text>
    </comment>
    <comment ref="R78" authorId="0">
      <text>
        <r>
          <rPr>
            <sz val="10"/>
            <rFont val="Arial"/>
            <family val="2"/>
          </rPr>
          <t xml:space="preserve">3/5 — correct
La bulle ne trouve pas d'ancrage sur le thon et l'umami (P41).
Principes de Pat : P41</t>
        </r>
      </text>
    </comment>
    <comment ref="R79" authorId="0">
      <text>
        <r>
          <rPr>
            <sz val="10"/>
            <rFont val="Arial"/>
            <family val="2"/>
          </rPr>
          <t xml:space="preserve">3/5 — correct
La bulle ne trouve pas d'ancrage sur le thon et l'umami (P41).
Principes de Pat : P41</t>
        </r>
      </text>
    </comment>
    <comment ref="R81" authorId="0">
      <text>
        <r>
          <rPr>
            <sz val="10"/>
            <rFont val="Arial"/>
            <family val="2"/>
          </rPr>
          <t xml:space="preserve">1/5 — pas bon du tout
Liquoreux hors de propos sur un plat salé qui n'appelle pas de sucre (P20, P4).
Principes de Pat : P20, P4</t>
        </r>
      </text>
    </comment>
    <comment ref="S7" authorId="0">
      <text>
        <r>
          <rPr>
            <sz val="10"/>
            <rFont val="Arial"/>
            <family val="2"/>
          </rPr>
          <t xml:space="preserve">4/5 — très bon
Blanc tendu, léger, sans bois : profil qui convient, sans point d'ancrage décisif (P20, P3) ; l'émulsion beurre-œuf-citron plafonne l'accord (P10, P35).
Principes de Pat : P20, P3, P10, P35</t>
        </r>
      </text>
    </comment>
    <comment ref="S8" authorId="0">
      <text>
        <r>
          <rPr>
            <sz val="10"/>
            <rFont val="Arial"/>
            <family val="2"/>
          </rPr>
          <t xml:space="preserve">4/5 — très bon
Blanc tendu, de poids moyen, sans bois : profil qui convient, sans point d'ancrage décisif (P20, P3) ; l'émulsion beurre-œuf-citron plafonne l'accord (P10, P35).
Principes de Pat : P20, P3, P10, P35</t>
        </r>
      </text>
    </comment>
    <comment ref="S9" authorId="0">
      <text>
        <r>
          <rPr>
            <sz val="10"/>
            <rFont val="Arial"/>
            <family val="2"/>
          </rPr>
          <t xml:space="preserve">4/5 — très bon
L'émulsion beurre-œuf-citron plafonne l'accord (P10, P35) ; l'élevage sur lies donne la chair qui répond à la mousseline (P39).
Principes de Pat : P10, P35, P39</t>
        </r>
      </text>
    </comment>
    <comment ref="S10" authorId="0">
      <text>
        <r>
          <rPr>
            <sz val="10"/>
            <rFont val="Arial"/>
            <family val="2"/>
          </rPr>
          <t xml:space="preserve">3/5 — correct
Le bois couvre la finesse et amplifie l'amertume (P19).
Principes de Pat : P19</t>
        </r>
      </text>
    </comment>
    <comment ref="S11" authorId="0">
      <text>
        <r>
          <rPr>
            <sz val="10"/>
            <rFont val="Arial"/>
            <family val="2"/>
          </rPr>
          <t xml:space="preserve">4/5 — très bon
L'émulsion beurre-œuf-citron plafonne l'accord (P10, P35) ; l'élevage sur lies donne la chair qui répond à la mousseline (P39).
Principes de Pat : P10, P35, P39</t>
        </r>
      </text>
    </comment>
    <comment ref="S12" authorId="0">
      <text>
        <r>
          <rPr>
            <sz val="10"/>
            <rFont val="Arial"/>
            <family val="2"/>
          </rPr>
          <t xml:space="preserve">3/5 — correct
Acidité trop faible face à la mousseline (P3).
Principes de Pat : P3</t>
        </r>
      </text>
    </comment>
    <comment ref="S13" authorId="0">
      <text>
        <r>
          <rPr>
            <sz val="10"/>
            <rFont val="Arial"/>
            <family val="2"/>
          </rPr>
          <t xml:space="preserve">3/5 — correct
Acidité trop faible face à la mousseline (P3).
Principes de Pat : P3</t>
        </r>
      </text>
    </comment>
    <comment ref="S14" authorId="0">
      <text>
        <r>
          <rPr>
            <sz val="10"/>
            <rFont val="Arial"/>
            <family val="2"/>
          </rPr>
          <t xml:space="preserve">3/5 — correct
Le bois couvre la finesse et amplifie l'amertume (P19).
Principes de Pat : P19</t>
        </r>
      </text>
    </comment>
    <comment ref="S15" authorId="0">
      <text>
        <r>
          <rPr>
            <sz val="10"/>
            <rFont val="Arial"/>
            <family val="2"/>
          </rPr>
          <t xml:space="preserve">3/5 — correct
Le bois couvre la finesse et amplifie l'amertume (P19).
Principes de Pat : P19</t>
        </r>
      </text>
    </comment>
    <comment ref="S16" authorId="0">
      <text>
        <r>
          <rPr>
            <sz val="10"/>
            <rFont val="Arial"/>
            <family val="2"/>
          </rPr>
          <t xml:space="preserve">2/5 — médiocre
Le bois couvre la finesse et amplifie l'amertume (P19) ; acidité trop faible face à la mousseline (P3).
Principes de Pat : P19, P3</t>
        </r>
      </text>
    </comment>
    <comment ref="S17" authorId="0">
      <text>
        <r>
          <rPr>
            <sz val="10"/>
            <rFont val="Arial"/>
            <family val="2"/>
          </rPr>
          <t xml:space="preserve">2/5 — médiocre
Le bois couvre la finesse et amplifie l'amertume (P19) ; acidité trop faible face à la mousseline (P3).
Principes de Pat : P19, P3</t>
        </r>
      </text>
    </comment>
    <comment ref="S18" authorId="0">
      <text>
        <r>
          <rPr>
            <sz val="10"/>
            <rFont val="Arial"/>
            <family val="2"/>
          </rPr>
          <t xml:space="preserve">2/5 — médiocre
Le bois couvre la finesse et amplifie l'amertume (P19) ; acidité trop faible face à la mousseline (P3).
Principes de Pat : P19, P3</t>
        </r>
      </text>
    </comment>
    <comment ref="S19" authorId="0">
      <text>
        <r>
          <rPr>
            <sz val="10"/>
            <rFont val="Arial"/>
            <family val="2"/>
          </rPr>
          <t xml:space="preserve">3/5 — correct
Le bois couvre la finesse et amplifie l'amertume (P19).
Principes de Pat : P19</t>
        </r>
      </text>
    </comment>
    <comment ref="S20" authorId="0">
      <text>
        <r>
          <rPr>
            <sz val="10"/>
            <rFont val="Arial"/>
            <family val="2"/>
          </rPr>
          <t xml:space="preserve">3/5 — correct
Acidité trop faible face à la mousseline (P3).
Principes de Pat : P3</t>
        </r>
      </text>
    </comment>
    <comment ref="S21" authorId="0">
      <text>
        <r>
          <rPr>
            <sz val="10"/>
            <rFont val="Arial"/>
            <family val="2"/>
          </rPr>
          <t xml:space="preserve">2/5 — médiocre
Acidité trop faible face à la mousseline (P3).
Principes de Pat : P3</t>
        </r>
      </text>
    </comment>
    <comment ref="S22" authorId="0">
      <text>
        <r>
          <rPr>
            <sz val="10"/>
            <rFont val="Arial"/>
            <family val="2"/>
          </rPr>
          <t xml:space="preserve">2/5 — médiocre
Acidité trop faible face à la mousseline (P3).
Principes de Pat : P3</t>
        </r>
      </text>
    </comment>
    <comment ref="S23" authorId="0">
      <text>
        <r>
          <rPr>
            <sz val="10"/>
            <rFont val="Arial"/>
            <family val="2"/>
          </rPr>
          <t xml:space="preserve">3/5 — correct
Acidité trop faible face à la mousseline (P3).
Principes de Pat : P3</t>
        </r>
      </text>
    </comment>
    <comment ref="S24" authorId="0">
      <text>
        <r>
          <rPr>
            <sz val="10"/>
            <rFont val="Arial"/>
            <family val="2"/>
          </rPr>
          <t xml:space="preserve">4/5 — très bon
Blanc tendu, léger, sans bois : profil qui convient, sans point d'ancrage décisif (P20, P3) ; l'émulsion beurre-œuf-citron plafonne l'accord (P10, P35).
Principes de Pat : P20, P3, P10, P35</t>
        </r>
      </text>
    </comment>
    <comment ref="S25" authorId="0">
      <text>
        <r>
          <rPr>
            <sz val="10"/>
            <rFont val="Arial"/>
            <family val="2"/>
          </rPr>
          <t xml:space="preserve">3/5 — correct
Acidité trop faible face à la mousseline (P3).
Principes de Pat : P3</t>
        </r>
      </text>
    </comment>
    <comment ref="S26" authorId="0">
      <text>
        <r>
          <rPr>
            <sz val="10"/>
            <rFont val="Arial"/>
            <family val="2"/>
          </rPr>
          <t xml:space="preserve">4/5 — très bon
Blanc tendu, de poids moyen, peu boisé : profil qui convient, sans point d'ancrage décisif (P20, P3) ; l'émulsion beurre-œuf-citron plafonne l'accord (P10, P35).
Principes de Pat : P20, P3, P10, P35</t>
        </r>
      </text>
    </comment>
    <comment ref="S27" authorId="0">
      <text>
        <r>
          <rPr>
            <sz val="10"/>
            <rFont val="Arial"/>
            <family val="2"/>
          </rPr>
          <t xml:space="preserve">4/5 — très bon
Blanc tendu, léger, sans bois : profil qui convient, sans point d'ancrage décisif (P20, P3) ; l'émulsion beurre-œuf-citron plafonne l'accord (P10, P35).
Principes de Pat : P20, P3, P10, P35</t>
        </r>
      </text>
    </comment>
    <comment ref="S29" authorId="0">
      <text>
        <r>
          <rPr>
            <sz val="10"/>
            <rFont val="Arial"/>
            <family val="2"/>
          </rPr>
          <t xml:space="preserve">2/5 — médiocre
Rouge : son tanin durcit au contact du cabillaud et les crevettes (P27) ; seule sa légèreté limite les dégâts (P20).
Principes de Pat : P27, P20</t>
        </r>
      </text>
    </comment>
    <comment ref="S30" authorId="0">
      <text>
        <r>
          <rPr>
            <sz val="10"/>
            <rFont val="Arial"/>
            <family val="2"/>
          </rPr>
          <t xml:space="preserve">1/5 — pas bon du tout
Rouge : son tanin durcit au contact du cabillaud et les crevettes (P27).
Principes de Pat : P27</t>
        </r>
      </text>
    </comment>
    <comment ref="S31" authorId="0">
      <text>
        <r>
          <rPr>
            <sz val="10"/>
            <rFont val="Arial"/>
            <family val="2"/>
          </rPr>
          <t xml:space="preserve">1/5 — pas bon du tout
Rouge : son tanin durcit au contact du cabillaud et les crevettes (P27).
Principes de Pat : P27</t>
        </r>
      </text>
    </comment>
    <comment ref="S32" authorId="0">
      <text>
        <r>
          <rPr>
            <sz val="10"/>
            <rFont val="Arial"/>
            <family val="2"/>
          </rPr>
          <t xml:space="preserve">2/5 — médiocre
Rouge : son tanin durcit au contact du cabillaud et les crevettes (P27) ; seule sa légèreté limite les dégâts (P20).
Principes de Pat : P27, P20</t>
        </r>
      </text>
    </comment>
    <comment ref="S33" authorId="0">
      <text>
        <r>
          <rPr>
            <sz val="10"/>
            <rFont val="Arial"/>
            <family val="2"/>
          </rPr>
          <t xml:space="preserve">1/5 — pas bon du tout
Rouge : son tanin durcit au contact du cabillaud et les crevettes (P27).
Principes de Pat : P27</t>
        </r>
      </text>
    </comment>
    <comment ref="S34" authorId="0">
      <text>
        <r>
          <rPr>
            <sz val="10"/>
            <rFont val="Arial"/>
            <family val="2"/>
          </rPr>
          <t xml:space="preserve">1/5 — pas bon du tout
Rouge : son tanin durcit au contact du cabillaud et les crevettes (P27).
Principes de Pat : P27</t>
        </r>
      </text>
    </comment>
    <comment ref="S35" authorId="0">
      <text>
        <r>
          <rPr>
            <sz val="10"/>
            <rFont val="Arial"/>
            <family val="2"/>
          </rPr>
          <t xml:space="preserve">1/5 — pas bon du tout
Rouge : son tanin durcit au contact du cabillaud et les crevettes (P27).
Principes de Pat : P27</t>
        </r>
      </text>
    </comment>
    <comment ref="S36" authorId="0">
      <text>
        <r>
          <rPr>
            <sz val="10"/>
            <rFont val="Arial"/>
            <family val="2"/>
          </rPr>
          <t xml:space="preserve">1/5 — pas bon du tout
Rouge : son tanin durcit au contact du cabillaud et les crevettes (P27).
Principes de Pat : P27</t>
        </r>
      </text>
    </comment>
    <comment ref="S37" authorId="0">
      <text>
        <r>
          <rPr>
            <sz val="10"/>
            <rFont val="Arial"/>
            <family val="2"/>
          </rPr>
          <t xml:space="preserve">1/5 — pas bon du tout
Rouge : son tanin durcit au contact du cabillaud et les crevettes (P27).
Principes de Pat : P27</t>
        </r>
      </text>
    </comment>
    <comment ref="S38" authorId="0">
      <text>
        <r>
          <rPr>
            <sz val="10"/>
            <rFont val="Arial"/>
            <family val="2"/>
          </rPr>
          <t xml:space="preserve">2/5 — médiocre
Rouge : son tanin durcit au contact du cabillaud et les crevettes (P27) ; seule sa légèreté limite les dégâts (P20).
Principes de Pat : P27, P20</t>
        </r>
      </text>
    </comment>
    <comment ref="S39" authorId="0">
      <text>
        <r>
          <rPr>
            <sz val="10"/>
            <rFont val="Arial"/>
            <family val="2"/>
          </rPr>
          <t xml:space="preserve">2/5 — médiocre
Rouge : son tanin durcit au contact du cabillaud et les crevettes (P27) ; seule sa légèreté limite les dégâts (P20).
Principes de Pat : P27, P20</t>
        </r>
      </text>
    </comment>
    <comment ref="S40" authorId="0">
      <text>
        <r>
          <rPr>
            <sz val="10"/>
            <rFont val="Arial"/>
            <family val="2"/>
          </rPr>
          <t xml:space="preserve">1/5 — pas bon du tout
Rouge : son tanin durcit au contact du cabillaud et les crevettes (P27).
Principes de Pat : P27</t>
        </r>
      </text>
    </comment>
    <comment ref="S41" authorId="0">
      <text>
        <r>
          <rPr>
            <sz val="10"/>
            <rFont val="Arial"/>
            <family val="2"/>
          </rPr>
          <t xml:space="preserve">1/5 — pas bon du tout
Rouge : son tanin durcit au contact du cabillaud et les crevettes (P27).
Principes de Pat : P27</t>
        </r>
      </text>
    </comment>
    <comment ref="S42" authorId="0">
      <text>
        <r>
          <rPr>
            <sz val="10"/>
            <rFont val="Arial"/>
            <family val="2"/>
          </rPr>
          <t xml:space="preserve">1/5 — pas bon du tout
Rouge : son tanin durcit au contact du cabillaud et les crevettes (P27).
Principes de Pat : P27</t>
        </r>
      </text>
    </comment>
    <comment ref="S43" authorId="0">
      <text>
        <r>
          <rPr>
            <sz val="10"/>
            <rFont val="Arial"/>
            <family val="2"/>
          </rPr>
          <t xml:space="preserve">1/5 — pas bon du tout
Rouge : son tanin durcit au contact du cabillaud et les crevettes (P27).
Principes de Pat : P27</t>
        </r>
      </text>
    </comment>
    <comment ref="S44" authorId="0">
      <text>
        <r>
          <rPr>
            <sz val="10"/>
            <rFont val="Arial"/>
            <family val="2"/>
          </rPr>
          <t xml:space="preserve">1/5 — pas bon du tout
Rouge : son tanin durcit au contact du cabillaud et les crevettes (P27).
Principes de Pat : P27</t>
        </r>
      </text>
    </comment>
    <comment ref="S45" authorId="0">
      <text>
        <r>
          <rPr>
            <sz val="10"/>
            <rFont val="Arial"/>
            <family val="2"/>
          </rPr>
          <t xml:space="preserve">1/5 — pas bon du tout
Rouge : son tanin durcit au contact du cabillaud et les crevettes (P27).
Principes de Pat : P27</t>
        </r>
      </text>
    </comment>
    <comment ref="S46" authorId="0">
      <text>
        <r>
          <rPr>
            <sz val="10"/>
            <rFont val="Arial"/>
            <family val="2"/>
          </rPr>
          <t xml:space="preserve">1/5 — pas bon du tout
Rouge : son tanin durcit au contact du cabillaud et les crevettes (P27).
Principes de Pat : P27</t>
        </r>
      </text>
    </comment>
    <comment ref="S47" authorId="0">
      <text>
        <r>
          <rPr>
            <sz val="10"/>
            <rFont val="Arial"/>
            <family val="2"/>
          </rPr>
          <t xml:space="preserve">1/5 — pas bon du tout
Rouge : son tanin durcit au contact du cabillaud et les crevettes (P27).
Principes de Pat : P27</t>
        </r>
      </text>
    </comment>
    <comment ref="S48" authorId="0">
      <text>
        <r>
          <rPr>
            <sz val="10"/>
            <rFont val="Arial"/>
            <family val="2"/>
          </rPr>
          <t xml:space="preserve">1/5 — pas bon du tout
Rouge : son tanin durcit au contact du cabillaud et les crevettes (P27).
Principes de Pat : P27</t>
        </r>
      </text>
    </comment>
    <comment ref="S49" authorId="0">
      <text>
        <r>
          <rPr>
            <sz val="10"/>
            <rFont val="Arial"/>
            <family val="2"/>
          </rPr>
          <t xml:space="preserve">1/5 — pas bon du tout
Rouge : son tanin durcit au contact du cabillaud et les crevettes (P27).
Principes de Pat : P27</t>
        </r>
      </text>
    </comment>
    <comment ref="S50" authorId="0">
      <text>
        <r>
          <rPr>
            <sz val="10"/>
            <rFont val="Arial"/>
            <family val="2"/>
          </rPr>
          <t xml:space="preserve">1/5 — pas bon du tout
Rouge : son tanin durcit au contact du cabillaud et les crevettes (P27).
Principes de Pat : P27</t>
        </r>
      </text>
    </comment>
    <comment ref="S51" authorId="0">
      <text>
        <r>
          <rPr>
            <sz val="10"/>
            <rFont val="Arial"/>
            <family val="2"/>
          </rPr>
          <t xml:space="preserve">1/5 — pas bon du tout
Rouge : son tanin durcit au contact du cabillaud et les crevettes (P27).
Principes de Pat : P27</t>
        </r>
      </text>
    </comment>
    <comment ref="S52" authorId="0">
      <text>
        <r>
          <rPr>
            <sz val="10"/>
            <rFont val="Arial"/>
            <family val="2"/>
          </rPr>
          <t xml:space="preserve">1/5 — pas bon du tout
Rouge : son tanin durcit au contact du cabillaud et les crevettes (P27).
Principes de Pat : P27</t>
        </r>
      </text>
    </comment>
    <comment ref="S53" authorId="0">
      <text>
        <r>
          <rPr>
            <sz val="10"/>
            <rFont val="Arial"/>
            <family val="2"/>
          </rPr>
          <t xml:space="preserve">1/5 — pas bon du tout
Rouge : son tanin durcit au contact du cabillaud et les crevettes (P27).
Principes de Pat : P27</t>
        </r>
      </text>
    </comment>
    <comment ref="S54" authorId="0">
      <text>
        <r>
          <rPr>
            <sz val="10"/>
            <rFont val="Arial"/>
            <family val="2"/>
          </rPr>
          <t xml:space="preserve">1/5 — pas bon du tout
Rouge : son tanin durcit au contact du cabillaud et les crevettes (P27).
Principes de Pat : P27</t>
        </r>
      </text>
    </comment>
    <comment ref="S55" authorId="0">
      <text>
        <r>
          <rPr>
            <sz val="10"/>
            <rFont val="Arial"/>
            <family val="2"/>
          </rPr>
          <t xml:space="preserve">1/5 — pas bon du tout
Rouge : son tanin durcit au contact du cabillaud et les crevettes (P27).
Principes de Pat : P27</t>
        </r>
      </text>
    </comment>
    <comment ref="S56" authorId="0">
      <text>
        <r>
          <rPr>
            <sz val="10"/>
            <rFont val="Arial"/>
            <family val="2"/>
          </rPr>
          <t xml:space="preserve">1/5 — pas bon du tout
Rouge : son tanin durcit au contact du cabillaud et les crevettes (P27).
Principes de Pat : P27</t>
        </r>
      </text>
    </comment>
    <comment ref="S57" authorId="0">
      <text>
        <r>
          <rPr>
            <sz val="10"/>
            <rFont val="Arial"/>
            <family val="2"/>
          </rPr>
          <t xml:space="preserve">1/5 — pas bon du tout
Rouge : son tanin durcit au contact du cabillaud et les crevettes (P27).
Principes de Pat : P27</t>
        </r>
      </text>
    </comment>
    <comment ref="S58" authorId="0">
      <text>
        <r>
          <rPr>
            <sz val="10"/>
            <rFont val="Arial"/>
            <family val="2"/>
          </rPr>
          <t xml:space="preserve">2/5 — médiocre
Rouge : son tanin durcit au contact du cabillaud et les crevettes (P27) ; seule sa légèreté limite les dégâts (P20).
Principes de Pat : P27, P20</t>
        </r>
      </text>
    </comment>
    <comment ref="S59" authorId="0">
      <text>
        <r>
          <rPr>
            <sz val="10"/>
            <rFont val="Arial"/>
            <family val="2"/>
          </rPr>
          <t xml:space="preserve">1/5 — pas bon du tout
Rouge : son tanin durcit au contact du cabillaud et les crevettes (P27).
Principes de Pat : P27</t>
        </r>
      </text>
    </comment>
    <comment ref="S60" authorId="0">
      <text>
        <r>
          <rPr>
            <sz val="10"/>
            <rFont val="Arial"/>
            <family val="2"/>
          </rPr>
          <t xml:space="preserve">1/5 — pas bon du tout
Rouge : son tanin durcit au contact du cabillaud et les crevettes (P27).
Principes de Pat : P27</t>
        </r>
      </text>
    </comment>
    <comment ref="S61" authorId="0">
      <text>
        <r>
          <rPr>
            <sz val="10"/>
            <rFont val="Arial"/>
            <family val="2"/>
          </rPr>
          <t xml:space="preserve">1/5 — pas bon du tout
Rouge : son tanin durcit au contact du cabillaud et les crevettes (P27).
Principes de Pat : P27</t>
        </r>
      </text>
    </comment>
    <comment ref="S62" authorId="0">
      <text>
        <r>
          <rPr>
            <sz val="10"/>
            <rFont val="Arial"/>
            <family val="2"/>
          </rPr>
          <t xml:space="preserve">1/5 — pas bon du tout
Rouge : son tanin durcit au contact du cabillaud et les crevettes (P27).
Principes de Pat : P27</t>
        </r>
      </text>
    </comment>
    <comment ref="S63" authorId="0">
      <text>
        <r>
          <rPr>
            <sz val="10"/>
            <rFont val="Arial"/>
            <family val="2"/>
          </rPr>
          <t xml:space="preserve">1/5 — pas bon du tout
Rouge : son tanin durcit au contact du cabillaud et les crevettes (P27).
Principes de Pat : P27</t>
        </r>
      </text>
    </comment>
    <comment ref="S64" authorId="0">
      <text>
        <r>
          <rPr>
            <sz val="10"/>
            <rFont val="Arial"/>
            <family val="2"/>
          </rPr>
          <t xml:space="preserve">1/5 — pas bon du tout
Rouge : son tanin durcit au contact du cabillaud et les crevettes (P27).
Principes de Pat : P27</t>
        </r>
      </text>
    </comment>
    <comment ref="S65" authorId="0">
      <text>
        <r>
          <rPr>
            <sz val="10"/>
            <rFont val="Arial"/>
            <family val="2"/>
          </rPr>
          <t xml:space="preserve">1/5 — pas bon du tout
Rouge : son tanin durcit au contact du cabillaud et les crevettes (P27).
Principes de Pat : P27</t>
        </r>
      </text>
    </comment>
    <comment ref="S66" authorId="0">
      <text>
        <r>
          <rPr>
            <sz val="10"/>
            <rFont val="Arial"/>
            <family val="2"/>
          </rPr>
          <t xml:space="preserve">1/5 — pas bon du tout
Rouge : son tanin durcit au contact du cabillaud et les crevettes (P27).
Principes de Pat : P27</t>
        </r>
      </text>
    </comment>
    <comment ref="S67" authorId="0">
      <text>
        <r>
          <rPr>
            <sz val="10"/>
            <rFont val="Arial"/>
            <family val="2"/>
          </rPr>
          <t xml:space="preserve">1/5 — pas bon du tout
Rouge : son tanin durcit au contact du cabillaud et les crevettes (P27).
Principes de Pat : P27</t>
        </r>
      </text>
    </comment>
    <comment ref="S68" authorId="0">
      <text>
        <r>
          <rPr>
            <sz val="10"/>
            <rFont val="Arial"/>
            <family val="2"/>
          </rPr>
          <t xml:space="preserve">1/5 — pas bon du tout
Rouge : son tanin durcit au contact du cabillaud et les crevettes (P27).
Principes de Pat : P27</t>
        </r>
      </text>
    </comment>
    <comment ref="S70" authorId="0">
      <text>
        <r>
          <rPr>
            <sz val="10"/>
            <rFont val="Arial"/>
            <family val="2"/>
          </rPr>
          <t xml:space="preserve">3/5 — correct
Acidité trop faible face à la mousseline (P3).
Principes de Pat : P3</t>
        </r>
      </text>
    </comment>
    <comment ref="S71" authorId="0">
      <text>
        <r>
          <rPr>
            <sz val="10"/>
            <rFont val="Arial"/>
            <family val="2"/>
          </rPr>
          <t xml:space="preserve">3/5 — correct
Acidité trop faible face à la mousseline (P3).
Principes de Pat : P3</t>
        </r>
      </text>
    </comment>
    <comment ref="S73" authorId="0">
      <text>
        <r>
          <rPr>
            <sz val="10"/>
            <rFont val="Arial"/>
            <family val="2"/>
          </rPr>
          <t xml:space="preserve">3/5 — correct
Acidité trop faible face à la mousseline (P3).
Principes de Pat : P3</t>
        </r>
      </text>
    </comment>
    <comment ref="S74" authorId="0">
      <text>
        <r>
          <rPr>
            <sz val="10"/>
            <rFont val="Arial"/>
            <family val="2"/>
          </rPr>
          <t xml:space="preserve">4/5 — très bon
Effervescent vineux : profil qui convient, sans point d'ancrage décisif (P20, P3) ; l'émulsion beurre-œuf-citron plafonne l'accord (P10, P35).
Principes de Pat : P20, P3, P10, P35</t>
        </r>
      </text>
    </comment>
    <comment ref="S75" authorId="0">
      <text>
        <r>
          <rPr>
            <sz val="10"/>
            <rFont val="Arial"/>
            <family val="2"/>
          </rPr>
          <t xml:space="preserve">4/5 — très bon
Effervescent vineux : profil qui convient, sans point d'ancrage décisif (P20, P3) ; l'émulsion beurre-œuf-citron plafonne l'accord (P10, P35).
Principes de Pat : P20, P3, P10, P35</t>
        </r>
      </text>
    </comment>
    <comment ref="S76" authorId="0">
      <text>
        <r>
          <rPr>
            <sz val="10"/>
            <rFont val="Arial"/>
            <family val="2"/>
          </rPr>
          <t xml:space="preserve">2/5 — médiocre
Tanin trop présent pour le cabillaud et les crevettes (P27) ; acidité trop faible face à la mousseline (P3).
Principes de Pat : P27, P3</t>
        </r>
      </text>
    </comment>
    <comment ref="S77" authorId="0">
      <text>
        <r>
          <rPr>
            <sz val="10"/>
            <rFont val="Arial"/>
            <family val="2"/>
          </rPr>
          <t xml:space="preserve">4/5 — très bon
Effervescent blanc de blancs : profil qui convient, sans point d'ancrage décisif (P20, P3) ; l'émulsion beurre-œuf-citron plafonne l'accord (P10, P35).
Principes de Pat : P20, P3, P10, P35</t>
        </r>
      </text>
    </comment>
    <comment ref="S78" authorId="0">
      <text>
        <r>
          <rPr>
            <sz val="10"/>
            <rFont val="Arial"/>
            <family val="2"/>
          </rPr>
          <t xml:space="preserve">4/5 — très bon
Effervescent blanc de blancs : profil qui convient, sans point d'ancrage décisif (P20, P3) ; l'émulsion beurre-œuf-citron plafonne l'accord (P10, P35).
Principes de Pat : P20, P3, P10, P35</t>
        </r>
      </text>
    </comment>
    <comment ref="S79" authorId="0">
      <text>
        <r>
          <rPr>
            <sz val="10"/>
            <rFont val="Arial"/>
            <family val="2"/>
          </rPr>
          <t xml:space="preserve">4/5 — très bon
Effervescent vineux : profil qui convient, sans point d'ancrage décisif (P20, P3) ; l'émulsion beurre-œuf-citron plafonne l'accord (P10, P35).
Principes de Pat : P20, P3, P10, P35</t>
        </r>
      </text>
    </comment>
    <comment ref="S81" authorId="0">
      <text>
        <r>
          <rPr>
            <sz val="10"/>
            <rFont val="Arial"/>
            <family val="2"/>
          </rPr>
          <t xml:space="preserve">1/5 — pas bon du tout
Liquoreux hors de propos sur un plat salé qui n'appelle pas de sucre (P20, P4).
Principes de Pat : P20, P4</t>
        </r>
      </text>
    </comment>
    <comment ref="T7" authorId="0">
      <text>
        <r>
          <rPr>
            <sz val="10"/>
            <rFont val="Arial"/>
            <family val="2"/>
          </rPr>
          <t xml:space="preserve">5/5 — accord parfait
Blanc septentrional tendu et sans bois : il coupe le beurre noisette et respecte la sole (P42, P3, P19).
Principes de Pat : P42, P3, P19</t>
        </r>
      </text>
    </comment>
    <comment ref="T8" authorId="0">
      <text>
        <r>
          <rPr>
            <sz val="10"/>
            <rFont val="Arial"/>
            <family val="2"/>
          </rPr>
          <t xml:space="preserve">5/5 — accord parfait
Blanc septentrional tendu et sans bois : il coupe le beurre noisette et respecte la sole (P42, P3, P19).
Principes de Pat : P42, P3, P19</t>
        </r>
      </text>
    </comment>
    <comment ref="T9" authorId="0">
      <text>
        <r>
          <rPr>
            <sz val="10"/>
            <rFont val="Arial"/>
            <family val="2"/>
          </rPr>
          <t xml:space="preserve">5/5 — accord parfait
Blanc septentrional tendu et sans bois : il coupe le beurre noisette et respecte la sole (P42, P3, P19).
Principes de Pat : P42, P3, P19</t>
        </r>
      </text>
    </comment>
    <comment ref="T10" authorId="0">
      <text>
        <r>
          <rPr>
            <sz val="10"/>
            <rFont val="Arial"/>
            <family val="2"/>
          </rPr>
          <t xml:space="preserve">2/5 — médiocre
Le bois couvre la finesse et amplifie l'amertume (P19).
Principes de Pat : P19</t>
        </r>
      </text>
    </comment>
    <comment ref="T11" authorId="0">
      <text>
        <r>
          <rPr>
            <sz val="10"/>
            <rFont val="Arial"/>
            <family val="2"/>
          </rPr>
          <t xml:space="preserve">5/5 — accord parfait
Blanc septentrional tendu et sans bois : il coupe le beurre noisette et respecte la sole (P42, P3, P19).
Principes de Pat : P42, P3, P19</t>
        </r>
      </text>
    </comment>
    <comment ref="T12" authorId="0">
      <text>
        <r>
          <rPr>
            <sz val="10"/>
            <rFont val="Arial"/>
            <family val="2"/>
          </rPr>
          <t xml:space="preserve">2/5 — médiocre
Le bois couvre la finesse et amplifie l'amertume (P19) ; acidité trop faible face au beurre noisette (P3).
Principes de Pat : P19, P3</t>
        </r>
      </text>
    </comment>
    <comment ref="T13" authorId="0">
      <text>
        <r>
          <rPr>
            <sz val="10"/>
            <rFont val="Arial"/>
            <family val="2"/>
          </rPr>
          <t xml:space="preserve">2/5 — médiocre
Le bois couvre la finesse et amplifie l'amertume (P19) ; acidité trop faible face au beurre noisette (P3).
Principes de Pat : P19, P3</t>
        </r>
      </text>
    </comment>
    <comment ref="T14" authorId="0">
      <text>
        <r>
          <rPr>
            <sz val="10"/>
            <rFont val="Arial"/>
            <family val="2"/>
          </rPr>
          <t xml:space="preserve">2/5 — médiocre
Le bois couvre la finesse et amplifie l'amertume (P19).
Principes de Pat : P19</t>
        </r>
      </text>
    </comment>
    <comment ref="T15" authorId="0">
      <text>
        <r>
          <rPr>
            <sz val="10"/>
            <rFont val="Arial"/>
            <family val="2"/>
          </rPr>
          <t xml:space="preserve">2/5 — médiocre
Le bois couvre la finesse et amplifie l'amertume (P19).
Principes de Pat : P19</t>
        </r>
      </text>
    </comment>
    <comment ref="T16" authorId="0">
      <text>
        <r>
          <rPr>
            <sz val="10"/>
            <rFont val="Arial"/>
            <family val="2"/>
          </rPr>
          <t xml:space="preserve">1/5 — pas bon du tout
Le bois couvre la finesse et amplifie l'amertume (P19) ; acidité trop faible face au beurre noisette (P3).
Principes de Pat : P19, P3</t>
        </r>
      </text>
    </comment>
    <comment ref="T17" authorId="0">
      <text>
        <r>
          <rPr>
            <sz val="10"/>
            <rFont val="Arial"/>
            <family val="2"/>
          </rPr>
          <t xml:space="preserve">1/5 — pas bon du tout
Le bois couvre la finesse et amplifie l'amertume (P19) ; acidité trop faible face au beurre noisette (P3).
Principes de Pat : P19, P3</t>
        </r>
      </text>
    </comment>
    <comment ref="T18" authorId="0">
      <text>
        <r>
          <rPr>
            <sz val="10"/>
            <rFont val="Arial"/>
            <family val="2"/>
          </rPr>
          <t xml:space="preserve">1/5 — pas bon du tout
Le bois couvre la finesse et amplifie l'amertume (P19) ; acidité trop faible face au beurre noisette (P3).
Principes de Pat : P19, P3</t>
        </r>
      </text>
    </comment>
    <comment ref="T19" authorId="0">
      <text>
        <r>
          <rPr>
            <sz val="10"/>
            <rFont val="Arial"/>
            <family val="2"/>
          </rPr>
          <t xml:space="preserve">2/5 — médiocre
Le bois couvre la finesse et amplifie l'amertume (P19).
Principes de Pat : P19</t>
        </r>
      </text>
    </comment>
    <comment ref="T20" authorId="0">
      <text>
        <r>
          <rPr>
            <sz val="10"/>
            <rFont val="Arial"/>
            <family val="2"/>
          </rPr>
          <t xml:space="preserve">2/5 — médiocre
Le bois couvre la finesse et amplifie l'amertume (P19) ; acidité trop faible face au beurre noisette (P3).
Principes de Pat : P19, P3</t>
        </r>
      </text>
    </comment>
    <comment ref="T21" authorId="0">
      <text>
        <r>
          <rPr>
            <sz val="10"/>
            <rFont val="Arial"/>
            <family val="2"/>
          </rPr>
          <t xml:space="preserve">1/5 — pas bon du tout
Acidité trop faible face au beurre noisette (P3) ; le bois couvre la finesse et amplifie l'amertume (P19).
Principes de Pat : P3, P19</t>
        </r>
      </text>
    </comment>
    <comment ref="T22" authorId="0">
      <text>
        <r>
          <rPr>
            <sz val="10"/>
            <rFont val="Arial"/>
            <family val="2"/>
          </rPr>
          <t xml:space="preserve">1/5 — pas bon du tout
Acidité trop faible face au beurre noisette (P3) ; le bois couvre la finesse et amplifie l'amertume (P19).
Principes de Pat : P3, P19</t>
        </r>
      </text>
    </comment>
    <comment ref="T23" authorId="0">
      <text>
        <r>
          <rPr>
            <sz val="10"/>
            <rFont val="Arial"/>
            <family val="2"/>
          </rPr>
          <t xml:space="preserve">3/5 — correct
Acidité trop faible face au beurre noisette (P3).
Principes de Pat : P3</t>
        </r>
      </text>
    </comment>
    <comment ref="T24" authorId="0">
      <text>
        <r>
          <rPr>
            <sz val="10"/>
            <rFont val="Arial"/>
            <family val="2"/>
          </rPr>
          <t xml:space="preserve">4/5 — très bon
Blanc tendu, léger, sans bois : profil qui convient, sans point d'ancrage décisif (P20, P3).
Principes de Pat : P20, P3</t>
        </r>
      </text>
    </comment>
    <comment ref="T25" authorId="0">
      <text>
        <r>
          <rPr>
            <sz val="10"/>
            <rFont val="Arial"/>
            <family val="2"/>
          </rPr>
          <t xml:space="preserve">2/5 — médiocre
Le bois couvre la finesse et amplifie l'amertume (P19) ; acidité trop faible face au beurre noisette (P3).
Principes de Pat : P19, P3</t>
        </r>
      </text>
    </comment>
    <comment ref="T26" authorId="0">
      <text>
        <r>
          <rPr>
            <sz val="10"/>
            <rFont val="Arial"/>
            <family val="2"/>
          </rPr>
          <t xml:space="preserve">3/5 — correct
Le bois couvre la finesse et amplifie l'amertume (P19).
Principes de Pat : P19</t>
        </r>
      </text>
    </comment>
    <comment ref="T27" authorId="0">
      <text>
        <r>
          <rPr>
            <sz val="10"/>
            <rFont val="Arial"/>
            <family val="2"/>
          </rPr>
          <t xml:space="preserve">5/5 — accord parfait
Blanc septentrional tendu et sans bois : il coupe le beurre noisette et respecte la sole (P42, P3, P19).
Principes de Pat : P42, P3, P19</t>
        </r>
      </text>
    </comment>
    <comment ref="T29" authorId="0">
      <text>
        <r>
          <rPr>
            <sz val="10"/>
            <rFont val="Arial"/>
            <family val="2"/>
          </rPr>
          <t xml:space="preserve">2/5 — médiocre
Rouge : son tanin durcit au contact de la sole (P27) ; seule sa légèreté limite les dégâts (P20).
Principes de Pat : P27, P20</t>
        </r>
      </text>
    </comment>
    <comment ref="T30" authorId="0">
      <text>
        <r>
          <rPr>
            <sz val="10"/>
            <rFont val="Arial"/>
            <family val="2"/>
          </rPr>
          <t xml:space="preserve">1/5 — pas bon du tout
Rouge : son tanin durcit au contact de la sole (P27).
Principes de Pat : P27</t>
        </r>
      </text>
    </comment>
    <comment ref="T31" authorId="0">
      <text>
        <r>
          <rPr>
            <sz val="10"/>
            <rFont val="Arial"/>
            <family val="2"/>
          </rPr>
          <t xml:space="preserve">1/5 — pas bon du tout
Rouge : son tanin durcit au contact de la sole (P27).
Principes de Pat : P27</t>
        </r>
      </text>
    </comment>
    <comment ref="T32" authorId="0">
      <text>
        <r>
          <rPr>
            <sz val="10"/>
            <rFont val="Arial"/>
            <family val="2"/>
          </rPr>
          <t xml:space="preserve">2/5 — médiocre
Rouge : son tanin durcit au contact de la sole (P27) ; seule sa légèreté limite les dégâts (P20).
Principes de Pat : P27, P20</t>
        </r>
      </text>
    </comment>
    <comment ref="T33" authorId="0">
      <text>
        <r>
          <rPr>
            <sz val="10"/>
            <rFont val="Arial"/>
            <family val="2"/>
          </rPr>
          <t xml:space="preserve">1/5 — pas bon du tout
Rouge : son tanin durcit au contact de la sole (P27).
Principes de Pat : P27</t>
        </r>
      </text>
    </comment>
    <comment ref="T34" authorId="0">
      <text>
        <r>
          <rPr>
            <sz val="10"/>
            <rFont val="Arial"/>
            <family val="2"/>
          </rPr>
          <t xml:space="preserve">1/5 — pas bon du tout
Rouge : son tanin durcit au contact de la sole (P27).
Principes de Pat : P27</t>
        </r>
      </text>
    </comment>
    <comment ref="T35" authorId="0">
      <text>
        <r>
          <rPr>
            <sz val="10"/>
            <rFont val="Arial"/>
            <family val="2"/>
          </rPr>
          <t xml:space="preserve">1/5 — pas bon du tout
Rouge : son tanin durcit au contact de la sole (P27).
Principes de Pat : P27</t>
        </r>
      </text>
    </comment>
    <comment ref="T36" authorId="0">
      <text>
        <r>
          <rPr>
            <sz val="10"/>
            <rFont val="Arial"/>
            <family val="2"/>
          </rPr>
          <t xml:space="preserve">1/5 — pas bon du tout
Rouge : son tanin durcit au contact de la sole (P27).
Principes de Pat : P27</t>
        </r>
      </text>
    </comment>
    <comment ref="T37" authorId="0">
      <text>
        <r>
          <rPr>
            <sz val="10"/>
            <rFont val="Arial"/>
            <family val="2"/>
          </rPr>
          <t xml:space="preserve">1/5 — pas bon du tout
Rouge : son tanin durcit au contact de la sole (P27).
Principes de Pat : P27</t>
        </r>
      </text>
    </comment>
    <comment ref="T38" authorId="0">
      <text>
        <r>
          <rPr>
            <sz val="10"/>
            <rFont val="Arial"/>
            <family val="2"/>
          </rPr>
          <t xml:space="preserve">2/5 — médiocre
Rouge : son tanin durcit au contact de la sole (P27) ; seule sa légèreté limite les dégâts (P20).
Principes de Pat : P27, P20</t>
        </r>
      </text>
    </comment>
    <comment ref="T39" authorId="0">
      <text>
        <r>
          <rPr>
            <sz val="10"/>
            <rFont val="Arial"/>
            <family val="2"/>
          </rPr>
          <t xml:space="preserve">2/5 — médiocre
Rouge : son tanin durcit au contact de la sole (P27) ; seule sa légèreté limite les dégâts (P20).
Principes de Pat : P27, P20</t>
        </r>
      </text>
    </comment>
    <comment ref="T40" authorId="0">
      <text>
        <r>
          <rPr>
            <sz val="10"/>
            <rFont val="Arial"/>
            <family val="2"/>
          </rPr>
          <t xml:space="preserve">1/5 — pas bon du tout
Rouge : son tanin durcit au contact de la sole (P27).
Principes de Pat : P27</t>
        </r>
      </text>
    </comment>
    <comment ref="T41" authorId="0">
      <text>
        <r>
          <rPr>
            <sz val="10"/>
            <rFont val="Arial"/>
            <family val="2"/>
          </rPr>
          <t xml:space="preserve">1/5 — pas bon du tout
Rouge : son tanin durcit au contact de la sole (P27).
Principes de Pat : P27</t>
        </r>
      </text>
    </comment>
    <comment ref="T42" authorId="0">
      <text>
        <r>
          <rPr>
            <sz val="10"/>
            <rFont val="Arial"/>
            <family val="2"/>
          </rPr>
          <t xml:space="preserve">1/5 — pas bon du tout
Rouge : son tanin durcit au contact de la sole (P27).
Principes de Pat : P27</t>
        </r>
      </text>
    </comment>
    <comment ref="T43" authorId="0">
      <text>
        <r>
          <rPr>
            <sz val="10"/>
            <rFont val="Arial"/>
            <family val="2"/>
          </rPr>
          <t xml:space="preserve">1/5 — pas bon du tout
Rouge : son tanin durcit au contact de la sole (P27).
Principes de Pat : P27</t>
        </r>
      </text>
    </comment>
    <comment ref="T44" authorId="0">
      <text>
        <r>
          <rPr>
            <sz val="10"/>
            <rFont val="Arial"/>
            <family val="2"/>
          </rPr>
          <t xml:space="preserve">1/5 — pas bon du tout
Rouge : son tanin durcit au contact de la sole (P27).
Principes de Pat : P27</t>
        </r>
      </text>
    </comment>
    <comment ref="T45" authorId="0">
      <text>
        <r>
          <rPr>
            <sz val="10"/>
            <rFont val="Arial"/>
            <family val="2"/>
          </rPr>
          <t xml:space="preserve">1/5 — pas bon du tout
Rouge : son tanin durcit au contact de la sole (P27).
Principes de Pat : P27</t>
        </r>
      </text>
    </comment>
    <comment ref="T46" authorId="0">
      <text>
        <r>
          <rPr>
            <sz val="10"/>
            <rFont val="Arial"/>
            <family val="2"/>
          </rPr>
          <t xml:space="preserve">1/5 — pas bon du tout
Rouge : son tanin durcit au contact de la sole (P27).
Principes de Pat : P27</t>
        </r>
      </text>
    </comment>
    <comment ref="T47" authorId="0">
      <text>
        <r>
          <rPr>
            <sz val="10"/>
            <rFont val="Arial"/>
            <family val="2"/>
          </rPr>
          <t xml:space="preserve">1/5 — pas bon du tout
Rouge : son tanin durcit au contact de la sole (P27).
Principes de Pat : P27</t>
        </r>
      </text>
    </comment>
    <comment ref="T48" authorId="0">
      <text>
        <r>
          <rPr>
            <sz val="10"/>
            <rFont val="Arial"/>
            <family val="2"/>
          </rPr>
          <t xml:space="preserve">1/5 — pas bon du tout
Rouge : son tanin durcit au contact de la sole (P27).
Principes de Pat : P27</t>
        </r>
      </text>
    </comment>
    <comment ref="T49" authorId="0">
      <text>
        <r>
          <rPr>
            <sz val="10"/>
            <rFont val="Arial"/>
            <family val="2"/>
          </rPr>
          <t xml:space="preserve">1/5 — pas bon du tout
Rouge : son tanin durcit au contact de la sole (P27).
Principes de Pat : P27</t>
        </r>
      </text>
    </comment>
    <comment ref="T50" authorId="0">
      <text>
        <r>
          <rPr>
            <sz val="10"/>
            <rFont val="Arial"/>
            <family val="2"/>
          </rPr>
          <t xml:space="preserve">1/5 — pas bon du tout
Rouge : son tanin durcit au contact de la sole (P27).
Principes de Pat : P27</t>
        </r>
      </text>
    </comment>
    <comment ref="T51" authorId="0">
      <text>
        <r>
          <rPr>
            <sz val="10"/>
            <rFont val="Arial"/>
            <family val="2"/>
          </rPr>
          <t xml:space="preserve">1/5 — pas bon du tout
Rouge : son tanin durcit au contact de la sole (P27).
Principes de Pat : P27</t>
        </r>
      </text>
    </comment>
    <comment ref="T52" authorId="0">
      <text>
        <r>
          <rPr>
            <sz val="10"/>
            <rFont val="Arial"/>
            <family val="2"/>
          </rPr>
          <t xml:space="preserve">1/5 — pas bon du tout
Rouge : son tanin durcit au contact de la sole (P27).
Principes de Pat : P27</t>
        </r>
      </text>
    </comment>
    <comment ref="T53" authorId="0">
      <text>
        <r>
          <rPr>
            <sz val="10"/>
            <rFont val="Arial"/>
            <family val="2"/>
          </rPr>
          <t xml:space="preserve">1/5 — pas bon du tout
Rouge : son tanin durcit au contact de la sole (P27).
Principes de Pat : P27</t>
        </r>
      </text>
    </comment>
    <comment ref="T54" authorId="0">
      <text>
        <r>
          <rPr>
            <sz val="10"/>
            <rFont val="Arial"/>
            <family val="2"/>
          </rPr>
          <t xml:space="preserve">1/5 — pas bon du tout
Rouge : son tanin durcit au contact de la sole (P27).
Principes de Pat : P27</t>
        </r>
      </text>
    </comment>
    <comment ref="T55" authorId="0">
      <text>
        <r>
          <rPr>
            <sz val="10"/>
            <rFont val="Arial"/>
            <family val="2"/>
          </rPr>
          <t xml:space="preserve">1/5 — pas bon du tout
Rouge : son tanin durcit au contact de la sole (P27).
Principes de Pat : P27</t>
        </r>
      </text>
    </comment>
    <comment ref="T56" authorId="0">
      <text>
        <r>
          <rPr>
            <sz val="10"/>
            <rFont val="Arial"/>
            <family val="2"/>
          </rPr>
          <t xml:space="preserve">1/5 — pas bon du tout
Rouge : son tanin durcit au contact de la sole (P27).
Principes de Pat : P27</t>
        </r>
      </text>
    </comment>
    <comment ref="T57" authorId="0">
      <text>
        <r>
          <rPr>
            <sz val="10"/>
            <rFont val="Arial"/>
            <family val="2"/>
          </rPr>
          <t xml:space="preserve">1/5 — pas bon du tout
Rouge : son tanin durcit au contact de la sole (P27).
Principes de Pat : P27</t>
        </r>
      </text>
    </comment>
    <comment ref="T58" authorId="0">
      <text>
        <r>
          <rPr>
            <sz val="10"/>
            <rFont val="Arial"/>
            <family val="2"/>
          </rPr>
          <t xml:space="preserve">2/5 — médiocre
Rouge : son tanin durcit au contact de la sole (P27) ; seule sa légèreté limite les dégâts (P20).
Principes de Pat : P27, P20</t>
        </r>
      </text>
    </comment>
    <comment ref="T59" authorId="0">
      <text>
        <r>
          <rPr>
            <sz val="10"/>
            <rFont val="Arial"/>
            <family val="2"/>
          </rPr>
          <t xml:space="preserve">1/5 — pas bon du tout
Rouge : son tanin durcit au contact de la sole (P27).
Principes de Pat : P27</t>
        </r>
      </text>
    </comment>
    <comment ref="T60" authorId="0">
      <text>
        <r>
          <rPr>
            <sz val="10"/>
            <rFont val="Arial"/>
            <family val="2"/>
          </rPr>
          <t xml:space="preserve">1/5 — pas bon du tout
Rouge : son tanin durcit au contact de la sole (P27).
Principes de Pat : P27</t>
        </r>
      </text>
    </comment>
    <comment ref="T61" authorId="0">
      <text>
        <r>
          <rPr>
            <sz val="10"/>
            <rFont val="Arial"/>
            <family val="2"/>
          </rPr>
          <t xml:space="preserve">1/5 — pas bon du tout
Rouge : son tanin durcit au contact de la sole (P27).
Principes de Pat : P27</t>
        </r>
      </text>
    </comment>
    <comment ref="T62" authorId="0">
      <text>
        <r>
          <rPr>
            <sz val="10"/>
            <rFont val="Arial"/>
            <family val="2"/>
          </rPr>
          <t xml:space="preserve">1/5 — pas bon du tout
Rouge : son tanin durcit au contact de la sole (P27).
Principes de Pat : P27</t>
        </r>
      </text>
    </comment>
    <comment ref="T63" authorId="0">
      <text>
        <r>
          <rPr>
            <sz val="10"/>
            <rFont val="Arial"/>
            <family val="2"/>
          </rPr>
          <t xml:space="preserve">1/5 — pas bon du tout
Rouge : son tanin durcit au contact de la sole (P27).
Principes de Pat : P27</t>
        </r>
      </text>
    </comment>
    <comment ref="T64" authorId="0">
      <text>
        <r>
          <rPr>
            <sz val="10"/>
            <rFont val="Arial"/>
            <family val="2"/>
          </rPr>
          <t xml:space="preserve">1/5 — pas bon du tout
Rouge : son tanin durcit au contact de la sole (P27).
Principes de Pat : P27</t>
        </r>
      </text>
    </comment>
    <comment ref="T65" authorId="0">
      <text>
        <r>
          <rPr>
            <sz val="10"/>
            <rFont val="Arial"/>
            <family val="2"/>
          </rPr>
          <t xml:space="preserve">1/5 — pas bon du tout
Rouge : son tanin durcit au contact de la sole (P27).
Principes de Pat : P27</t>
        </r>
      </text>
    </comment>
    <comment ref="T66" authorId="0">
      <text>
        <r>
          <rPr>
            <sz val="10"/>
            <rFont val="Arial"/>
            <family val="2"/>
          </rPr>
          <t xml:space="preserve">1/5 — pas bon du tout
Rouge : son tanin durcit au contact de la sole (P27).
Principes de Pat : P27</t>
        </r>
      </text>
    </comment>
    <comment ref="T67" authorId="0">
      <text>
        <r>
          <rPr>
            <sz val="10"/>
            <rFont val="Arial"/>
            <family val="2"/>
          </rPr>
          <t xml:space="preserve">1/5 — pas bon du tout
Rouge : son tanin durcit au contact de la sole (P27).
Principes de Pat : P27</t>
        </r>
      </text>
    </comment>
    <comment ref="T68" authorId="0">
      <text>
        <r>
          <rPr>
            <sz val="10"/>
            <rFont val="Arial"/>
            <family val="2"/>
          </rPr>
          <t xml:space="preserve">1/5 — pas bon du tout
Rouge : son tanin durcit au contact de la sole (P27).
Principes de Pat : P27</t>
        </r>
      </text>
    </comment>
    <comment ref="T70" authorId="0">
      <text>
        <r>
          <rPr>
            <sz val="10"/>
            <rFont val="Arial"/>
            <family val="2"/>
          </rPr>
          <t xml:space="preserve">3/5 — correct
Acidité trop faible face au beurre noisette (P3).
Principes de Pat : P3</t>
        </r>
      </text>
    </comment>
    <comment ref="T71" authorId="0">
      <text>
        <r>
          <rPr>
            <sz val="10"/>
            <rFont val="Arial"/>
            <family val="2"/>
          </rPr>
          <t xml:space="preserve">3/5 — correct
Acidité trop faible face au beurre noisette (P3).
Principes de Pat : P3</t>
        </r>
      </text>
    </comment>
    <comment ref="T73" authorId="0">
      <text>
        <r>
          <rPr>
            <sz val="10"/>
            <rFont val="Arial"/>
            <family val="2"/>
          </rPr>
          <t xml:space="preserve">3/5 — correct
Acidité trop faible face au beurre noisette (P3).
Principes de Pat : P3</t>
        </r>
      </text>
    </comment>
    <comment ref="T74" authorId="0">
      <text>
        <r>
          <rPr>
            <sz val="10"/>
            <rFont val="Arial"/>
            <family val="2"/>
          </rPr>
          <t xml:space="preserve">4/5 — très bon
Effervescent vineux : profil qui convient, sans point d'ancrage décisif (P20, P3).
Principes de Pat : P20, P3</t>
        </r>
      </text>
    </comment>
    <comment ref="T75" authorId="0">
      <text>
        <r>
          <rPr>
            <sz val="10"/>
            <rFont val="Arial"/>
            <family val="2"/>
          </rPr>
          <t xml:space="preserve">4/5 — très bon
Effervescent vineux : profil qui convient, sans point d'ancrage décisif (P20, P3).
Principes de Pat : P20, P3</t>
        </r>
      </text>
    </comment>
    <comment ref="T76" authorId="0">
      <text>
        <r>
          <rPr>
            <sz val="10"/>
            <rFont val="Arial"/>
            <family val="2"/>
          </rPr>
          <t xml:space="preserve">2/5 — médiocre
Tanin trop présent pour la sole (P27) ; acidité trop faible face au beurre noisette (P3).
Principes de Pat : P27, P3</t>
        </r>
      </text>
    </comment>
    <comment ref="T77" authorId="0">
      <text>
        <r>
          <rPr>
            <sz val="10"/>
            <rFont val="Arial"/>
            <family val="2"/>
          </rPr>
          <t xml:space="preserve">4/5 — très bon
Effervescent blanc de blancs : profil qui convient, sans point d'ancrage décisif (P20, P3).
Principes de Pat : P20, P3</t>
        </r>
      </text>
    </comment>
    <comment ref="T78" authorId="0">
      <text>
        <r>
          <rPr>
            <sz val="10"/>
            <rFont val="Arial"/>
            <family val="2"/>
          </rPr>
          <t xml:space="preserve">4/5 — très bon
Effervescent blanc de blancs : profil qui convient, sans point d'ancrage décisif (P20, P3).
Principes de Pat : P20, P3</t>
        </r>
      </text>
    </comment>
    <comment ref="T79" authorId="0">
      <text>
        <r>
          <rPr>
            <sz val="10"/>
            <rFont val="Arial"/>
            <family val="2"/>
          </rPr>
          <t xml:space="preserve">4/5 — très bon
Effervescent vineux : profil qui convient, sans point d'ancrage décisif (P20, P3).
Principes de Pat : P20, P3</t>
        </r>
      </text>
    </comment>
    <comment ref="T81" authorId="0">
      <text>
        <r>
          <rPr>
            <sz val="10"/>
            <rFont val="Arial"/>
            <family val="2"/>
          </rPr>
          <t xml:space="preserve">1/5 — pas bon du tout
Liquoreux hors de propos sur un plat salé qui n'appelle pas de sucre (P20, P4).
Principes de Pat : P20, P4</t>
        </r>
      </text>
    </comment>
    <comment ref="U7" authorId="0">
      <text>
        <r>
          <rPr>
            <sz val="10"/>
            <rFont val="Arial"/>
            <family val="2"/>
          </rPr>
          <t xml:space="preserve">4/5 — très bon
La base mayonnaise plafonne l'accord (P10, P35) ; blanc très tendu à la hauteur des condiments (P23).
Principes de Pat : P10, P35, P23</t>
        </r>
      </text>
    </comment>
    <comment ref="U8" authorId="0">
      <text>
        <r>
          <rPr>
            <sz val="10"/>
            <rFont val="Arial"/>
            <family val="2"/>
          </rPr>
          <t xml:space="preserve">4/5 — très bon
La base mayonnaise plafonne l'accord (P10, P35) ; blanc très tendu à la hauteur des condiments (P23).
Principes de Pat : P10, P35, P23</t>
        </r>
      </text>
    </comment>
    <comment ref="U9" authorId="0">
      <text>
        <r>
          <rPr>
            <sz val="10"/>
            <rFont val="Arial"/>
            <family val="2"/>
          </rPr>
          <t xml:space="preserve">4/5 — très bon
La base mayonnaise plafonne l'accord (P10, P35) ; blanc très tendu à la hauteur des condiments (P23).
Principes de Pat : P10, P35, P23</t>
        </r>
      </text>
    </comment>
    <comment ref="U10" authorId="0">
      <text>
        <r>
          <rPr>
            <sz val="10"/>
            <rFont val="Arial"/>
            <family val="2"/>
          </rPr>
          <t xml:space="preserve">2/5 — médiocre
Le bois couvre la finesse et amplifie l'amertume (P19).
Principes de Pat : P19</t>
        </r>
      </text>
    </comment>
    <comment ref="U11" authorId="0">
      <text>
        <r>
          <rPr>
            <sz val="10"/>
            <rFont val="Arial"/>
            <family val="2"/>
          </rPr>
          <t xml:space="preserve">4/5 — très bon
La base mayonnaise plafonne l'accord (P10, P35) ; blanc très tendu à la hauteur des condiments (P23).
Principes de Pat : P10, P35, P23</t>
        </r>
      </text>
    </comment>
    <comment ref="U12" authorId="0">
      <text>
        <r>
          <rPr>
            <sz val="10"/>
            <rFont val="Arial"/>
            <family val="2"/>
          </rPr>
          <t xml:space="preserve">2/5 — médiocre
Le bois couvre la finesse et amplifie l'amertume (P19) ; acidité trop faible face aux câpres et cornichons (P23).
Principes de Pat : P19, P23</t>
        </r>
      </text>
    </comment>
    <comment ref="U13" authorId="0">
      <text>
        <r>
          <rPr>
            <sz val="10"/>
            <rFont val="Arial"/>
            <family val="2"/>
          </rPr>
          <t xml:space="preserve">2/5 — médiocre
Le bois couvre la finesse et amplifie l'amertume (P19) ; acidité trop faible face aux câpres et cornichons (P23).
Principes de Pat : P19, P23</t>
        </r>
      </text>
    </comment>
    <comment ref="U14" authorId="0">
      <text>
        <r>
          <rPr>
            <sz val="10"/>
            <rFont val="Arial"/>
            <family val="2"/>
          </rPr>
          <t xml:space="preserve">2/5 — médiocre
Le bois couvre la finesse et amplifie l'amertume (P19).
Principes de Pat : P19</t>
        </r>
      </text>
    </comment>
    <comment ref="U15" authorId="0">
      <text>
        <r>
          <rPr>
            <sz val="10"/>
            <rFont val="Arial"/>
            <family val="2"/>
          </rPr>
          <t xml:space="preserve">2/5 — médiocre
Le bois couvre la finesse et amplifie l'amertume (P19).
Principes de Pat : P19</t>
        </r>
      </text>
    </comment>
    <comment ref="U16" authorId="0">
      <text>
        <r>
          <rPr>
            <sz val="10"/>
            <rFont val="Arial"/>
            <family val="2"/>
          </rPr>
          <t xml:space="preserve">1/5 — pas bon du tout
Le bois couvre la finesse et amplifie l'amertume (P19) ; acidité trop faible face aux câpres et cornichons (P23).
Principes de Pat : P19, P23</t>
        </r>
      </text>
    </comment>
    <comment ref="U17" authorId="0">
      <text>
        <r>
          <rPr>
            <sz val="10"/>
            <rFont val="Arial"/>
            <family val="2"/>
          </rPr>
          <t xml:space="preserve">1/5 — pas bon du tout
Le bois couvre la finesse et amplifie l'amertume (P19) ; acidité trop faible face aux câpres et cornichons (P23).
Principes de Pat : P19, P23</t>
        </r>
      </text>
    </comment>
    <comment ref="U18" authorId="0">
      <text>
        <r>
          <rPr>
            <sz val="10"/>
            <rFont val="Arial"/>
            <family val="2"/>
          </rPr>
          <t xml:space="preserve">1/5 — pas bon du tout
Le bois couvre la finesse et amplifie l'amertume (P19) ; acidité trop faible face aux câpres et cornichons (P23).
Principes de Pat : P19, P23</t>
        </r>
      </text>
    </comment>
    <comment ref="U19" authorId="0">
      <text>
        <r>
          <rPr>
            <sz val="10"/>
            <rFont val="Arial"/>
            <family val="2"/>
          </rPr>
          <t xml:space="preserve">2/5 — médiocre
Le bois couvre la finesse et amplifie l'amertume (P19).
Principes de Pat : P19</t>
        </r>
      </text>
    </comment>
    <comment ref="U20" authorId="0">
      <text>
        <r>
          <rPr>
            <sz val="10"/>
            <rFont val="Arial"/>
            <family val="2"/>
          </rPr>
          <t xml:space="preserve">2/5 — médiocre
Le bois couvre la finesse et amplifie l'amertume (P19) ; acidité trop faible face aux câpres et cornichons (P23).
Principes de Pat : P19, P23</t>
        </r>
      </text>
    </comment>
    <comment ref="U21" authorId="0">
      <text>
        <r>
          <rPr>
            <sz val="10"/>
            <rFont val="Arial"/>
            <family val="2"/>
          </rPr>
          <t xml:space="preserve">1/5 — pas bon du tout
Acidité trop faible face aux câpres et cornichons (P23) ; le bois couvre la finesse et amplifie l'amertume (P19).
Principes de Pat : P23, P19</t>
        </r>
      </text>
    </comment>
    <comment ref="U22" authorId="0">
      <text>
        <r>
          <rPr>
            <sz val="10"/>
            <rFont val="Arial"/>
            <family val="2"/>
          </rPr>
          <t xml:space="preserve">1/5 — pas bon du tout
Acidité trop faible face aux câpres et cornichons (P23) ; le bois couvre la finesse et amplifie l'amertume (P19).
Principes de Pat : P23, P19</t>
        </r>
      </text>
    </comment>
    <comment ref="U23" authorId="0">
      <text>
        <r>
          <rPr>
            <sz val="10"/>
            <rFont val="Arial"/>
            <family val="2"/>
          </rPr>
          <t xml:space="preserve">3/5 — correct
Acidité trop faible face aux câpres et cornichons (P23).
Principes de Pat : P23</t>
        </r>
      </text>
    </comment>
    <comment ref="U24" authorId="0">
      <text>
        <r>
          <rPr>
            <sz val="10"/>
            <rFont val="Arial"/>
            <family val="2"/>
          </rPr>
          <t xml:space="preserve">4/5 — très bon
La base mayonnaise plafonne l'accord (P10, P35) ; blanc très tendu à la hauteur des condiments (P23).
Principes de Pat : P10, P35, P23</t>
        </r>
      </text>
    </comment>
    <comment ref="U25" authorId="0">
      <text>
        <r>
          <rPr>
            <sz val="10"/>
            <rFont val="Arial"/>
            <family val="2"/>
          </rPr>
          <t xml:space="preserve">2/5 — médiocre
Le bois couvre la finesse et amplifie l'amertume (P19) ; acidité trop faible face aux câpres et cornichons (P23).
Principes de Pat : P19, P23</t>
        </r>
      </text>
    </comment>
    <comment ref="U26" authorId="0">
      <text>
        <r>
          <rPr>
            <sz val="10"/>
            <rFont val="Arial"/>
            <family val="2"/>
          </rPr>
          <t xml:space="preserve">3/5 — correct
Le bois couvre la finesse et amplifie l'amertume (P19).
Principes de Pat : P19</t>
        </r>
      </text>
    </comment>
    <comment ref="U27" authorId="0">
      <text>
        <r>
          <rPr>
            <sz val="10"/>
            <rFont val="Arial"/>
            <family val="2"/>
          </rPr>
          <t xml:space="preserve">4/5 — très bon
La base mayonnaise plafonne l'accord (P10, P35) ; blanc très tendu à la hauteur des condiments (P23).
Principes de Pat : P10, P35, P23</t>
        </r>
      </text>
    </comment>
    <comment ref="U29" authorId="0">
      <text>
        <r>
          <rPr>
            <sz val="10"/>
            <rFont val="Arial"/>
            <family val="2"/>
          </rPr>
          <t xml:space="preserve">3/5 — correct
Rouge léger très peu tannique : profil qui convient, sans point d'ancrage décisif (P20, P27).
Principes de Pat : P20, P27</t>
        </r>
      </text>
    </comment>
    <comment ref="U30" authorId="0">
      <text>
        <r>
          <rPr>
            <sz val="10"/>
            <rFont val="Arial"/>
            <family val="2"/>
          </rPr>
          <t xml:space="preserve">2/5 — médiocre
Tanin trop présent pour le thon cru (P27) ; acidité trop faible face aux câpres et cornichons (P23).
Principes de Pat : P27, P23</t>
        </r>
      </text>
    </comment>
    <comment ref="U31"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32"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33" authorId="0">
      <text>
        <r>
          <rPr>
            <sz val="10"/>
            <rFont val="Arial"/>
            <family val="2"/>
          </rPr>
          <t xml:space="preserve">1/5 — pas bon du tout
Le bois couvre la finesse et amplifie l'amertume (P19) ; tanin trop présent pour le thon cru (P27) ; acidité trop faible face aux câpres et cornichons (P23).
Principes de Pat : P19, P27, P23</t>
        </r>
      </text>
    </comment>
    <comment ref="U34"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35"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36"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37" authorId="0">
      <text>
        <r>
          <rPr>
            <sz val="10"/>
            <rFont val="Arial"/>
            <family val="2"/>
          </rPr>
          <t xml:space="preserve">1/5 — pas bon du tout
Le bois couvre la finesse et amplifie l'amertume (P19) ; tanin trop présent pour le thon cru (P27) ; acidité trop faible face aux câpres et cornichons (P23).
Principes de Pat : P19, P27, P23</t>
        </r>
      </text>
    </comment>
    <comment ref="U38" authorId="0">
      <text>
        <r>
          <rPr>
            <sz val="10"/>
            <rFont val="Arial"/>
            <family val="2"/>
          </rPr>
          <t xml:space="preserve">3/5 — correct
Tanin trop présent pour le thon cru (P27).
Principes de Pat : P27</t>
        </r>
      </text>
    </comment>
    <comment ref="U39" authorId="0">
      <text>
        <r>
          <rPr>
            <sz val="10"/>
            <rFont val="Arial"/>
            <family val="2"/>
          </rPr>
          <t xml:space="preserve">2/5 — médiocre
Tanin trop présent pour le thon cru (P27) ; le bois couvre la finesse et amplifie l'amertume (P19).
Principes de Pat : P27, P19</t>
        </r>
      </text>
    </comment>
    <comment ref="U40"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41"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42"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43"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44"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45"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46"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47"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48" authorId="0">
      <text>
        <r>
          <rPr>
            <sz val="10"/>
            <rFont val="Arial"/>
            <family val="2"/>
          </rPr>
          <t xml:space="preserve">1/5 — pas bon du tout
Tanin trop présent pour le thon cru (P27) ; le bois couvre la finesse et amplifie l'amertume (P19).
Principes de Pat : P27, P19</t>
        </r>
      </text>
    </comment>
    <comment ref="U49" authorId="0">
      <text>
        <r>
          <rPr>
            <sz val="10"/>
            <rFont val="Arial"/>
            <family val="2"/>
          </rPr>
          <t xml:space="preserve">1/5 — pas bon du tout
Tanin trop présent pour le thon cru (P27) ; le bois couvre la finesse et amplifie l'amertume (P19) ; acidité trop faible face aux câpres et cornichons (P23) ; trop puissant, il écrase le plat (P20).
Principes de Pat : P27, P19, P23, P20</t>
        </r>
      </text>
    </comment>
    <comment ref="U50" authorId="0">
      <text>
        <r>
          <rPr>
            <sz val="10"/>
            <rFont val="Arial"/>
            <family val="2"/>
          </rPr>
          <t xml:space="preserve">1/5 — pas bon du tout
Tanin trop présent pour le thon cru (P27) ; le bois couvre la finesse et amplifie l'amertume (P19).
Principes de Pat : P27, P19</t>
        </r>
      </text>
    </comment>
    <comment ref="U51" authorId="0">
      <text>
        <r>
          <rPr>
            <sz val="10"/>
            <rFont val="Arial"/>
            <family val="2"/>
          </rPr>
          <t xml:space="preserve">1/5 — pas bon du tout
Le bois couvre la finesse et amplifie l'amertume (P19) ; tanin trop présent pour le thon cru (P27) ; acidité trop faible face aux câpres et cornichons (P23).
Principes de Pat : P19, P27, P23</t>
        </r>
      </text>
    </comment>
    <comment ref="U52"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53"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54" authorId="0">
      <text>
        <r>
          <rPr>
            <sz val="10"/>
            <rFont val="Arial"/>
            <family val="2"/>
          </rPr>
          <t xml:space="preserve">1/5 — pas bon du tout
Tanin trop présent pour le thon cru (P27) ; le bois couvre la finesse et amplifie l'amertume (P19).
Principes de Pat : P27, P19</t>
        </r>
      </text>
    </comment>
    <comment ref="U55"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56" authorId="0">
      <text>
        <r>
          <rPr>
            <sz val="10"/>
            <rFont val="Arial"/>
            <family val="2"/>
          </rPr>
          <t xml:space="preserve">1/5 — pas bon du tout
Le bois couvre la finesse et amplifie l'amertume (P19) ; tanin trop présent pour le thon cru (P27) ; acidité trop faible face aux câpres et cornichons (P23).
Principes de Pat : P19, P27, P23</t>
        </r>
      </text>
    </comment>
    <comment ref="U57" authorId="0">
      <text>
        <r>
          <rPr>
            <sz val="10"/>
            <rFont val="Arial"/>
            <family val="2"/>
          </rPr>
          <t xml:space="preserve">1/5 — pas bon du tout
Tanin trop présent pour le thon cru (P27) ; le bois couvre la finesse et amplifie l'amertume (P19).
Principes de Pat : P27, P19</t>
        </r>
      </text>
    </comment>
    <comment ref="U58" authorId="0">
      <text>
        <r>
          <rPr>
            <sz val="10"/>
            <rFont val="Arial"/>
            <family val="2"/>
          </rPr>
          <t xml:space="preserve">2/5 — médiocre
Tanin trop présent pour le thon cru (P27) ; le bois couvre la finesse et amplifie l'amertume (P19).
Principes de Pat : P27, P19</t>
        </r>
      </text>
    </comment>
    <comment ref="U59" authorId="0">
      <text>
        <r>
          <rPr>
            <sz val="10"/>
            <rFont val="Arial"/>
            <family val="2"/>
          </rPr>
          <t xml:space="preserve">1/5 — pas bon du tout
Tanin trop présent pour le thon cru (P27) ; le bois couvre la finesse et amplifie l'amertume (P19).
Principes de Pat : P27, P19</t>
        </r>
      </text>
    </comment>
    <comment ref="U60" authorId="0">
      <text>
        <r>
          <rPr>
            <sz val="10"/>
            <rFont val="Arial"/>
            <family val="2"/>
          </rPr>
          <t xml:space="preserve">1/5 — pas bon du tout
Tanin trop présent pour le thon cru (P27) ; le bois couvre la finesse et amplifie l'amertume (P19).
Principes de Pat : P27, P19</t>
        </r>
      </text>
    </comment>
    <comment ref="U61"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62" authorId="0">
      <text>
        <r>
          <rPr>
            <sz val="10"/>
            <rFont val="Arial"/>
            <family val="2"/>
          </rPr>
          <t xml:space="preserve">1/5 — pas bon du tout
Tanin trop présent pour le thon cru (P27) ; le bois couvre la finesse et amplifie l'amertume (P19).
Principes de Pat : P27, P19</t>
        </r>
      </text>
    </comment>
    <comment ref="U63" authorId="0">
      <text>
        <r>
          <rPr>
            <sz val="10"/>
            <rFont val="Arial"/>
            <family val="2"/>
          </rPr>
          <t xml:space="preserve">1/5 — pas bon du tout
Tanin trop présent pour le thon cru (P27) ; le bois couvre la finesse et amplifie l'amertume (P19).
Principes de Pat : P27, P19</t>
        </r>
      </text>
    </comment>
    <comment ref="U64" authorId="0">
      <text>
        <r>
          <rPr>
            <sz val="10"/>
            <rFont val="Arial"/>
            <family val="2"/>
          </rPr>
          <t xml:space="preserve">1/5 — pas bon du tout
Tanin trop présent pour le thon cru (P27) ; le bois couvre la finesse et amplifie l'amertume (P19).
Principes de Pat : P27, P19</t>
        </r>
      </text>
    </comment>
    <comment ref="U65" authorId="0">
      <text>
        <r>
          <rPr>
            <sz val="10"/>
            <rFont val="Arial"/>
            <family val="2"/>
          </rPr>
          <t xml:space="preserve">1/5 — pas bon du tout
Le bois couvre la finesse et amplifie l'amertume (P19) ; tanin trop présent pour le thon cru (P27) ; acidité trop faible face aux câpres et cornichons (P23) ; trop puissant, il écrase le plat (P20).
Principes de Pat : P19, P27, P23, P20</t>
        </r>
      </text>
    </comment>
    <comment ref="U66"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67"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68" authorId="0">
      <text>
        <r>
          <rPr>
            <sz val="10"/>
            <rFont val="Arial"/>
            <family val="2"/>
          </rPr>
          <t xml:space="preserve">1/5 — pas bon du tout
Tanin trop présent pour le thon cru (P27) ; le bois couvre la finesse et amplifie l'amertume (P19) ; acidité trop faible face aux câpres et cornichons (P23).
Principes de Pat : P27, P19, P23</t>
        </r>
      </text>
    </comment>
    <comment ref="U70" authorId="0">
      <text>
        <r>
          <rPr>
            <sz val="10"/>
            <rFont val="Arial"/>
            <family val="2"/>
          </rPr>
          <t xml:space="preserve">3/5 — correct
Acidité trop faible face aux câpres et cornichons (P23).
Principes de Pat : P23</t>
        </r>
      </text>
    </comment>
    <comment ref="U71" authorId="0">
      <text>
        <r>
          <rPr>
            <sz val="10"/>
            <rFont val="Arial"/>
            <family val="2"/>
          </rPr>
          <t xml:space="preserve">3/5 — correct
Acidité trop faible face aux câpres et cornichons (P23).
Principes de Pat : P23</t>
        </r>
      </text>
    </comment>
    <comment ref="U73" authorId="0">
      <text>
        <r>
          <rPr>
            <sz val="10"/>
            <rFont val="Arial"/>
            <family val="2"/>
          </rPr>
          <t xml:space="preserve">3/5 — correct
Acidité trop faible face aux câpres et cornichons (P23).
Principes de Pat : P23</t>
        </r>
      </text>
    </comment>
    <comment ref="U74" authorId="0">
      <text>
        <r>
          <rPr>
            <sz val="10"/>
            <rFont val="Arial"/>
            <family val="2"/>
          </rPr>
          <t xml:space="preserve">4/5 — très bon
Effervescent vineux : profil qui convient, sans point d'ancrage décisif (P20, P23) ; la base mayonnaise plafonne l'accord (P10, P35).
Principes de Pat : P20, P23, P10, P35</t>
        </r>
      </text>
    </comment>
    <comment ref="U75" authorId="0">
      <text>
        <r>
          <rPr>
            <sz val="10"/>
            <rFont val="Arial"/>
            <family val="2"/>
          </rPr>
          <t xml:space="preserve">4/5 — très bon
Effervescent vineux : profil qui convient, sans point d'ancrage décisif (P20, P23) ; la base mayonnaise plafonne l'accord (P10, P35).
Principes de Pat : P20, P23, P10, P35</t>
        </r>
      </text>
    </comment>
    <comment ref="U76" authorId="0">
      <text>
        <r>
          <rPr>
            <sz val="10"/>
            <rFont val="Arial"/>
            <family val="2"/>
          </rPr>
          <t xml:space="preserve">3/5 — correct
Acidité trop faible face aux câpres et cornichons (P23).
Principes de Pat : P23</t>
        </r>
      </text>
    </comment>
    <comment ref="U77" authorId="0">
      <text>
        <r>
          <rPr>
            <sz val="10"/>
            <rFont val="Arial"/>
            <family val="2"/>
          </rPr>
          <t xml:space="preserve">4/5 — très bon
Effervescent blanc de blancs : profil qui convient, sans point d'ancrage décisif (P20, P23) ; la base mayonnaise plafonne l'accord (P10, P35).
Principes de Pat : P20, P23, P10, P35</t>
        </r>
      </text>
    </comment>
    <comment ref="U78" authorId="0">
      <text>
        <r>
          <rPr>
            <sz val="10"/>
            <rFont val="Arial"/>
            <family val="2"/>
          </rPr>
          <t xml:space="preserve">4/5 — très bon
Effervescent blanc de blancs : profil qui convient, sans point d'ancrage décisif (P20, P23) ; la base mayonnaise plafonne l'accord (P10, P35).
Principes de Pat : P20, P23, P10, P35</t>
        </r>
      </text>
    </comment>
    <comment ref="U79" authorId="0">
      <text>
        <r>
          <rPr>
            <sz val="10"/>
            <rFont val="Arial"/>
            <family val="2"/>
          </rPr>
          <t xml:space="preserve">4/5 — très bon
Effervescent vineux : profil qui convient, sans point d'ancrage décisif (P20, P23) ; la base mayonnaise plafonne l'accord (P10, P35).
Principes de Pat : P20, P23, P10, P35</t>
        </r>
      </text>
    </comment>
    <comment ref="U81" authorId="0">
      <text>
        <r>
          <rPr>
            <sz val="10"/>
            <rFont val="Arial"/>
            <family val="2"/>
          </rPr>
          <t xml:space="preserve">1/5 — pas bon du tout
Liquoreux hors de propos sur un plat salé qui n'appelle pas de sucre (P20, P4).
Principes de Pat : P20, P4</t>
        </r>
      </text>
    </comment>
    <comment ref="V7" authorId="0">
      <text>
        <r>
          <rPr>
            <sz val="10"/>
            <rFont val="Arial"/>
            <family val="2"/>
          </rPr>
          <t xml:space="preserve">3/5 — correct
Trop léger, il disparaît derrière le plat (P20).
Principes de Pat : P20</t>
        </r>
      </text>
    </comment>
    <comment ref="V8" authorId="0">
      <text>
        <r>
          <rPr>
            <sz val="10"/>
            <rFont val="Arial"/>
            <family val="2"/>
          </rPr>
          <t xml:space="preserve">4/5 — très bon
Blanc tendu, de poids moyen, sans bois : profil qui convient, sans point d'ancrage décisif (P20, P3).
Principes de Pat : P20, P3</t>
        </r>
      </text>
    </comment>
    <comment ref="V9" authorId="0">
      <text>
        <r>
          <rPr>
            <sz val="10"/>
            <rFont val="Arial"/>
            <family val="2"/>
          </rPr>
          <t xml:space="preserve">4/5 — très bon
Blanc tendu, de poids moyen, sans bois : profil qui convient, sans point d'ancrage décisif (P20, P3).
Principes de Pat : P20, P3</t>
        </r>
      </text>
    </comment>
    <comment ref="V10" authorId="0">
      <text>
        <r>
          <rPr>
            <sz val="10"/>
            <rFont val="Arial"/>
            <family val="2"/>
          </rPr>
          <t xml:space="preserve">4/5 — très bon
Blanc tendu, de poids moyen, boisé : profil qui convient, sans point d'ancrage décisif (P20, P3).
Principes de Pat : P20, P3</t>
        </r>
      </text>
    </comment>
    <comment ref="V11" authorId="0">
      <text>
        <r>
          <rPr>
            <sz val="10"/>
            <rFont val="Arial"/>
            <family val="2"/>
          </rPr>
          <t xml:space="preserve">3/5 — correct
Trop léger, il disparaît derrière le plat (P20).
Principes de Pat : P20</t>
        </r>
      </text>
    </comment>
    <comment ref="V12" authorId="0">
      <text>
        <r>
          <rPr>
            <sz val="10"/>
            <rFont val="Arial"/>
            <family val="2"/>
          </rPr>
          <t xml:space="preserve">4/5 — très bon
Blanc souple, de poids moyen, peu boisé : profil qui convient, sans point d'ancrage décisif (P20, P3).
Principes de Pat : P20, P3</t>
        </r>
      </text>
    </comment>
    <comment ref="V13" authorId="0">
      <text>
        <r>
          <rPr>
            <sz val="10"/>
            <rFont val="Arial"/>
            <family val="2"/>
          </rPr>
          <t xml:space="preserve">3/5 — correct
Trop léger, il disparaît derrière le plat (P20).
Principes de Pat : P20</t>
        </r>
      </text>
    </comment>
    <comment ref="V14" authorId="0">
      <text>
        <r>
          <rPr>
            <sz val="10"/>
            <rFont val="Arial"/>
            <family val="2"/>
          </rPr>
          <t xml:space="preserve">5/5 — accord parfait
Blanc ample et patiné qui répond à l'onctuosité et au sous-bois (P40, P25).
Principes de Pat : P40, P25</t>
        </r>
      </text>
    </comment>
    <comment ref="V15" authorId="0">
      <text>
        <r>
          <rPr>
            <sz val="10"/>
            <rFont val="Arial"/>
            <family val="2"/>
          </rPr>
          <t xml:space="preserve">4/5 — très bon
Blanc tendu, ample, boisé, patiné : profil qui convient, sans point d'ancrage décisif (P20, P3).
Principes de Pat : P20, P3</t>
        </r>
      </text>
    </comment>
    <comment ref="V16" authorId="0">
      <text>
        <r>
          <rPr>
            <sz val="10"/>
            <rFont val="Arial"/>
            <family val="2"/>
          </rPr>
          <t xml:space="preserve">4/5 — très bon
Blanc souple, ample, boisé : profil qui convient, sans point d'ancrage décisif (P20, P3).
Principes de Pat : P20, P3</t>
        </r>
      </text>
    </comment>
    <comment ref="V17" authorId="0">
      <text>
        <r>
          <rPr>
            <sz val="10"/>
            <rFont val="Arial"/>
            <family val="2"/>
          </rPr>
          <t xml:space="preserve">5/5 — accord parfait
Blanc ample et patiné qui répond à l'onctuosité et au sous-bois (P40, P25).
Principes de Pat : P40, P25</t>
        </r>
      </text>
    </comment>
    <comment ref="V18" authorId="0">
      <text>
        <r>
          <rPr>
            <sz val="10"/>
            <rFont val="Arial"/>
            <family val="2"/>
          </rPr>
          <t xml:space="preserve">5/5 — accord parfait
Blanc ample et patiné qui répond à l'onctuosité et au sous-bois (P40, P25).
Principes de Pat : P40, P25</t>
        </r>
      </text>
    </comment>
    <comment ref="V19" authorId="0">
      <text>
        <r>
          <rPr>
            <sz val="10"/>
            <rFont val="Arial"/>
            <family val="2"/>
          </rPr>
          <t xml:space="preserve">4/5 — très bon
Blanc tendu, ample, boisé : profil qui convient, sans point d'ancrage décisif (P20, P3).
Principes de Pat : P20, P3</t>
        </r>
      </text>
    </comment>
    <comment ref="V20" authorId="0">
      <text>
        <r>
          <rPr>
            <sz val="10"/>
            <rFont val="Arial"/>
            <family val="2"/>
          </rPr>
          <t xml:space="preserve">4/5 — très bon
Blanc souple, ample, peu boisé : profil qui convient, sans point d'ancrage décisif (P20, P3).
Principes de Pat : P20, P3</t>
        </r>
      </text>
    </comment>
    <comment ref="V21" authorId="0">
      <text>
        <r>
          <rPr>
            <sz val="10"/>
            <rFont val="Arial"/>
            <family val="2"/>
          </rPr>
          <t xml:space="preserve">3/5 — correct
Acidité trop faible face au parmesan et l'onctuosité (P3).
Principes de Pat : P3</t>
        </r>
      </text>
    </comment>
    <comment ref="V22" authorId="0">
      <text>
        <r>
          <rPr>
            <sz val="10"/>
            <rFont val="Arial"/>
            <family val="2"/>
          </rPr>
          <t xml:space="preserve">3/5 — correct
Acidité trop faible face au parmesan et l'onctuosité (P3).
Principes de Pat : P3</t>
        </r>
      </text>
    </comment>
    <comment ref="V23" authorId="0">
      <text>
        <r>
          <rPr>
            <sz val="10"/>
            <rFont val="Arial"/>
            <family val="2"/>
          </rPr>
          <t xml:space="preserve">3/5 — correct
Trop léger, il disparaît derrière le plat (P20).
Principes de Pat : P20</t>
        </r>
      </text>
    </comment>
    <comment ref="V24" authorId="0">
      <text>
        <r>
          <rPr>
            <sz val="10"/>
            <rFont val="Arial"/>
            <family val="2"/>
          </rPr>
          <t xml:space="preserve">3/5 — correct
Trop léger, il disparaît derrière le plat (P20).
Principes de Pat : P20</t>
        </r>
      </text>
    </comment>
    <comment ref="V25" authorId="0">
      <text>
        <r>
          <rPr>
            <sz val="10"/>
            <rFont val="Arial"/>
            <family val="2"/>
          </rPr>
          <t xml:space="preserve">4/5 — très bon
Blanc souple, ample, peu boisé : profil qui convient, sans point d'ancrage décisif (P20, P3).
Principes de Pat : P20, P3</t>
        </r>
      </text>
    </comment>
    <comment ref="V26" authorId="0">
      <text>
        <r>
          <rPr>
            <sz val="10"/>
            <rFont val="Arial"/>
            <family val="2"/>
          </rPr>
          <t xml:space="preserve">4/5 — très bon
Blanc tendu, de poids moyen, peu boisé : profil qui convient, sans point d'ancrage décisif (P20, P3).
Principes de Pat : P20, P3</t>
        </r>
      </text>
    </comment>
    <comment ref="V27" authorId="0">
      <text>
        <r>
          <rPr>
            <sz val="10"/>
            <rFont val="Arial"/>
            <family val="2"/>
          </rPr>
          <t xml:space="preserve">3/5 — correct
Trop léger, il disparaît derrière le plat (P20).
Principes de Pat : P20</t>
        </r>
      </text>
    </comment>
    <comment ref="V29" authorId="0">
      <text>
        <r>
          <rPr>
            <sz val="10"/>
            <rFont val="Arial"/>
            <family val="2"/>
          </rPr>
          <t xml:space="preserve">3/5 — correct
Trop léger, il disparaît derrière le plat (P20).
Principes de Pat : P20</t>
        </r>
      </text>
    </comment>
    <comment ref="V30" authorId="0">
      <text>
        <r>
          <rPr>
            <sz val="10"/>
            <rFont val="Arial"/>
            <family val="2"/>
          </rPr>
          <t xml:space="preserve">4/5 — très bon
Rouge de poids moyen aux tanins fins : profil qui convient, sans point d'ancrage décisif (P20, P29).
Principes de Pat : P20, P29</t>
        </r>
      </text>
    </comment>
    <comment ref="V31" authorId="0">
      <text>
        <r>
          <rPr>
            <sz val="10"/>
            <rFont val="Arial"/>
            <family val="2"/>
          </rPr>
          <t xml:space="preserve">5/5 — accord parfait
Notes tertiaires de sous-bois en miroir des champignons, tanins fondus que le parmesan ne durcit pas (P25, P40, P37).
Principes de Pat : P25, P40, P37</t>
        </r>
      </text>
    </comment>
    <comment ref="V32" authorId="0">
      <text>
        <r>
          <rPr>
            <sz val="10"/>
            <rFont val="Arial"/>
            <family val="2"/>
          </rPr>
          <t xml:space="preserve">3/5 — correct
Trop léger, il disparaît derrière le plat (P20).
Principes de Pat : P20</t>
        </r>
      </text>
    </comment>
    <comment ref="V33" authorId="0">
      <text>
        <r>
          <rPr>
            <sz val="10"/>
            <rFont val="Arial"/>
            <family val="2"/>
          </rPr>
          <t xml:space="preserve">4/5 — très bon
Rouge de poids moyen aux tanins fins : profil qui convient, sans point d'ancrage décisif (P20, P29).
Principes de Pat : P20, P29</t>
        </r>
      </text>
    </comment>
    <comment ref="V34" authorId="0">
      <text>
        <r>
          <rPr>
            <sz val="10"/>
            <rFont val="Arial"/>
            <family val="2"/>
          </rPr>
          <t xml:space="preserve">4/5 — très bon
Notes tertiaires de sous-bois en miroir des champignons, tanins fondus que le parmesan ne durcit pas (P25, P40, P37) ; tanin trop présent pour l'umami des champignons et du parmesan (P29).
Principes de Pat : P25, P40, P37, P29</t>
        </r>
      </text>
    </comment>
    <comment ref="V35" authorId="0">
      <text>
        <r>
          <rPr>
            <sz val="10"/>
            <rFont val="Arial"/>
            <family val="2"/>
          </rPr>
          <t xml:space="preserve">3/5 — correct
Tanin trop présent pour l'umami des champignons et du parmesan (P29).
Principes de Pat : P29</t>
        </r>
      </text>
    </comment>
    <comment ref="V36" authorId="0">
      <text>
        <r>
          <rPr>
            <sz val="10"/>
            <rFont val="Arial"/>
            <family val="2"/>
          </rPr>
          <t xml:space="preserve">2/5 — médiocre
Tanin trop présent pour l'umami des champignons et du parmesan (P29).
Principes de Pat : P29</t>
        </r>
      </text>
    </comment>
    <comment ref="V37" authorId="0">
      <text>
        <r>
          <rPr>
            <sz val="10"/>
            <rFont val="Arial"/>
            <family val="2"/>
          </rPr>
          <t xml:space="preserve">2/5 — médiocre
Tanin trop présent pour l'umami des champignons et du parmesan (P29) ; le bois couvre la finesse et amplifie l'amertume (P19).
Principes de Pat : P29, P19</t>
        </r>
      </text>
    </comment>
    <comment ref="V38" authorId="0">
      <text>
        <r>
          <rPr>
            <sz val="10"/>
            <rFont val="Arial"/>
            <family val="2"/>
          </rPr>
          <t xml:space="preserve">3/5 — correct
Trop léger, il disparaît derrière le plat (P20).
Principes de Pat : P20</t>
        </r>
      </text>
    </comment>
    <comment ref="V39" authorId="0">
      <text>
        <r>
          <rPr>
            <sz val="10"/>
            <rFont val="Arial"/>
            <family val="2"/>
          </rPr>
          <t xml:space="preserve">3/5 — correct
Trop léger, il disparaît derrière le plat (P20).
Principes de Pat : P20</t>
        </r>
      </text>
    </comment>
    <comment ref="V40" authorId="0">
      <text>
        <r>
          <rPr>
            <sz val="10"/>
            <rFont val="Arial"/>
            <family val="2"/>
          </rPr>
          <t xml:space="preserve">3/5 — correct
Tanin trop présent pour l'umami des champignons et du parmesan (P29).
Principes de Pat : P29</t>
        </r>
      </text>
    </comment>
    <comment ref="V41" authorId="0">
      <text>
        <r>
          <rPr>
            <sz val="10"/>
            <rFont val="Arial"/>
            <family val="2"/>
          </rPr>
          <t xml:space="preserve">3/5 — correct
Tanin trop présent pour l'umami des champignons et du parmesan (P29).
Principes de Pat : P29</t>
        </r>
      </text>
    </comment>
    <comment ref="V42" authorId="0">
      <text>
        <r>
          <rPr>
            <sz val="10"/>
            <rFont val="Arial"/>
            <family val="2"/>
          </rPr>
          <t xml:space="preserve">3/5 — correct
Tanin trop présent pour l'umami des champignons et du parmesan (P29).
Principes de Pat : P29</t>
        </r>
      </text>
    </comment>
    <comment ref="V43" authorId="0">
      <text>
        <r>
          <rPr>
            <sz val="10"/>
            <rFont val="Arial"/>
            <family val="2"/>
          </rPr>
          <t xml:space="preserve">3/5 — correct
Tanin trop présent pour l'umami des champignons et du parmesan (P29).
Principes de Pat : P29</t>
        </r>
      </text>
    </comment>
    <comment ref="V44" authorId="0">
      <text>
        <r>
          <rPr>
            <sz val="10"/>
            <rFont val="Arial"/>
            <family val="2"/>
          </rPr>
          <t xml:space="preserve">3/5 — correct
Tanin trop présent pour l'umami des champignons et du parmesan (P29).
Principes de Pat : P29</t>
        </r>
      </text>
    </comment>
    <comment ref="V45" authorId="0">
      <text>
        <r>
          <rPr>
            <sz val="10"/>
            <rFont val="Arial"/>
            <family val="2"/>
          </rPr>
          <t xml:space="preserve">3/5 — correct
Tanin trop présent pour l'umami des champignons et du parmesan (P29).
Principes de Pat : P29</t>
        </r>
      </text>
    </comment>
    <comment ref="V46" authorId="0">
      <text>
        <r>
          <rPr>
            <sz val="10"/>
            <rFont val="Arial"/>
            <family val="2"/>
          </rPr>
          <t xml:space="preserve">3/5 — correct
Tanin trop présent pour l'umami des champignons et du parmesan (P29).
Principes de Pat : P29</t>
        </r>
      </text>
    </comment>
    <comment ref="V47" authorId="0">
      <text>
        <r>
          <rPr>
            <sz val="10"/>
            <rFont val="Arial"/>
            <family val="2"/>
          </rPr>
          <t xml:space="preserve">3/5 — correct
Tanin trop présent pour l'umami des champignons et du parmesan (P29).
Principes de Pat : P29</t>
        </r>
      </text>
    </comment>
    <comment ref="V48" authorId="0">
      <text>
        <r>
          <rPr>
            <sz val="10"/>
            <rFont val="Arial"/>
            <family val="2"/>
          </rPr>
          <t xml:space="preserve">1/5 — pas bon du tout
Tanin trop présent pour l'umami des champignons et du parmesan (P29) ; le bois couvre la finesse et amplifie l'amertume (P19).
Principes de Pat : P29, P19</t>
        </r>
      </text>
    </comment>
    <comment ref="V49" authorId="0">
      <text>
        <r>
          <rPr>
            <sz val="10"/>
            <rFont val="Arial"/>
            <family val="2"/>
          </rPr>
          <t xml:space="preserve">1/5 — pas bon du tout
Tanin trop présent pour l'umami des champignons et du parmesan (P29) ; le bois couvre la finesse et amplifie l'amertume (P19).
Principes de Pat : P29, P19</t>
        </r>
      </text>
    </comment>
    <comment ref="V50" authorId="0">
      <text>
        <r>
          <rPr>
            <sz val="10"/>
            <rFont val="Arial"/>
            <family val="2"/>
          </rPr>
          <t xml:space="preserve">1/5 — pas bon du tout
Tanin trop présent pour l'umami des champignons et du parmesan (P29) ; le bois couvre la finesse et amplifie l'amertume (P19).
Principes de Pat : P29, P19</t>
        </r>
      </text>
    </comment>
    <comment ref="V51" authorId="0">
      <text>
        <r>
          <rPr>
            <sz val="10"/>
            <rFont val="Arial"/>
            <family val="2"/>
          </rPr>
          <t xml:space="preserve">4/5 — très bon
Rouge de poids moyen aux tanins fondus, patiné : profil qui convient, sans point d'ancrage décisif (P20, P29).
Principes de Pat : P20, P29</t>
        </r>
      </text>
    </comment>
    <comment ref="V52" authorId="0">
      <text>
        <r>
          <rPr>
            <sz val="10"/>
            <rFont val="Arial"/>
            <family val="2"/>
          </rPr>
          <t xml:space="preserve">3/5 — correct
Tanin trop présent pour l'umami des champignons et du parmesan (P29).
Principes de Pat : P29</t>
        </r>
      </text>
    </comment>
    <comment ref="V53" authorId="0">
      <text>
        <r>
          <rPr>
            <sz val="10"/>
            <rFont val="Arial"/>
            <family val="2"/>
          </rPr>
          <t xml:space="preserve">3/5 — correct
Tanin trop présent pour l'umami des champignons et du parmesan (P29).
Principes de Pat : P29</t>
        </r>
      </text>
    </comment>
    <comment ref="V54" authorId="0">
      <text>
        <r>
          <rPr>
            <sz val="10"/>
            <rFont val="Arial"/>
            <family val="2"/>
          </rPr>
          <t xml:space="preserve">2/5 — médiocre
Tanin trop présent pour l'umami des champignons et du parmesan (P29).
Principes de Pat : P29</t>
        </r>
      </text>
    </comment>
    <comment ref="V55" authorId="0">
      <text>
        <r>
          <rPr>
            <sz val="10"/>
            <rFont val="Arial"/>
            <family val="2"/>
          </rPr>
          <t xml:space="preserve">2/5 — médiocre
Tanin trop présent pour l'umami des champignons et du parmesan (P29).
Principes de Pat : P29</t>
        </r>
      </text>
    </comment>
    <comment ref="V56" authorId="0">
      <text>
        <r>
          <rPr>
            <sz val="10"/>
            <rFont val="Arial"/>
            <family val="2"/>
          </rPr>
          <t xml:space="preserve">4/5 — très bon
Rouge de poids moyen aux tanins fondus, patiné : profil qui convient, sans point d'ancrage décisif (P20, P29).
Principes de Pat : P20, P29</t>
        </r>
      </text>
    </comment>
    <comment ref="V57" authorId="0">
      <text>
        <r>
          <rPr>
            <sz val="10"/>
            <rFont val="Arial"/>
            <family val="2"/>
          </rPr>
          <t xml:space="preserve">1/5 — pas bon du tout
Tanin trop présent pour l'umami des champignons et du parmesan (P29) ; le bois couvre la finesse et amplifie l'amertume (P19).
Principes de Pat : P29, P19</t>
        </r>
      </text>
    </comment>
    <comment ref="V58" authorId="0">
      <text>
        <r>
          <rPr>
            <sz val="10"/>
            <rFont val="Arial"/>
            <family val="2"/>
          </rPr>
          <t xml:space="preserve">3/5 — correct
Trop léger, il disparaît derrière le plat (P20).
Principes de Pat : P20</t>
        </r>
      </text>
    </comment>
    <comment ref="V59" authorId="0">
      <text>
        <r>
          <rPr>
            <sz val="10"/>
            <rFont val="Arial"/>
            <family val="2"/>
          </rPr>
          <t xml:space="preserve">3/5 — correct
Tanin trop présent pour l'umami des champignons et du parmesan (P29).
Principes de Pat : P29</t>
        </r>
      </text>
    </comment>
    <comment ref="V60" authorId="0">
      <text>
        <r>
          <rPr>
            <sz val="10"/>
            <rFont val="Arial"/>
            <family val="2"/>
          </rPr>
          <t xml:space="preserve">3/5 — correct
Tanin trop présent pour l'umami des champignons et du parmesan (P29).
Principes de Pat : P29</t>
        </r>
      </text>
    </comment>
    <comment ref="V61" authorId="0">
      <text>
        <r>
          <rPr>
            <sz val="10"/>
            <rFont val="Arial"/>
            <family val="2"/>
          </rPr>
          <t xml:space="preserve">3/5 — correct
Tanin trop présent pour l'umami des champignons et du parmesan (P29).
Principes de Pat : P29</t>
        </r>
      </text>
    </comment>
    <comment ref="V62" authorId="0">
      <text>
        <r>
          <rPr>
            <sz val="10"/>
            <rFont val="Arial"/>
            <family val="2"/>
          </rPr>
          <t xml:space="preserve">1/5 — pas bon du tout
Tanin trop présent pour l'umami des champignons et du parmesan (P29) ; le bois couvre la finesse et amplifie l'amertume (P19).
Principes de Pat : P29, P19</t>
        </r>
      </text>
    </comment>
    <comment ref="V63" authorId="0">
      <text>
        <r>
          <rPr>
            <sz val="10"/>
            <rFont val="Arial"/>
            <family val="2"/>
          </rPr>
          <t xml:space="preserve">1/5 — pas bon du tout
Tanin trop présent pour l'umami des champignons et du parmesan (P29) ; le bois couvre la finesse et amplifie l'amertume (P19).
Principes de Pat : P29, P19</t>
        </r>
      </text>
    </comment>
    <comment ref="V64" authorId="0">
      <text>
        <r>
          <rPr>
            <sz val="10"/>
            <rFont val="Arial"/>
            <family val="2"/>
          </rPr>
          <t xml:space="preserve">3/5 — correct
Tanin trop présent pour l'umami des champignons et du parmesan (P29).
Principes de Pat : P29</t>
        </r>
      </text>
    </comment>
    <comment ref="V65" authorId="0">
      <text>
        <r>
          <rPr>
            <sz val="10"/>
            <rFont val="Arial"/>
            <family val="2"/>
          </rPr>
          <t xml:space="preserve">1/5 — pas bon du tout
Tanin trop présent pour l'umami des champignons et du parmesan (P29) ; le bois couvre la finesse et amplifie l'amertume (P19).
Principes de Pat : P29, P19</t>
        </r>
      </text>
    </comment>
    <comment ref="V66" authorId="0">
      <text>
        <r>
          <rPr>
            <sz val="10"/>
            <rFont val="Arial"/>
            <family val="2"/>
          </rPr>
          <t xml:space="preserve">4/5 — très bon
Rouge de poids moyen aux tanins fondus, patiné : profil qui convient, sans point d'ancrage décisif (P20, P29).
Principes de Pat : P20, P29</t>
        </r>
      </text>
    </comment>
    <comment ref="V67" authorId="0">
      <text>
        <r>
          <rPr>
            <sz val="10"/>
            <rFont val="Arial"/>
            <family val="2"/>
          </rPr>
          <t xml:space="preserve">3/5 — correct
Tanin trop présent pour l'umami des champignons et du parmesan (P29).
Principes de Pat : P29</t>
        </r>
      </text>
    </comment>
    <comment ref="V68" authorId="0">
      <text>
        <r>
          <rPr>
            <sz val="10"/>
            <rFont val="Arial"/>
            <family val="2"/>
          </rPr>
          <t xml:space="preserve">2/5 — médiocre
Tanin trop présent pour l'umami des champignons et du parmesan (P29).
Principes de Pat : P29</t>
        </r>
      </text>
    </comment>
    <comment ref="V70" authorId="0">
      <text>
        <r>
          <rPr>
            <sz val="10"/>
            <rFont val="Arial"/>
            <family val="2"/>
          </rPr>
          <t xml:space="preserve">3/5 — correct
Trop léger, il disparaît derrière le plat (P20).
Principes de Pat : P20</t>
        </r>
      </text>
    </comment>
    <comment ref="V71" authorId="0">
      <text>
        <r>
          <rPr>
            <sz val="10"/>
            <rFont val="Arial"/>
            <family val="2"/>
          </rPr>
          <t xml:space="preserve">3/5 — correct
Trop léger, il disparaît derrière le plat (P20).
Principes de Pat : P20</t>
        </r>
      </text>
    </comment>
    <comment ref="V73" authorId="0">
      <text>
        <r>
          <rPr>
            <sz val="10"/>
            <rFont val="Arial"/>
            <family val="2"/>
          </rPr>
          <t xml:space="preserve">3/5 — correct
Effervescent trop vif pour l'onctuosité et le sous-bois (P41, P20) ; trop léger, il disparaît derrière le plat (P20).
Principes de Pat : P41, P20</t>
        </r>
      </text>
    </comment>
    <comment ref="V74" authorId="0">
      <text>
        <r>
          <rPr>
            <sz val="10"/>
            <rFont val="Arial"/>
            <family val="2"/>
          </rPr>
          <t xml:space="preserve">3/5 — correct
Effervescent trop vif pour l'onctuosité et le sous-bois (P41, P20).
Principes de Pat : P41, P20</t>
        </r>
      </text>
    </comment>
    <comment ref="V75" authorId="0">
      <text>
        <r>
          <rPr>
            <sz val="10"/>
            <rFont val="Arial"/>
            <family val="2"/>
          </rPr>
          <t xml:space="preserve">3/5 — correct
Effervescent trop vif pour l'onctuosité et le sous-bois (P41, P20).
Principes de Pat : P41, P20</t>
        </r>
      </text>
    </comment>
    <comment ref="V76" authorId="0">
      <text>
        <r>
          <rPr>
            <sz val="10"/>
            <rFont val="Arial"/>
            <family val="2"/>
          </rPr>
          <t xml:space="preserve">3/5 — correct
Effervescent trop vif pour l'onctuosité et le sous-bois (P41, P20).
Principes de Pat : P41, P20</t>
        </r>
      </text>
    </comment>
    <comment ref="V77" authorId="0">
      <text>
        <r>
          <rPr>
            <sz val="10"/>
            <rFont val="Arial"/>
            <family val="2"/>
          </rPr>
          <t xml:space="preserve">3/5 — correct
Effervescent trop vif pour l'onctuosité et le sous-bois (P41, P20) ; trop léger, il disparaît derrière le plat (P20).
Principes de Pat : P41, P20</t>
        </r>
      </text>
    </comment>
    <comment ref="V78" authorId="0">
      <text>
        <r>
          <rPr>
            <sz val="10"/>
            <rFont val="Arial"/>
            <family val="2"/>
          </rPr>
          <t xml:space="preserve">3/5 — correct
Effervescent trop vif pour l'onctuosité et le sous-bois (P41, P20) ; trop léger, il disparaît derrière le plat (P20).
Principes de Pat : P41, P20</t>
        </r>
      </text>
    </comment>
    <comment ref="V79" authorId="0">
      <text>
        <r>
          <rPr>
            <sz val="10"/>
            <rFont val="Arial"/>
            <family val="2"/>
          </rPr>
          <t xml:space="preserve">3/5 — correct
Effervescent trop vif pour l'onctuosité et le sous-bois (P41, P20).
Principes de Pat : P41, P20</t>
        </r>
      </text>
    </comment>
    <comment ref="V81" authorId="0">
      <text>
        <r>
          <rPr>
            <sz val="10"/>
            <rFont val="Arial"/>
            <family val="2"/>
          </rPr>
          <t xml:space="preserve">1/5 — pas bon du tout
Liquoreux hors de propos sur un plat salé qui n'appelle pas de sucre (P20, P4).
Principes de Pat : P20, P4</t>
        </r>
      </text>
    </comment>
    <comment ref="W7" authorId="0">
      <text>
        <r>
          <rPr>
            <sz val="10"/>
            <rFont val="Arial"/>
            <family val="2"/>
          </rPr>
          <t xml:space="preserve">2/5 — médiocre
Vin sec qui paraît maigre face à la laque sucrée (P22) ; umami qui durcit l'acidité (P29).
Principes de Pat : P22, P29</t>
        </r>
      </text>
    </comment>
    <comment ref="W8" authorId="0">
      <text>
        <r>
          <rPr>
            <sz val="10"/>
            <rFont val="Arial"/>
            <family val="2"/>
          </rPr>
          <t xml:space="preserve">2/5 — médiocre
Vin sec qui paraît maigre face à la laque sucrée (P22) ; umami qui durcit l'acidité (P29).
Principes de Pat : P22, P29</t>
        </r>
      </text>
    </comment>
    <comment ref="W9" authorId="0">
      <text>
        <r>
          <rPr>
            <sz val="10"/>
            <rFont val="Arial"/>
            <family val="2"/>
          </rPr>
          <t xml:space="preserve">2/5 — médiocre
Vin sec qui paraît maigre face à la laque sucrée (P22) ; umami qui durcit l'acidité (P29).
Principes de Pat : P22, P29</t>
        </r>
      </text>
    </comment>
    <comment ref="W10" authorId="0">
      <text>
        <r>
          <rPr>
            <sz val="10"/>
            <rFont val="Arial"/>
            <family val="2"/>
          </rPr>
          <t xml:space="preserve">2/5 — médiocre
Vin sec qui paraît maigre face à la laque sucrée (P22) ; umami qui durcit l'acidité (P29).
Principes de Pat : P22, P29</t>
        </r>
      </text>
    </comment>
    <comment ref="W11" authorId="0">
      <text>
        <r>
          <rPr>
            <sz val="10"/>
            <rFont val="Arial"/>
            <family val="2"/>
          </rPr>
          <t xml:space="preserve">2/5 — médiocre
Vin sec qui paraît maigre face à la laque sucrée (P22) ; umami qui durcit l'acidité (P29).
Principes de Pat : P22, P29</t>
        </r>
      </text>
    </comment>
    <comment ref="W12" authorId="0">
      <text>
        <r>
          <rPr>
            <sz val="10"/>
            <rFont val="Arial"/>
            <family val="2"/>
          </rPr>
          <t xml:space="preserve">2/5 — médiocre
Vin sec qui paraît maigre face à la laque sucrée (P22) ; umami qui durcit l'acidité (P29).
Principes de Pat : P22, P29</t>
        </r>
      </text>
    </comment>
    <comment ref="W13" authorId="0">
      <text>
        <r>
          <rPr>
            <sz val="10"/>
            <rFont val="Arial"/>
            <family val="2"/>
          </rPr>
          <t xml:space="preserve">2/5 — médiocre
Vin sec qui paraît maigre face à la laque sucrée (P22) ; umami qui durcit l'acidité (P29).
Principes de Pat : P22, P29</t>
        </r>
      </text>
    </comment>
    <comment ref="W14" authorId="0">
      <text>
        <r>
          <rPr>
            <sz val="10"/>
            <rFont val="Arial"/>
            <family val="2"/>
          </rPr>
          <t xml:space="preserve">2/5 — médiocre
Vin sec qui paraît maigre face à la laque sucrée (P22) ; umami qui durcit l'acidité (P29).
Principes de Pat : P22, P29</t>
        </r>
      </text>
    </comment>
    <comment ref="W15" authorId="0">
      <text>
        <r>
          <rPr>
            <sz val="10"/>
            <rFont val="Arial"/>
            <family val="2"/>
          </rPr>
          <t xml:space="preserve">2/5 — médiocre
Vin sec qui paraît maigre face à la laque sucrée (P22) ; umami qui durcit l'acidité (P29).
Principes de Pat : P22, P29</t>
        </r>
      </text>
    </comment>
    <comment ref="W16" authorId="0">
      <text>
        <r>
          <rPr>
            <sz val="10"/>
            <rFont val="Arial"/>
            <family val="2"/>
          </rPr>
          <t xml:space="preserve">2/5 — médiocre
Vin sec qui paraît maigre face à la laque sucrée (P22) ; umami qui durcit l'acidité (P29).
Principes de Pat : P22, P29</t>
        </r>
      </text>
    </comment>
    <comment ref="W17" authorId="0">
      <text>
        <r>
          <rPr>
            <sz val="10"/>
            <rFont val="Arial"/>
            <family val="2"/>
          </rPr>
          <t xml:space="preserve">2/5 — médiocre
Vin sec qui paraît maigre face à la laque sucrée (P22) ; umami qui durcit l'acidité (P29).
Principes de Pat : P22, P29</t>
        </r>
      </text>
    </comment>
    <comment ref="W18" authorId="0">
      <text>
        <r>
          <rPr>
            <sz val="10"/>
            <rFont val="Arial"/>
            <family val="2"/>
          </rPr>
          <t xml:space="preserve">2/5 — médiocre
Vin sec qui paraît maigre face à la laque sucrée (P22) ; umami qui durcit l'acidité (P29).
Principes de Pat : P22, P29</t>
        </r>
      </text>
    </comment>
    <comment ref="W19" authorId="0">
      <text>
        <r>
          <rPr>
            <sz val="10"/>
            <rFont val="Arial"/>
            <family val="2"/>
          </rPr>
          <t xml:space="preserve">2/5 — médiocre
Vin sec qui paraît maigre face à la laque sucrée (P22) ; umami qui durcit l'acidité (P29).
Principes de Pat : P22, P29</t>
        </r>
      </text>
    </comment>
    <comment ref="W20" authorId="0">
      <text>
        <r>
          <rPr>
            <sz val="10"/>
            <rFont val="Arial"/>
            <family val="2"/>
          </rPr>
          <t xml:space="preserve">3/5 — correct
Rondeur et richesse alcoolique pour la laque caramélisée (P14) ; mais sec face au sucre (P22).
Principes de Pat : P14, P22</t>
        </r>
      </text>
    </comment>
    <comment ref="W21" authorId="0">
      <text>
        <r>
          <rPr>
            <sz val="10"/>
            <rFont val="Arial"/>
            <family val="2"/>
          </rPr>
          <t xml:space="preserve">3/5 — correct
Rondeur et richesse alcoolique pour la laque caramélisée (P14) ; mais sec face au sucre (P22).
Principes de Pat : P14, P22</t>
        </r>
      </text>
    </comment>
    <comment ref="W22" authorId="0">
      <text>
        <r>
          <rPr>
            <sz val="10"/>
            <rFont val="Arial"/>
            <family val="2"/>
          </rPr>
          <t xml:space="preserve">3/5 — correct
Rondeur et richesse alcoolique pour la laque caramélisée (P14) ; mais sec face au sucre (P22).
Principes de Pat : P14, P22</t>
        </r>
      </text>
    </comment>
    <comment ref="W23" authorId="0">
      <text>
        <r>
          <rPr>
            <sz val="10"/>
            <rFont val="Arial"/>
            <family val="2"/>
          </rPr>
          <t xml:space="preserve">2/5 — médiocre
Vin sec qui paraît maigre face à la laque sucrée (P22) ; umami qui durcit l'acidité (P29).
Principes de Pat : P22, P29</t>
        </r>
      </text>
    </comment>
    <comment ref="W24" authorId="0">
      <text>
        <r>
          <rPr>
            <sz val="10"/>
            <rFont val="Arial"/>
            <family val="2"/>
          </rPr>
          <t xml:space="preserve">2/5 — médiocre
Vin sec qui paraît maigre face à la laque sucrée (P22) ; umami qui durcit l'acidité (P29).
Principes de Pat : P22, P29</t>
        </r>
      </text>
    </comment>
    <comment ref="W25" authorId="0">
      <text>
        <r>
          <rPr>
            <sz val="10"/>
            <rFont val="Arial"/>
            <family val="2"/>
          </rPr>
          <t xml:space="preserve">3/5 — correct
Rondeur et richesse alcoolique pour la laque caramélisée (P14) ; mais sec face au sucre (P22).
Principes de Pat : P14, P22</t>
        </r>
      </text>
    </comment>
    <comment ref="W26" authorId="0">
      <text>
        <r>
          <rPr>
            <sz val="10"/>
            <rFont val="Arial"/>
            <family val="2"/>
          </rPr>
          <t xml:space="preserve">3/5 — correct
Passage partiel sous voile qui répond à l'umami (P25, P29) ; mais sec face à la laque sucrée (P22).
Principes de Pat : P25, P29, P22</t>
        </r>
      </text>
    </comment>
    <comment ref="W27" authorId="0">
      <text>
        <r>
          <rPr>
            <sz val="10"/>
            <rFont val="Arial"/>
            <family val="2"/>
          </rPr>
          <t xml:space="preserve">2/5 — médiocre
Vin sec qui paraît maigre face à la laque sucrée (P22) ; umami qui durcit l'acidité (P29).
Principes de Pat : P22, P29</t>
        </r>
      </text>
    </comment>
    <comment ref="W29" authorId="0">
      <text>
        <r>
          <rPr>
            <sz val="10"/>
            <rFont val="Arial"/>
            <family val="2"/>
          </rPr>
          <t xml:space="preserve">2/5 — médiocre
Tanin léger, mais durci par l'umami et le sucre (P29, P22).
Principes de Pat : P29, P22</t>
        </r>
      </text>
    </comment>
    <comment ref="W30" authorId="0">
      <text>
        <r>
          <rPr>
            <sz val="10"/>
            <rFont val="Arial"/>
            <family val="2"/>
          </rPr>
          <t xml:space="preserve">2/5 — médiocre
Tanin léger, mais durci par l'umami et le sucre (P29, P22).
Principes de Pat : P29, P22</t>
        </r>
      </text>
    </comment>
    <comment ref="W31" authorId="0">
      <text>
        <r>
          <rPr>
            <sz val="10"/>
            <rFont val="Arial"/>
            <family val="2"/>
          </rPr>
          <t xml:space="preserve">1/5 — pas bon du tout
Tanin durci par l'umami et le sucre de la laque (P29, P22).
Principes de Pat : P29, P22</t>
        </r>
      </text>
    </comment>
    <comment ref="W32" authorId="0">
      <text>
        <r>
          <rPr>
            <sz val="10"/>
            <rFont val="Arial"/>
            <family val="2"/>
          </rPr>
          <t xml:space="preserve">2/5 — médiocre
Tanin léger, mais durci par l'umami et le sucre (P29, P22).
Principes de Pat : P29, P22</t>
        </r>
      </text>
    </comment>
    <comment ref="W33" authorId="0">
      <text>
        <r>
          <rPr>
            <sz val="10"/>
            <rFont val="Arial"/>
            <family val="2"/>
          </rPr>
          <t xml:space="preserve">2/5 — médiocre
Tanin léger, mais durci par l'umami et le sucre (P29, P22).
Principes de Pat : P29, P22</t>
        </r>
      </text>
    </comment>
    <comment ref="W34" authorId="0">
      <text>
        <r>
          <rPr>
            <sz val="10"/>
            <rFont val="Arial"/>
            <family val="2"/>
          </rPr>
          <t xml:space="preserve">1/5 — pas bon du tout
Tanin durci par l'umami et le sucre de la laque (P29, P22).
Principes de Pat : P29, P22</t>
        </r>
      </text>
    </comment>
    <comment ref="W35" authorId="0">
      <text>
        <r>
          <rPr>
            <sz val="10"/>
            <rFont val="Arial"/>
            <family val="2"/>
          </rPr>
          <t xml:space="preserve">1/5 — pas bon du tout
Tanin durci par l'umami et le sucre de la laque (P29, P22).
Principes de Pat : P29, P22</t>
        </r>
      </text>
    </comment>
    <comment ref="W36" authorId="0">
      <text>
        <r>
          <rPr>
            <sz val="10"/>
            <rFont val="Arial"/>
            <family val="2"/>
          </rPr>
          <t xml:space="preserve">1/5 — pas bon du tout
Tanin durci par l'umami et le sucre de la laque (P29, P22).
Principes de Pat : P29, P22</t>
        </r>
      </text>
    </comment>
    <comment ref="W37" authorId="0">
      <text>
        <r>
          <rPr>
            <sz val="10"/>
            <rFont val="Arial"/>
            <family val="2"/>
          </rPr>
          <t xml:space="preserve">1/5 — pas bon du tout
Tanin durci par l'umami et le sucre de la laque (P29, P22).
Principes de Pat : P29, P22</t>
        </r>
      </text>
    </comment>
    <comment ref="W38" authorId="0">
      <text>
        <r>
          <rPr>
            <sz val="10"/>
            <rFont val="Arial"/>
            <family val="2"/>
          </rPr>
          <t xml:space="preserve">2/5 — médiocre
Tanin léger, mais durci par l'umami et le sucre (P29, P22).
Principes de Pat : P29, P22</t>
        </r>
      </text>
    </comment>
    <comment ref="W39" authorId="0">
      <text>
        <r>
          <rPr>
            <sz val="10"/>
            <rFont val="Arial"/>
            <family val="2"/>
          </rPr>
          <t xml:space="preserve">2/5 — médiocre
Tanin léger, mais durci par l'umami et le sucre (P29, P22).
Principes de Pat : P29, P22</t>
        </r>
      </text>
    </comment>
    <comment ref="W40" authorId="0">
      <text>
        <r>
          <rPr>
            <sz val="10"/>
            <rFont val="Arial"/>
            <family val="2"/>
          </rPr>
          <t xml:space="preserve">1/5 — pas bon du tout
Tanin durci par l'umami et le sucre de la laque (P29, P22).
Principes de Pat : P29, P22</t>
        </r>
      </text>
    </comment>
    <comment ref="W41" authorId="0">
      <text>
        <r>
          <rPr>
            <sz val="10"/>
            <rFont val="Arial"/>
            <family val="2"/>
          </rPr>
          <t xml:space="preserve">1/5 — pas bon du tout
Tanin durci par l'umami et le sucre de la laque (P29, P22).
Principes de Pat : P29, P22</t>
        </r>
      </text>
    </comment>
    <comment ref="W42" authorId="0">
      <text>
        <r>
          <rPr>
            <sz val="10"/>
            <rFont val="Arial"/>
            <family val="2"/>
          </rPr>
          <t xml:space="preserve">1/5 — pas bon du tout
Tanin durci par l'umami et le sucre de la laque (P29, P22).
Principes de Pat : P29, P22</t>
        </r>
      </text>
    </comment>
    <comment ref="W43" authorId="0">
      <text>
        <r>
          <rPr>
            <sz val="10"/>
            <rFont val="Arial"/>
            <family val="2"/>
          </rPr>
          <t xml:space="preserve">1/5 — pas bon du tout
Tanin durci par l'umami et le sucre de la laque (P29, P22).
Principes de Pat : P29, P22</t>
        </r>
      </text>
    </comment>
    <comment ref="W44" authorId="0">
      <text>
        <r>
          <rPr>
            <sz val="10"/>
            <rFont val="Arial"/>
            <family val="2"/>
          </rPr>
          <t xml:space="preserve">1/5 — pas bon du tout
Tanin durci par l'umami et le sucre de la laque (P29, P22).
Principes de Pat : P29, P22</t>
        </r>
      </text>
    </comment>
    <comment ref="W45" authorId="0">
      <text>
        <r>
          <rPr>
            <sz val="10"/>
            <rFont val="Arial"/>
            <family val="2"/>
          </rPr>
          <t xml:space="preserve">1/5 — pas bon du tout
Tanin durci par l'umami et le sucre de la laque (P29, P22).
Principes de Pat : P29, P22</t>
        </r>
      </text>
    </comment>
    <comment ref="W46" authorId="0">
      <text>
        <r>
          <rPr>
            <sz val="10"/>
            <rFont val="Arial"/>
            <family val="2"/>
          </rPr>
          <t xml:space="preserve">1/5 — pas bon du tout
Tanin durci par l'umami et le sucre de la laque (P29, P22).
Principes de Pat : P29, P22</t>
        </r>
      </text>
    </comment>
    <comment ref="W47" authorId="0">
      <text>
        <r>
          <rPr>
            <sz val="10"/>
            <rFont val="Arial"/>
            <family val="2"/>
          </rPr>
          <t xml:space="preserve">1/5 — pas bon du tout
Tanin durci par l'umami et le sucre de la laque (P29, P22).
Principes de Pat : P29, P22</t>
        </r>
      </text>
    </comment>
    <comment ref="W48" authorId="0">
      <text>
        <r>
          <rPr>
            <sz val="10"/>
            <rFont val="Arial"/>
            <family val="2"/>
          </rPr>
          <t xml:space="preserve">1/5 — pas bon du tout
Tanin durci par l'umami et le sucre de la laque (P29, P22).
Principes de Pat : P29, P22</t>
        </r>
      </text>
    </comment>
    <comment ref="W49" authorId="0">
      <text>
        <r>
          <rPr>
            <sz val="10"/>
            <rFont val="Arial"/>
            <family val="2"/>
          </rPr>
          <t xml:space="preserve">1/5 — pas bon du tout
Tanin durci par l'umami et le sucre de la laque (P29, P22).
Principes de Pat : P29, P22</t>
        </r>
      </text>
    </comment>
    <comment ref="W50" authorId="0">
      <text>
        <r>
          <rPr>
            <sz val="10"/>
            <rFont val="Arial"/>
            <family val="2"/>
          </rPr>
          <t xml:space="preserve">1/5 — pas bon du tout
Tanin durci par l'umami et le sucre de la laque (P29, P22).
Principes de Pat : P29, P22</t>
        </r>
      </text>
    </comment>
    <comment ref="W51" authorId="0">
      <text>
        <r>
          <rPr>
            <sz val="10"/>
            <rFont val="Arial"/>
            <family val="2"/>
          </rPr>
          <t xml:space="preserve">1/5 — pas bon du tout
Tanin durci par l'umami et le sucre de la laque (P29, P22).
Principes de Pat : P29, P22</t>
        </r>
      </text>
    </comment>
    <comment ref="W52" authorId="0">
      <text>
        <r>
          <rPr>
            <sz val="10"/>
            <rFont val="Arial"/>
            <family val="2"/>
          </rPr>
          <t xml:space="preserve">1/5 — pas bon du tout
Tanin durci par l'umami et le sucre de la laque (P29, P22).
Principes de Pat : P29, P22</t>
        </r>
      </text>
    </comment>
    <comment ref="W53" authorId="0">
      <text>
        <r>
          <rPr>
            <sz val="10"/>
            <rFont val="Arial"/>
            <family val="2"/>
          </rPr>
          <t xml:space="preserve">1/5 — pas bon du tout
Tanin durci par l'umami et le sucre de la laque (P29, P22).
Principes de Pat : P29, P22</t>
        </r>
      </text>
    </comment>
    <comment ref="W54" authorId="0">
      <text>
        <r>
          <rPr>
            <sz val="10"/>
            <rFont val="Arial"/>
            <family val="2"/>
          </rPr>
          <t xml:space="preserve">1/5 — pas bon du tout
Tanin durci par l'umami et le sucre de la laque (P29, P22).
Principes de Pat : P29, P22</t>
        </r>
      </text>
    </comment>
    <comment ref="W55" authorId="0">
      <text>
        <r>
          <rPr>
            <sz val="10"/>
            <rFont val="Arial"/>
            <family val="2"/>
          </rPr>
          <t xml:space="preserve">1/5 — pas bon du tout
Tanin durci par l'umami et le sucre de la laque (P29, P22).
Principes de Pat : P29, P22</t>
        </r>
      </text>
    </comment>
    <comment ref="W56" authorId="0">
      <text>
        <r>
          <rPr>
            <sz val="10"/>
            <rFont val="Arial"/>
            <family val="2"/>
          </rPr>
          <t xml:space="preserve">1/5 — pas bon du tout
Tanin durci par l'umami et le sucre de la laque (P29, P22).
Principes de Pat : P29, P22</t>
        </r>
      </text>
    </comment>
    <comment ref="W57" authorId="0">
      <text>
        <r>
          <rPr>
            <sz val="10"/>
            <rFont val="Arial"/>
            <family val="2"/>
          </rPr>
          <t xml:space="preserve">1/5 — pas bon du tout
Tanin durci par l'umami et le sucre de la laque (P29, P22).
Principes de Pat : P29, P22</t>
        </r>
      </text>
    </comment>
    <comment ref="W58" authorId="0">
      <text>
        <r>
          <rPr>
            <sz val="10"/>
            <rFont val="Arial"/>
            <family val="2"/>
          </rPr>
          <t xml:space="preserve">2/5 — médiocre
Tanin léger, mais durci par l'umami et le sucre (P29, P22).
Principes de Pat : P29, P22</t>
        </r>
      </text>
    </comment>
    <comment ref="W59" authorId="0">
      <text>
        <r>
          <rPr>
            <sz val="10"/>
            <rFont val="Arial"/>
            <family val="2"/>
          </rPr>
          <t xml:space="preserve">1/5 — pas bon du tout
Tanin durci par l'umami et le sucre de la laque (P29, P22).
Principes de Pat : P29, P22</t>
        </r>
      </text>
    </comment>
    <comment ref="W60" authorId="0">
      <text>
        <r>
          <rPr>
            <sz val="10"/>
            <rFont val="Arial"/>
            <family val="2"/>
          </rPr>
          <t xml:space="preserve">1/5 — pas bon du tout
Tanin durci par l'umami et le sucre de la laque (P29, P22).
Principes de Pat : P29, P22</t>
        </r>
      </text>
    </comment>
    <comment ref="W61" authorId="0">
      <text>
        <r>
          <rPr>
            <sz val="10"/>
            <rFont val="Arial"/>
            <family val="2"/>
          </rPr>
          <t xml:space="preserve">1/5 — pas bon du tout
Tanin durci par l'umami et le sucre de la laque (P29, P22).
Principes de Pat : P29, P22</t>
        </r>
      </text>
    </comment>
    <comment ref="W62" authorId="0">
      <text>
        <r>
          <rPr>
            <sz val="10"/>
            <rFont val="Arial"/>
            <family val="2"/>
          </rPr>
          <t xml:space="preserve">1/5 — pas bon du tout
Tanin durci par l'umami et le sucre de la laque (P29, P22).
Principes de Pat : P29, P22</t>
        </r>
      </text>
    </comment>
    <comment ref="W63" authorId="0">
      <text>
        <r>
          <rPr>
            <sz val="10"/>
            <rFont val="Arial"/>
            <family val="2"/>
          </rPr>
          <t xml:space="preserve">1/5 — pas bon du tout
Tanin durci par l'umami et le sucre de la laque (P29, P22).
Principes de Pat : P29, P22</t>
        </r>
      </text>
    </comment>
    <comment ref="W64" authorId="0">
      <text>
        <r>
          <rPr>
            <sz val="10"/>
            <rFont val="Arial"/>
            <family val="2"/>
          </rPr>
          <t xml:space="preserve">1/5 — pas bon du tout
Tanin durci par l'umami et le sucre de la laque (P29, P22).
Principes de Pat : P29, P22</t>
        </r>
      </text>
    </comment>
    <comment ref="W65" authorId="0">
      <text>
        <r>
          <rPr>
            <sz val="10"/>
            <rFont val="Arial"/>
            <family val="2"/>
          </rPr>
          <t xml:space="preserve">1/5 — pas bon du tout
Tanin durci par l'umami et le sucre de la laque (P29, P22).
Principes de Pat : P29, P22</t>
        </r>
      </text>
    </comment>
    <comment ref="W66" authorId="0">
      <text>
        <r>
          <rPr>
            <sz val="10"/>
            <rFont val="Arial"/>
            <family val="2"/>
          </rPr>
          <t xml:space="preserve">1/5 — pas bon du tout
Tanin durci par l'umami et le sucre de la laque (P29, P22).
Principes de Pat : P29, P22</t>
        </r>
      </text>
    </comment>
    <comment ref="W67" authorId="0">
      <text>
        <r>
          <rPr>
            <sz val="10"/>
            <rFont val="Arial"/>
            <family val="2"/>
          </rPr>
          <t xml:space="preserve">1/5 — pas bon du tout
Tanin durci par l'umami et le sucre de la laque (P29, P22).
Principes de Pat : P29, P22</t>
        </r>
      </text>
    </comment>
    <comment ref="W68" authorId="0">
      <text>
        <r>
          <rPr>
            <sz val="10"/>
            <rFont val="Arial"/>
            <family val="2"/>
          </rPr>
          <t xml:space="preserve">1/5 — pas bon du tout
Tanin durci par l'umami et le sucre de la laque (P29, P22).
Principes de Pat : P29, P22</t>
        </r>
      </text>
    </comment>
    <comment ref="W70" authorId="0">
      <text>
        <r>
          <rPr>
            <sz val="10"/>
            <rFont val="Arial"/>
            <family val="2"/>
          </rPr>
          <t xml:space="preserve">2/5 — médiocre
Vin sec qui paraît maigre face à la laque sucrée (P22) ; umami qui durcit l'acidité (P29).
Principes de Pat : P22, P29</t>
        </r>
      </text>
    </comment>
    <comment ref="W71" authorId="0">
      <text>
        <r>
          <rPr>
            <sz val="10"/>
            <rFont val="Arial"/>
            <family val="2"/>
          </rPr>
          <t xml:space="preserve">2/5 — médiocre
Vin sec qui paraît maigre face à la laque sucrée (P22) ; umami qui durcit l'acidité (P29).
Principes de Pat : P22, P29</t>
        </r>
      </text>
    </comment>
    <comment ref="W73" authorId="0">
      <text>
        <r>
          <rPr>
            <sz val="10"/>
            <rFont val="Arial"/>
            <family val="2"/>
          </rPr>
          <t xml:space="preserve">2/5 — médiocre
Vin sec qui paraît maigre face à la laque sucrée (P22) ; umami qui durcit l'acidité (P29).
Principes de Pat : P22, P29</t>
        </r>
      </text>
    </comment>
    <comment ref="W74" authorId="0">
      <text>
        <r>
          <rPr>
            <sz val="10"/>
            <rFont val="Arial"/>
            <family val="2"/>
          </rPr>
          <t xml:space="preserve">2/5 — médiocre
Vin sec qui paraît maigre face à la laque sucrée (P22) ; umami qui durcit l'acidité (P29).
Principes de Pat : P22, P29</t>
        </r>
      </text>
    </comment>
    <comment ref="W75" authorId="0">
      <text>
        <r>
          <rPr>
            <sz val="10"/>
            <rFont val="Arial"/>
            <family val="2"/>
          </rPr>
          <t xml:space="preserve">2/5 — médiocre
Vin sec qui paraît maigre face à la laque sucrée (P22) ; umami qui durcit l'acidité (P29).
Principes de Pat : P22, P29</t>
        </r>
      </text>
    </comment>
    <comment ref="W76" authorId="0">
      <text>
        <r>
          <rPr>
            <sz val="10"/>
            <rFont val="Arial"/>
            <family val="2"/>
          </rPr>
          <t xml:space="preserve">2/5 — médiocre
Vin sec qui paraît maigre face à la laque sucrée (P22) ; umami qui durcit l'acidité (P29).
Principes de Pat : P22, P29</t>
        </r>
      </text>
    </comment>
    <comment ref="W77" authorId="0">
      <text>
        <r>
          <rPr>
            <sz val="10"/>
            <rFont val="Arial"/>
            <family val="2"/>
          </rPr>
          <t xml:space="preserve">2/5 — médiocre
Vin sec qui paraît maigre face à la laque sucrée (P22) ; umami qui durcit l'acidité (P29).
Principes de Pat : P22, P29</t>
        </r>
      </text>
    </comment>
    <comment ref="W78" authorId="0">
      <text>
        <r>
          <rPr>
            <sz val="10"/>
            <rFont val="Arial"/>
            <family val="2"/>
          </rPr>
          <t xml:space="preserve">2/5 — médiocre
Vin sec qui paraît maigre face à la laque sucrée (P22) ; umami qui durcit l'acidité (P29).
Principes de Pat : P22, P29</t>
        </r>
      </text>
    </comment>
    <comment ref="W79" authorId="0">
      <text>
        <r>
          <rPr>
            <sz val="10"/>
            <rFont val="Arial"/>
            <family val="2"/>
          </rPr>
          <t xml:space="preserve">2/5 — médiocre
Vin sec qui paraît maigre face à la laque sucrée (P22) ; umami qui durcit l'acidité (P29).
Principes de Pat : P22, P29</t>
        </r>
      </text>
    </comment>
    <comment ref="W81" authorId="0">
      <text>
        <r>
          <rPr>
            <sz val="10"/>
            <rFont val="Arial"/>
            <family val="2"/>
          </rPr>
          <t xml:space="preserve">3/5 — correct
Sucre au niveau de la laque et richesse pour le caramélisé (P22, P14) ; mais trop lourd sur des légumes (P20).
Principes de Pat : P22, P14, P20</t>
        </r>
      </text>
    </comment>
    <comment ref="X7" authorId="0">
      <text>
        <r>
          <rPr>
            <sz val="10"/>
            <rFont val="Arial"/>
            <family val="2"/>
          </rPr>
          <t xml:space="preserve">4/5 — très bon
La sauce au citron plafonne l'accord (P11, P35) ; notes herbacées en miroir de la sauge (P25).
Principes de Pat : P11, P35, P25</t>
        </r>
      </text>
    </comment>
    <comment ref="X8" authorId="0">
      <text>
        <r>
          <rPr>
            <sz val="10"/>
            <rFont val="Arial"/>
            <family val="2"/>
          </rPr>
          <t xml:space="preserve">4/5 — très bon
La sauce au citron plafonne l'accord (P11, P35) ; notes herbacées en miroir de la sauge (P25).
Principes de Pat : P11, P35, P25</t>
        </r>
      </text>
    </comment>
    <comment ref="X9" authorId="0">
      <text>
        <r>
          <rPr>
            <sz val="10"/>
            <rFont val="Arial"/>
            <family val="2"/>
          </rPr>
          <t xml:space="preserve">4/5 — très bon
La sauce au citron plafonne l'accord (P11, P35) ; notes herbacées en miroir de la sauge (P25).
Principes de Pat : P11, P35, P25</t>
        </r>
      </text>
    </comment>
    <comment ref="X10" authorId="0">
      <text>
        <r>
          <rPr>
            <sz val="10"/>
            <rFont val="Arial"/>
            <family val="2"/>
          </rPr>
          <t xml:space="preserve">3/5 — correct
Le bois couvre la finesse et amplifie l'amertume (P19).
Principes de Pat : P19</t>
        </r>
      </text>
    </comment>
    <comment ref="X11" authorId="0">
      <text>
        <r>
          <rPr>
            <sz val="10"/>
            <rFont val="Arial"/>
            <family val="2"/>
          </rPr>
          <t xml:space="preserve">4/5 — très bon
Blanc tendu, léger, sans bois : profil qui convient, sans point d'ancrage décisif (P20, P23) ; la sauce au citron plafonne l'accord (P11, P35).
Principes de Pat : P20, P23, P11, P35</t>
        </r>
      </text>
    </comment>
    <comment ref="X12" authorId="0">
      <text>
        <r>
          <rPr>
            <sz val="10"/>
            <rFont val="Arial"/>
            <family val="2"/>
          </rPr>
          <t xml:space="preserve">2/5 — médiocre
Le bois couvre la finesse et amplifie l'amertume (P19) ; acidité trop faible face au citron (P23).
Principes de Pat : P19, P23</t>
        </r>
      </text>
    </comment>
    <comment ref="X13" authorId="0">
      <text>
        <r>
          <rPr>
            <sz val="10"/>
            <rFont val="Arial"/>
            <family val="2"/>
          </rPr>
          <t xml:space="preserve">2/5 — médiocre
Le bois couvre la finesse et amplifie l'amertume (P19) ; acidité trop faible face au citron (P23).
Principes de Pat : P19, P23</t>
        </r>
      </text>
    </comment>
    <comment ref="X14" authorId="0">
      <text>
        <r>
          <rPr>
            <sz val="10"/>
            <rFont val="Arial"/>
            <family val="2"/>
          </rPr>
          <t xml:space="preserve">2/5 — médiocre
Le bois couvre la finesse et amplifie l'amertume (P19).
Principes de Pat : P19</t>
        </r>
      </text>
    </comment>
    <comment ref="X15" authorId="0">
      <text>
        <r>
          <rPr>
            <sz val="10"/>
            <rFont val="Arial"/>
            <family val="2"/>
          </rPr>
          <t xml:space="preserve">2/5 — médiocre
Le bois couvre la finesse et amplifie l'amertume (P19).
Principes de Pat : P19</t>
        </r>
      </text>
    </comment>
    <comment ref="X16" authorId="0">
      <text>
        <r>
          <rPr>
            <sz val="10"/>
            <rFont val="Arial"/>
            <family val="2"/>
          </rPr>
          <t xml:space="preserve">1/5 — pas bon du tout
Le bois couvre la finesse et amplifie l'amertume (P19) ; acidité trop faible face au citron (P23).
Principes de Pat : P19, P23</t>
        </r>
      </text>
    </comment>
    <comment ref="X17" authorId="0">
      <text>
        <r>
          <rPr>
            <sz val="10"/>
            <rFont val="Arial"/>
            <family val="2"/>
          </rPr>
          <t xml:space="preserve">1/5 — pas bon du tout
Le bois couvre la finesse et amplifie l'amertume (P19) ; acidité trop faible face au citron (P23).
Principes de Pat : P19, P23</t>
        </r>
      </text>
    </comment>
    <comment ref="X18" authorId="0">
      <text>
        <r>
          <rPr>
            <sz val="10"/>
            <rFont val="Arial"/>
            <family val="2"/>
          </rPr>
          <t xml:space="preserve">1/5 — pas bon du tout
Le bois couvre la finesse et amplifie l'amertume (P19) ; acidité trop faible face au citron (P23).
Principes de Pat : P19, P23</t>
        </r>
      </text>
    </comment>
    <comment ref="X19" authorId="0">
      <text>
        <r>
          <rPr>
            <sz val="10"/>
            <rFont val="Arial"/>
            <family val="2"/>
          </rPr>
          <t xml:space="preserve">2/5 — médiocre
Le bois couvre la finesse et amplifie l'amertume (P19).
Principes de Pat : P19</t>
        </r>
      </text>
    </comment>
    <comment ref="X20" authorId="0">
      <text>
        <r>
          <rPr>
            <sz val="10"/>
            <rFont val="Arial"/>
            <family val="2"/>
          </rPr>
          <t xml:space="preserve">2/5 — médiocre
Le bois couvre la finesse et amplifie l'amertume (P19) ; acidité trop faible face au citron (P23).
Principes de Pat : P19, P23</t>
        </r>
      </text>
    </comment>
    <comment ref="X21" authorId="0">
      <text>
        <r>
          <rPr>
            <sz val="10"/>
            <rFont val="Arial"/>
            <family val="2"/>
          </rPr>
          <t xml:space="preserve">1/5 — pas bon du tout
Acidité trop faible face au citron (P23) ; le bois couvre la finesse et amplifie l'amertume (P19).
Principes de Pat : P23, P19</t>
        </r>
      </text>
    </comment>
    <comment ref="X22" authorId="0">
      <text>
        <r>
          <rPr>
            <sz val="10"/>
            <rFont val="Arial"/>
            <family val="2"/>
          </rPr>
          <t xml:space="preserve">1/5 — pas bon du tout
Acidité trop faible face au citron (P23) ; le bois couvre la finesse et amplifie l'amertume (P19).
Principes de Pat : P23, P19</t>
        </r>
      </text>
    </comment>
    <comment ref="X23" authorId="0">
      <text>
        <r>
          <rPr>
            <sz val="10"/>
            <rFont val="Arial"/>
            <family val="2"/>
          </rPr>
          <t xml:space="preserve">4/5 — très bon
Notes herbacées en miroir de la sauge (P25) ; acidité trop faible face au citron (P23) ; la sauce au citron plafonne l'accord (P11, P35).
Principes de Pat : P25, P23, P11, P35</t>
        </r>
      </text>
    </comment>
    <comment ref="X24" authorId="0">
      <text>
        <r>
          <rPr>
            <sz val="10"/>
            <rFont val="Arial"/>
            <family val="2"/>
          </rPr>
          <t xml:space="preserve">4/5 — très bon
Blanc tendu, léger, sans bois : profil qui convient, sans point d'ancrage décisif (P20, P23) ; la sauce au citron plafonne l'accord (P11, P35).
Principes de Pat : P20, P23, P11, P35</t>
        </r>
      </text>
    </comment>
    <comment ref="X25" authorId="0">
      <text>
        <r>
          <rPr>
            <sz val="10"/>
            <rFont val="Arial"/>
            <family val="2"/>
          </rPr>
          <t xml:space="preserve">2/5 — médiocre
Le bois couvre la finesse et amplifie l'amertume (P19) ; acidité trop faible face au citron (P23).
Principes de Pat : P19, P23</t>
        </r>
      </text>
    </comment>
    <comment ref="X26" authorId="0">
      <text>
        <r>
          <rPr>
            <sz val="10"/>
            <rFont val="Arial"/>
            <family val="2"/>
          </rPr>
          <t xml:space="preserve">4/5 — très bon
Notes herbacées en miroir de la sauge (P25) ; le bois couvre la finesse et amplifie l'amertume (P19) ; la sauce au citron plafonne l'accord (P11, P35).
Principes de Pat : P25, P19, P11, P35</t>
        </r>
      </text>
    </comment>
    <comment ref="X27" authorId="0">
      <text>
        <r>
          <rPr>
            <sz val="10"/>
            <rFont val="Arial"/>
            <family val="2"/>
          </rPr>
          <t xml:space="preserve">4/5 — très bon
Blanc tendu, léger, sans bois : profil qui convient, sans point d'ancrage décisif (P20, P23) ; la sauce au citron plafonne l'accord (P11, P35).
Principes de Pat : P20, P23, P11, P35</t>
        </r>
      </text>
    </comment>
    <comment ref="X29" authorId="0">
      <text>
        <r>
          <rPr>
            <sz val="10"/>
            <rFont val="Arial"/>
            <family val="2"/>
          </rPr>
          <t xml:space="preserve">2/5 — médiocre
Rouge : son tanin durcit au contact du beurre et le citron (P3) ; seule sa légèreté limite les dégâts (P20).
Principes de Pat : P3, P20</t>
        </r>
      </text>
    </comment>
    <comment ref="X30" authorId="0">
      <text>
        <r>
          <rPr>
            <sz val="10"/>
            <rFont val="Arial"/>
            <family val="2"/>
          </rPr>
          <t xml:space="preserve">1/5 — pas bon du tout
Rouge : son tanin durcit au contact du beurre et le citron (P3).
Principes de Pat : P3</t>
        </r>
      </text>
    </comment>
    <comment ref="X31" authorId="0">
      <text>
        <r>
          <rPr>
            <sz val="10"/>
            <rFont val="Arial"/>
            <family val="2"/>
          </rPr>
          <t xml:space="preserve">1/5 — pas bon du tout
Rouge : son tanin durcit au contact du beurre et le citron (P3).
Principes de Pat : P3</t>
        </r>
      </text>
    </comment>
    <comment ref="X32" authorId="0">
      <text>
        <r>
          <rPr>
            <sz val="10"/>
            <rFont val="Arial"/>
            <family val="2"/>
          </rPr>
          <t xml:space="preserve">2/5 — médiocre
Rouge : son tanin durcit au contact du beurre et le citron (P3) ; seule sa légèreté limite les dégâts (P20).
Principes de Pat : P3, P20</t>
        </r>
      </text>
    </comment>
    <comment ref="X33" authorId="0">
      <text>
        <r>
          <rPr>
            <sz val="10"/>
            <rFont val="Arial"/>
            <family val="2"/>
          </rPr>
          <t xml:space="preserve">1/5 — pas bon du tout
Rouge : son tanin durcit au contact du beurre et le citron (P3).
Principes de Pat : P3</t>
        </r>
      </text>
    </comment>
    <comment ref="X34" authorId="0">
      <text>
        <r>
          <rPr>
            <sz val="10"/>
            <rFont val="Arial"/>
            <family val="2"/>
          </rPr>
          <t xml:space="preserve">1/5 — pas bon du tout
Rouge : son tanin durcit au contact du beurre et le citron (P3).
Principes de Pat : P3</t>
        </r>
      </text>
    </comment>
    <comment ref="X35" authorId="0">
      <text>
        <r>
          <rPr>
            <sz val="10"/>
            <rFont val="Arial"/>
            <family val="2"/>
          </rPr>
          <t xml:space="preserve">1/5 — pas bon du tout
Rouge : son tanin durcit au contact du beurre et le citron (P3).
Principes de Pat : P3</t>
        </r>
      </text>
    </comment>
    <comment ref="X36" authorId="0">
      <text>
        <r>
          <rPr>
            <sz val="10"/>
            <rFont val="Arial"/>
            <family val="2"/>
          </rPr>
          <t xml:space="preserve">1/5 — pas bon du tout
Rouge : son tanin durcit au contact du beurre et le citron (P3).
Principes de Pat : P3</t>
        </r>
      </text>
    </comment>
    <comment ref="X37" authorId="0">
      <text>
        <r>
          <rPr>
            <sz val="10"/>
            <rFont val="Arial"/>
            <family val="2"/>
          </rPr>
          <t xml:space="preserve">1/5 — pas bon du tout
Rouge : son tanin durcit au contact du beurre et le citron (P3).
Principes de Pat : P3</t>
        </r>
      </text>
    </comment>
    <comment ref="X38" authorId="0">
      <text>
        <r>
          <rPr>
            <sz val="10"/>
            <rFont val="Arial"/>
            <family val="2"/>
          </rPr>
          <t xml:space="preserve">2/5 — médiocre
Rouge : son tanin durcit au contact du beurre et le citron (P3) ; seule sa légèreté limite les dégâts (P20).
Principes de Pat : P3, P20</t>
        </r>
      </text>
    </comment>
    <comment ref="X39" authorId="0">
      <text>
        <r>
          <rPr>
            <sz val="10"/>
            <rFont val="Arial"/>
            <family val="2"/>
          </rPr>
          <t xml:space="preserve">2/5 — médiocre
Rouge : son tanin durcit au contact du beurre et le citron (P3) ; seule sa légèreté limite les dégâts (P20).
Principes de Pat : P3, P20</t>
        </r>
      </text>
    </comment>
    <comment ref="X40" authorId="0">
      <text>
        <r>
          <rPr>
            <sz val="10"/>
            <rFont val="Arial"/>
            <family val="2"/>
          </rPr>
          <t xml:space="preserve">1/5 — pas bon du tout
Rouge : son tanin durcit au contact du beurre et le citron (P3).
Principes de Pat : P3</t>
        </r>
      </text>
    </comment>
    <comment ref="X41" authorId="0">
      <text>
        <r>
          <rPr>
            <sz val="10"/>
            <rFont val="Arial"/>
            <family val="2"/>
          </rPr>
          <t xml:space="preserve">1/5 — pas bon du tout
Rouge : son tanin durcit au contact du beurre et le citron (P3).
Principes de Pat : P3</t>
        </r>
      </text>
    </comment>
    <comment ref="X42" authorId="0">
      <text>
        <r>
          <rPr>
            <sz val="10"/>
            <rFont val="Arial"/>
            <family val="2"/>
          </rPr>
          <t xml:space="preserve">1/5 — pas bon du tout
Rouge : son tanin durcit au contact du beurre et le citron (P3).
Principes de Pat : P3</t>
        </r>
      </text>
    </comment>
    <comment ref="X43" authorId="0">
      <text>
        <r>
          <rPr>
            <sz val="10"/>
            <rFont val="Arial"/>
            <family val="2"/>
          </rPr>
          <t xml:space="preserve">1/5 — pas bon du tout
Rouge : son tanin durcit au contact du beurre et le citron (P3).
Principes de Pat : P3</t>
        </r>
      </text>
    </comment>
    <comment ref="X44" authorId="0">
      <text>
        <r>
          <rPr>
            <sz val="10"/>
            <rFont val="Arial"/>
            <family val="2"/>
          </rPr>
          <t xml:space="preserve">1/5 — pas bon du tout
Rouge : son tanin durcit au contact du beurre et le citron (P3).
Principes de Pat : P3</t>
        </r>
      </text>
    </comment>
    <comment ref="X45" authorId="0">
      <text>
        <r>
          <rPr>
            <sz val="10"/>
            <rFont val="Arial"/>
            <family val="2"/>
          </rPr>
          <t xml:space="preserve">1/5 — pas bon du tout
Rouge : son tanin durcit au contact du beurre et le citron (P3).
Principes de Pat : P3</t>
        </r>
      </text>
    </comment>
    <comment ref="X46" authorId="0">
      <text>
        <r>
          <rPr>
            <sz val="10"/>
            <rFont val="Arial"/>
            <family val="2"/>
          </rPr>
          <t xml:space="preserve">1/5 — pas bon du tout
Rouge : son tanin durcit au contact du beurre et le citron (P3).
Principes de Pat : P3</t>
        </r>
      </text>
    </comment>
    <comment ref="X47" authorId="0">
      <text>
        <r>
          <rPr>
            <sz val="10"/>
            <rFont val="Arial"/>
            <family val="2"/>
          </rPr>
          <t xml:space="preserve">1/5 — pas bon du tout
Rouge : son tanin durcit au contact du beurre et le citron (P3).
Principes de Pat : P3</t>
        </r>
      </text>
    </comment>
    <comment ref="X48" authorId="0">
      <text>
        <r>
          <rPr>
            <sz val="10"/>
            <rFont val="Arial"/>
            <family val="2"/>
          </rPr>
          <t xml:space="preserve">1/5 — pas bon du tout
Rouge : son tanin durcit au contact du beurre et le citron (P3).
Principes de Pat : P3</t>
        </r>
      </text>
    </comment>
    <comment ref="X49" authorId="0">
      <text>
        <r>
          <rPr>
            <sz val="10"/>
            <rFont val="Arial"/>
            <family val="2"/>
          </rPr>
          <t xml:space="preserve">1/5 — pas bon du tout
Rouge : son tanin durcit au contact du beurre et le citron (P3).
Principes de Pat : P3</t>
        </r>
      </text>
    </comment>
    <comment ref="X50" authorId="0">
      <text>
        <r>
          <rPr>
            <sz val="10"/>
            <rFont val="Arial"/>
            <family val="2"/>
          </rPr>
          <t xml:space="preserve">1/5 — pas bon du tout
Rouge : son tanin durcit au contact du beurre et le citron (P3).
Principes de Pat : P3</t>
        </r>
      </text>
    </comment>
    <comment ref="X51" authorId="0">
      <text>
        <r>
          <rPr>
            <sz val="10"/>
            <rFont val="Arial"/>
            <family val="2"/>
          </rPr>
          <t xml:space="preserve">1/5 — pas bon du tout
Rouge : son tanin durcit au contact du beurre et le citron (P3).
Principes de Pat : P3</t>
        </r>
      </text>
    </comment>
    <comment ref="X52" authorId="0">
      <text>
        <r>
          <rPr>
            <sz val="10"/>
            <rFont val="Arial"/>
            <family val="2"/>
          </rPr>
          <t xml:space="preserve">1/5 — pas bon du tout
Rouge : son tanin durcit au contact du beurre et le citron (P3).
Principes de Pat : P3</t>
        </r>
      </text>
    </comment>
    <comment ref="X53" authorId="0">
      <text>
        <r>
          <rPr>
            <sz val="10"/>
            <rFont val="Arial"/>
            <family val="2"/>
          </rPr>
          <t xml:space="preserve">1/5 — pas bon du tout
Rouge : son tanin durcit au contact du beurre et le citron (P3).
Principes de Pat : P3</t>
        </r>
      </text>
    </comment>
    <comment ref="X54" authorId="0">
      <text>
        <r>
          <rPr>
            <sz val="10"/>
            <rFont val="Arial"/>
            <family val="2"/>
          </rPr>
          <t xml:space="preserve">1/5 — pas bon du tout
Rouge : son tanin durcit au contact du beurre et le citron (P3).
Principes de Pat : P3</t>
        </r>
      </text>
    </comment>
    <comment ref="X55" authorId="0">
      <text>
        <r>
          <rPr>
            <sz val="10"/>
            <rFont val="Arial"/>
            <family val="2"/>
          </rPr>
          <t xml:space="preserve">1/5 — pas bon du tout
Rouge : son tanin durcit au contact du beurre et le citron (P3).
Principes de Pat : P3</t>
        </r>
      </text>
    </comment>
    <comment ref="X56" authorId="0">
      <text>
        <r>
          <rPr>
            <sz val="10"/>
            <rFont val="Arial"/>
            <family val="2"/>
          </rPr>
          <t xml:space="preserve">1/5 — pas bon du tout
Rouge : son tanin durcit au contact du beurre et le citron (P3).
Principes de Pat : P3</t>
        </r>
      </text>
    </comment>
    <comment ref="X57" authorId="0">
      <text>
        <r>
          <rPr>
            <sz val="10"/>
            <rFont val="Arial"/>
            <family val="2"/>
          </rPr>
          <t xml:space="preserve">1/5 — pas bon du tout
Rouge : son tanin durcit au contact du beurre et le citron (P3).
Principes de Pat : P3</t>
        </r>
      </text>
    </comment>
    <comment ref="X58" authorId="0">
      <text>
        <r>
          <rPr>
            <sz val="10"/>
            <rFont val="Arial"/>
            <family val="2"/>
          </rPr>
          <t xml:space="preserve">2/5 — médiocre
Rouge : son tanin durcit au contact du beurre et le citron (P3) ; seule sa légèreté limite les dégâts (P20).
Principes de Pat : P3, P20</t>
        </r>
      </text>
    </comment>
    <comment ref="X59" authorId="0">
      <text>
        <r>
          <rPr>
            <sz val="10"/>
            <rFont val="Arial"/>
            <family val="2"/>
          </rPr>
          <t xml:space="preserve">1/5 — pas bon du tout
Rouge : son tanin durcit au contact du beurre et le citron (P3).
Principes de Pat : P3</t>
        </r>
      </text>
    </comment>
    <comment ref="X60" authorId="0">
      <text>
        <r>
          <rPr>
            <sz val="10"/>
            <rFont val="Arial"/>
            <family val="2"/>
          </rPr>
          <t xml:space="preserve">1/5 — pas bon du tout
Rouge : son tanin durcit au contact du beurre et le citron (P3).
Principes de Pat : P3</t>
        </r>
      </text>
    </comment>
    <comment ref="X61" authorId="0">
      <text>
        <r>
          <rPr>
            <sz val="10"/>
            <rFont val="Arial"/>
            <family val="2"/>
          </rPr>
          <t xml:space="preserve">1/5 — pas bon du tout
Rouge : son tanin durcit au contact du beurre et le citron (P3).
Principes de Pat : P3</t>
        </r>
      </text>
    </comment>
    <comment ref="X62" authorId="0">
      <text>
        <r>
          <rPr>
            <sz val="10"/>
            <rFont val="Arial"/>
            <family val="2"/>
          </rPr>
          <t xml:space="preserve">1/5 — pas bon du tout
Rouge : son tanin durcit au contact du beurre et le citron (P3).
Principes de Pat : P3</t>
        </r>
      </text>
    </comment>
    <comment ref="X63" authorId="0">
      <text>
        <r>
          <rPr>
            <sz val="10"/>
            <rFont val="Arial"/>
            <family val="2"/>
          </rPr>
          <t xml:space="preserve">1/5 — pas bon du tout
Rouge : son tanin durcit au contact du beurre et le citron (P3).
Principes de Pat : P3</t>
        </r>
      </text>
    </comment>
    <comment ref="X64" authorId="0">
      <text>
        <r>
          <rPr>
            <sz val="10"/>
            <rFont val="Arial"/>
            <family val="2"/>
          </rPr>
          <t xml:space="preserve">1/5 — pas bon du tout
Rouge : son tanin durcit au contact du beurre et le citron (P3).
Principes de Pat : P3</t>
        </r>
      </text>
    </comment>
    <comment ref="X65" authorId="0">
      <text>
        <r>
          <rPr>
            <sz val="10"/>
            <rFont val="Arial"/>
            <family val="2"/>
          </rPr>
          <t xml:space="preserve">1/5 — pas bon du tout
Rouge : son tanin durcit au contact du beurre et le citron (P3).
Principes de Pat : P3</t>
        </r>
      </text>
    </comment>
    <comment ref="X66" authorId="0">
      <text>
        <r>
          <rPr>
            <sz val="10"/>
            <rFont val="Arial"/>
            <family val="2"/>
          </rPr>
          <t xml:space="preserve">1/5 — pas bon du tout
Rouge : son tanin durcit au contact du beurre et le citron (P3).
Principes de Pat : P3</t>
        </r>
      </text>
    </comment>
    <comment ref="X67" authorId="0">
      <text>
        <r>
          <rPr>
            <sz val="10"/>
            <rFont val="Arial"/>
            <family val="2"/>
          </rPr>
          <t xml:space="preserve">1/5 — pas bon du tout
Rouge : son tanin durcit au contact du beurre et le citron (P3).
Principes de Pat : P3</t>
        </r>
      </text>
    </comment>
    <comment ref="X68" authorId="0">
      <text>
        <r>
          <rPr>
            <sz val="10"/>
            <rFont val="Arial"/>
            <family val="2"/>
          </rPr>
          <t xml:space="preserve">1/5 — pas bon du tout
Rouge : son tanin durcit au contact du beurre et le citron (P3).
Principes de Pat : P3</t>
        </r>
      </text>
    </comment>
    <comment ref="X70" authorId="0">
      <text>
        <r>
          <rPr>
            <sz val="10"/>
            <rFont val="Arial"/>
            <family val="2"/>
          </rPr>
          <t xml:space="preserve">3/5 — correct
Acidité trop faible face au citron (P23).
Principes de Pat : P23</t>
        </r>
      </text>
    </comment>
    <comment ref="X71" authorId="0">
      <text>
        <r>
          <rPr>
            <sz val="10"/>
            <rFont val="Arial"/>
            <family val="2"/>
          </rPr>
          <t xml:space="preserve">3/5 — correct
Acidité trop faible face au citron (P23).
Principes de Pat : P23</t>
        </r>
      </text>
    </comment>
    <comment ref="X73" authorId="0">
      <text>
        <r>
          <rPr>
            <sz val="10"/>
            <rFont val="Arial"/>
            <family val="2"/>
          </rPr>
          <t xml:space="preserve">3/5 — correct
Acidité trop faible face au citron (P23).
Principes de Pat : P23</t>
        </r>
      </text>
    </comment>
    <comment ref="X74" authorId="0">
      <text>
        <r>
          <rPr>
            <sz val="10"/>
            <rFont val="Arial"/>
            <family val="2"/>
          </rPr>
          <t xml:space="preserve">4/5 — très bon
Effervescent vineux : profil qui convient, sans point d'ancrage décisif (P20, P23) ; la sauce au citron plafonne l'accord (P11, P35).
Principes de Pat : P20, P23, P11, P35</t>
        </r>
      </text>
    </comment>
    <comment ref="X75" authorId="0">
      <text>
        <r>
          <rPr>
            <sz val="10"/>
            <rFont val="Arial"/>
            <family val="2"/>
          </rPr>
          <t xml:space="preserve">4/5 — très bon
Effervescent vineux : profil qui convient, sans point d'ancrage décisif (P20, P23) ; la sauce au citron plafonne l'accord (P11, P35).
Principes de Pat : P20, P23, P11, P35</t>
        </r>
      </text>
    </comment>
    <comment ref="X76" authorId="0">
      <text>
        <r>
          <rPr>
            <sz val="10"/>
            <rFont val="Arial"/>
            <family val="2"/>
          </rPr>
          <t xml:space="preserve">2/5 — médiocre
Tanin trop présent pour le beurre et le citron (P3) ; acidité trop faible face au citron (P23).
Principes de Pat : P3, P23</t>
        </r>
      </text>
    </comment>
    <comment ref="X77" authorId="0">
      <text>
        <r>
          <rPr>
            <sz val="10"/>
            <rFont val="Arial"/>
            <family val="2"/>
          </rPr>
          <t xml:space="preserve">4/5 — très bon
Effervescent blanc de blancs : profil qui convient, sans point d'ancrage décisif (P20, P23) ; la sauce au citron plafonne l'accord (P11, P35).
Principes de Pat : P20, P23, P11, P35</t>
        </r>
      </text>
    </comment>
    <comment ref="X78" authorId="0">
      <text>
        <r>
          <rPr>
            <sz val="10"/>
            <rFont val="Arial"/>
            <family val="2"/>
          </rPr>
          <t xml:space="preserve">4/5 — très bon
Effervescent blanc de blancs : profil qui convient, sans point d'ancrage décisif (P20, P23) ; la sauce au citron plafonne l'accord (P11, P35).
Principes de Pat : P20, P23, P11, P35</t>
        </r>
      </text>
    </comment>
    <comment ref="X79" authorId="0">
      <text>
        <r>
          <rPr>
            <sz val="10"/>
            <rFont val="Arial"/>
            <family val="2"/>
          </rPr>
          <t xml:space="preserve">4/5 — très bon
Effervescent vineux : profil qui convient, sans point d'ancrage décisif (P20, P23) ; la sauce au citron plafonne l'accord (P11, P35).
Principes de Pat : P20, P23, P11, P35</t>
        </r>
      </text>
    </comment>
    <comment ref="X81" authorId="0">
      <text>
        <r>
          <rPr>
            <sz val="10"/>
            <rFont val="Arial"/>
            <family val="2"/>
          </rPr>
          <t xml:space="preserve">1/5 — pas bon du tout
Liquoreux hors de propos sur un plat salé qui n'appelle pas de sucre (P20, P4).
Principes de Pat : P20, P4</t>
        </r>
      </text>
    </comment>
    <comment ref="Y7" authorId="0">
      <text>
        <r>
          <rPr>
            <sz val="10"/>
            <rFont val="Arial"/>
            <family val="2"/>
          </rPr>
          <t xml:space="preserve">3/5 — correct
Trop léger, il disparaît derrière le plat (P20).
Principes de Pat : P20</t>
        </r>
      </text>
    </comment>
    <comment ref="Y8" authorId="0">
      <text>
        <r>
          <rPr>
            <sz val="10"/>
            <rFont val="Arial"/>
            <family val="2"/>
          </rPr>
          <t xml:space="preserve">4/5 — très bon
Blanc tendu, de poids moyen, sans bois : profil qui convient, sans point d'ancrage décisif (P20, P3).
Principes de Pat : P20, P3</t>
        </r>
      </text>
    </comment>
    <comment ref="Y9" authorId="0">
      <text>
        <r>
          <rPr>
            <sz val="10"/>
            <rFont val="Arial"/>
            <family val="2"/>
          </rPr>
          <t xml:space="preserve">4/5 — très bon
Blanc tendu, de poids moyen, sans bois : profil qui convient, sans point d'ancrage décisif (P20, P3).
Principes de Pat : P20, P3</t>
        </r>
      </text>
    </comment>
    <comment ref="Y10" authorId="0">
      <text>
        <r>
          <rPr>
            <sz val="10"/>
            <rFont val="Arial"/>
            <family val="2"/>
          </rPr>
          <t xml:space="preserve">4/5 — très bon
Blanc tendu, de poids moyen, boisé : profil qui convient, sans point d'ancrage décisif (P20, P3).
Principes de Pat : P20, P3</t>
        </r>
      </text>
    </comment>
    <comment ref="Y11" authorId="0">
      <text>
        <r>
          <rPr>
            <sz val="10"/>
            <rFont val="Arial"/>
            <family val="2"/>
          </rPr>
          <t xml:space="preserve">3/5 — correct
Trop léger, il disparaît derrière le plat (P20).
Principes de Pat : P20</t>
        </r>
      </text>
    </comment>
    <comment ref="Y12" authorId="0">
      <text>
        <r>
          <rPr>
            <sz val="10"/>
            <rFont val="Arial"/>
            <family val="2"/>
          </rPr>
          <t xml:space="preserve">4/5 — très bon
Blanc souple, de poids moyen, peu boisé : profil qui convient, sans point d'ancrage décisif (P20, P3).
Principes de Pat : P20, P3</t>
        </r>
      </text>
    </comment>
    <comment ref="Y13" authorId="0">
      <text>
        <r>
          <rPr>
            <sz val="10"/>
            <rFont val="Arial"/>
            <family val="2"/>
          </rPr>
          <t xml:space="preserve">3/5 — correct
Trop léger, il disparaît derrière le plat (P20).
Principes de Pat : P20</t>
        </r>
      </text>
    </comment>
    <comment ref="Y14" authorId="0">
      <text>
        <r>
          <rPr>
            <sz val="10"/>
            <rFont val="Arial"/>
            <family val="2"/>
          </rPr>
          <t xml:space="preserve">5/5 — accord parfait
Blanc ample et patiné en miroir des morilles ; bois fondu à sa place sur la crème (P25, P19).
Principes de Pat : P25, P19</t>
        </r>
      </text>
    </comment>
    <comment ref="Y15" authorId="0">
      <text>
        <r>
          <rPr>
            <sz val="10"/>
            <rFont val="Arial"/>
            <family val="2"/>
          </rPr>
          <t xml:space="preserve">4/5 — très bon
Blanc tendu, ample, boisé, patiné : profil qui convient, sans point d'ancrage décisif (P20, P3).
Principes de Pat : P20, P3</t>
        </r>
      </text>
    </comment>
    <comment ref="Y16" authorId="0">
      <text>
        <r>
          <rPr>
            <sz val="10"/>
            <rFont val="Arial"/>
            <family val="2"/>
          </rPr>
          <t xml:space="preserve">4/5 — très bon
Blanc souple, ample, boisé : profil qui convient, sans point d'ancrage décisif (P20, P3).
Principes de Pat : P20, P3</t>
        </r>
      </text>
    </comment>
    <comment ref="Y17" authorId="0">
      <text>
        <r>
          <rPr>
            <sz val="10"/>
            <rFont val="Arial"/>
            <family val="2"/>
          </rPr>
          <t xml:space="preserve">5/5 — accord parfait
Blanc ample et patiné en miroir des morilles ; bois fondu à sa place sur la crème (P25, P19).
Principes de Pat : P25, P19</t>
        </r>
      </text>
    </comment>
    <comment ref="Y18" authorId="0">
      <text>
        <r>
          <rPr>
            <sz val="10"/>
            <rFont val="Arial"/>
            <family val="2"/>
          </rPr>
          <t xml:space="preserve">5/5 — accord parfait
Blanc ample et patiné en miroir des morilles ; bois fondu à sa place sur la crème (P25, P19).
Principes de Pat : P25, P19</t>
        </r>
      </text>
    </comment>
    <comment ref="Y19" authorId="0">
      <text>
        <r>
          <rPr>
            <sz val="10"/>
            <rFont val="Arial"/>
            <family val="2"/>
          </rPr>
          <t xml:space="preserve">4/5 — très bon
Blanc tendu, ample, boisé : profil qui convient, sans point d'ancrage décisif (P20, P3).
Principes de Pat : P20, P3</t>
        </r>
      </text>
    </comment>
    <comment ref="Y20" authorId="0">
      <text>
        <r>
          <rPr>
            <sz val="10"/>
            <rFont val="Arial"/>
            <family val="2"/>
          </rPr>
          <t xml:space="preserve">4/5 — très bon
Blanc souple, ample, peu boisé : profil qui convient, sans point d'ancrage décisif (P20, P3).
Principes de Pat : P20, P3</t>
        </r>
      </text>
    </comment>
    <comment ref="Y21" authorId="0">
      <text>
        <r>
          <rPr>
            <sz val="10"/>
            <rFont val="Arial"/>
            <family val="2"/>
          </rPr>
          <t xml:space="preserve">3/5 — correct
Acidité trop faible face à la sauce crémée (P3).
Principes de Pat : P3</t>
        </r>
      </text>
    </comment>
    <comment ref="Y22" authorId="0">
      <text>
        <r>
          <rPr>
            <sz val="10"/>
            <rFont val="Arial"/>
            <family val="2"/>
          </rPr>
          <t xml:space="preserve">3/5 — correct
Acidité trop faible face à la sauce crémée (P3).
Principes de Pat : P3</t>
        </r>
      </text>
    </comment>
    <comment ref="Y23" authorId="0">
      <text>
        <r>
          <rPr>
            <sz val="10"/>
            <rFont val="Arial"/>
            <family val="2"/>
          </rPr>
          <t xml:space="preserve">3/5 — correct
Trop léger, il disparaît derrière le plat (P20).
Principes de Pat : P20</t>
        </r>
      </text>
    </comment>
    <comment ref="Y24" authorId="0">
      <text>
        <r>
          <rPr>
            <sz val="10"/>
            <rFont val="Arial"/>
            <family val="2"/>
          </rPr>
          <t xml:space="preserve">3/5 — correct
Trop léger, il disparaît derrière le plat (P20).
Principes de Pat : P20</t>
        </r>
      </text>
    </comment>
    <comment ref="Y25" authorId="0">
      <text>
        <r>
          <rPr>
            <sz val="10"/>
            <rFont val="Arial"/>
            <family val="2"/>
          </rPr>
          <t xml:space="preserve">4/5 — très bon
Blanc souple, ample, peu boisé : profil qui convient, sans point d'ancrage décisif (P20, P3).
Principes de Pat : P20, P3</t>
        </r>
      </text>
    </comment>
    <comment ref="Y26" authorId="0">
      <text>
        <r>
          <rPr>
            <sz val="10"/>
            <rFont val="Arial"/>
            <family val="2"/>
          </rPr>
          <t xml:space="preserve">4/5 — très bon
Blanc tendu, de poids moyen, peu boisé : profil qui convient, sans point d'ancrage décisif (P20, P3).
Principes de Pat : P20, P3</t>
        </r>
      </text>
    </comment>
    <comment ref="Y27" authorId="0">
      <text>
        <r>
          <rPr>
            <sz val="10"/>
            <rFont val="Arial"/>
            <family val="2"/>
          </rPr>
          <t xml:space="preserve">3/5 — correct
Trop léger, il disparaît derrière le plat (P20).
Principes de Pat : P20</t>
        </r>
      </text>
    </comment>
    <comment ref="Y29" authorId="0">
      <text>
        <r>
          <rPr>
            <sz val="10"/>
            <rFont val="Arial"/>
            <family val="2"/>
          </rPr>
          <t xml:space="preserve">3/5 — correct
Trop léger, il disparaît derrière le plat (P20).
Principes de Pat : P20</t>
        </r>
      </text>
    </comment>
    <comment ref="Y30" authorId="0">
      <text>
        <r>
          <rPr>
            <sz val="10"/>
            <rFont val="Arial"/>
            <family val="2"/>
          </rPr>
          <t xml:space="preserve">4/5 — très bon
Rouge de poids moyen aux tanins fins : profil qui convient, sans point d'ancrage décisif (P20, P30).
Principes de Pat : P20, P30</t>
        </r>
      </text>
    </comment>
    <comment ref="Y31" authorId="0">
      <text>
        <r>
          <rPr>
            <sz val="10"/>
            <rFont val="Arial"/>
            <family val="2"/>
          </rPr>
          <t xml:space="preserve">4/5 — très bon
Rouge puissant aux tanins fondus, patiné : profil qui convient, sans point d'ancrage décisif (P20, P30).
Principes de Pat : P20, P30</t>
        </r>
      </text>
    </comment>
    <comment ref="Y32" authorId="0">
      <text>
        <r>
          <rPr>
            <sz val="10"/>
            <rFont val="Arial"/>
            <family val="2"/>
          </rPr>
          <t xml:space="preserve">3/5 — correct
Trop léger, il disparaît derrière le plat (P20).
Principes de Pat : P20</t>
        </r>
      </text>
    </comment>
    <comment ref="Y33" authorId="0">
      <text>
        <r>
          <rPr>
            <sz val="10"/>
            <rFont val="Arial"/>
            <family val="2"/>
          </rPr>
          <t xml:space="preserve">4/5 — très bon
Rouge de poids moyen aux tanins fins : profil qui convient, sans point d'ancrage décisif (P20, P30).
Principes de Pat : P20, P30</t>
        </r>
      </text>
    </comment>
    <comment ref="Y34" authorId="0">
      <text>
        <r>
          <rPr>
            <sz val="10"/>
            <rFont val="Arial"/>
            <family val="2"/>
          </rPr>
          <t xml:space="preserve">3/5 — correct
Tanin trop présent pour l'amertume des chiconettes (P30).
Principes de Pat : P30</t>
        </r>
      </text>
    </comment>
    <comment ref="Y35" authorId="0">
      <text>
        <r>
          <rPr>
            <sz val="10"/>
            <rFont val="Arial"/>
            <family val="2"/>
          </rPr>
          <t xml:space="preserve">3/5 — correct
Tanin trop présent pour l'amertume des chiconettes (P30).
Principes de Pat : P30</t>
        </r>
      </text>
    </comment>
    <comment ref="Y36" authorId="0">
      <text>
        <r>
          <rPr>
            <sz val="10"/>
            <rFont val="Arial"/>
            <family val="2"/>
          </rPr>
          <t xml:space="preserve">2/5 — médiocre
Tanin trop présent pour l'amertume des chiconettes (P30).
Principes de Pat : P30</t>
        </r>
      </text>
    </comment>
    <comment ref="Y37" authorId="0">
      <text>
        <r>
          <rPr>
            <sz val="10"/>
            <rFont val="Arial"/>
            <family val="2"/>
          </rPr>
          <t xml:space="preserve">2/5 — médiocre
Tanin trop présent pour l'amertume des chiconettes (P30) ; le bois couvre la finesse et amplifie l'amertume (P19).
Principes de Pat : P30, P19</t>
        </r>
      </text>
    </comment>
    <comment ref="Y38" authorId="0">
      <text>
        <r>
          <rPr>
            <sz val="10"/>
            <rFont val="Arial"/>
            <family val="2"/>
          </rPr>
          <t xml:space="preserve">3/5 — correct
Trop léger, il disparaît derrière le plat (P20).
Principes de Pat : P20</t>
        </r>
      </text>
    </comment>
    <comment ref="Y39" authorId="0">
      <text>
        <r>
          <rPr>
            <sz val="10"/>
            <rFont val="Arial"/>
            <family val="2"/>
          </rPr>
          <t xml:space="preserve">3/5 — correct
Trop léger, il disparaît derrière le plat (P20).
Principes de Pat : P20</t>
        </r>
      </text>
    </comment>
    <comment ref="Y40" authorId="0">
      <text>
        <r>
          <rPr>
            <sz val="10"/>
            <rFont val="Arial"/>
            <family val="2"/>
          </rPr>
          <t xml:space="preserve">3/5 — correct
Tanin trop présent pour l'amertume des chiconettes (P30).
Principes de Pat : P30</t>
        </r>
      </text>
    </comment>
    <comment ref="Y41" authorId="0">
      <text>
        <r>
          <rPr>
            <sz val="10"/>
            <rFont val="Arial"/>
            <family val="2"/>
          </rPr>
          <t xml:space="preserve">3/5 — correct
Tanin trop présent pour l'amertume des chiconettes (P30).
Principes de Pat : P30</t>
        </r>
      </text>
    </comment>
    <comment ref="Y42" authorId="0">
      <text>
        <r>
          <rPr>
            <sz val="10"/>
            <rFont val="Arial"/>
            <family val="2"/>
          </rPr>
          <t xml:space="preserve">3/5 — correct
Tanin trop présent pour l'amertume des chiconettes (P30).
Principes de Pat : P30</t>
        </r>
      </text>
    </comment>
    <comment ref="Y43" authorId="0">
      <text>
        <r>
          <rPr>
            <sz val="10"/>
            <rFont val="Arial"/>
            <family val="2"/>
          </rPr>
          <t xml:space="preserve">3/5 — correct
Tanin trop présent pour l'amertume des chiconettes (P30).
Principes de Pat : P30</t>
        </r>
      </text>
    </comment>
    <comment ref="Y44" authorId="0">
      <text>
        <r>
          <rPr>
            <sz val="10"/>
            <rFont val="Arial"/>
            <family val="2"/>
          </rPr>
          <t xml:space="preserve">3/5 — correct
Tanin trop présent pour l'amertume des chiconettes (P30).
Principes de Pat : P30</t>
        </r>
      </text>
    </comment>
    <comment ref="Y45" authorId="0">
      <text>
        <r>
          <rPr>
            <sz val="10"/>
            <rFont val="Arial"/>
            <family val="2"/>
          </rPr>
          <t xml:space="preserve">3/5 — correct
Tanin trop présent pour l'amertume des chiconettes (P30).
Principes de Pat : P30</t>
        </r>
      </text>
    </comment>
    <comment ref="Y46" authorId="0">
      <text>
        <r>
          <rPr>
            <sz val="10"/>
            <rFont val="Arial"/>
            <family val="2"/>
          </rPr>
          <t xml:space="preserve">3/5 — correct
Tanin trop présent pour l'amertume des chiconettes (P30).
Principes de Pat : P30</t>
        </r>
      </text>
    </comment>
    <comment ref="Y47" authorId="0">
      <text>
        <r>
          <rPr>
            <sz val="10"/>
            <rFont val="Arial"/>
            <family val="2"/>
          </rPr>
          <t xml:space="preserve">3/5 — correct
Tanin trop présent pour l'amertume des chiconettes (P30).
Principes de Pat : P30</t>
        </r>
      </text>
    </comment>
    <comment ref="Y48" authorId="0">
      <text>
        <r>
          <rPr>
            <sz val="10"/>
            <rFont val="Arial"/>
            <family val="2"/>
          </rPr>
          <t xml:space="preserve">1/5 — pas bon du tout
Tanin trop présent pour l'amertume des chiconettes (P30) ; le bois couvre la finesse et amplifie l'amertume (P19).
Principes de Pat : P30, P19</t>
        </r>
      </text>
    </comment>
    <comment ref="Y49" authorId="0">
      <text>
        <r>
          <rPr>
            <sz val="10"/>
            <rFont val="Arial"/>
            <family val="2"/>
          </rPr>
          <t xml:space="preserve">1/5 — pas bon du tout
Tanin trop présent pour l'amertume des chiconettes (P30) ; le bois couvre la finesse et amplifie l'amertume (P19).
Principes de Pat : P30, P19</t>
        </r>
      </text>
    </comment>
    <comment ref="Y50" authorId="0">
      <text>
        <r>
          <rPr>
            <sz val="10"/>
            <rFont val="Arial"/>
            <family val="2"/>
          </rPr>
          <t xml:space="preserve">1/5 — pas bon du tout
Tanin trop présent pour l'amertume des chiconettes (P30) ; le bois couvre la finesse et amplifie l'amertume (P19).
Principes de Pat : P30, P19</t>
        </r>
      </text>
    </comment>
    <comment ref="Y51" authorId="0">
      <text>
        <r>
          <rPr>
            <sz val="10"/>
            <rFont val="Arial"/>
            <family val="2"/>
          </rPr>
          <t xml:space="preserve">4/5 — très bon
Rouge de poids moyen aux tanins fondus, patiné : profil qui convient, sans point d'ancrage décisif (P20, P30).
Principes de Pat : P20, P30</t>
        </r>
      </text>
    </comment>
    <comment ref="Y52" authorId="0">
      <text>
        <r>
          <rPr>
            <sz val="10"/>
            <rFont val="Arial"/>
            <family val="2"/>
          </rPr>
          <t xml:space="preserve">3/5 — correct
Tanin trop présent pour l'amertume des chiconettes (P30).
Principes de Pat : P30</t>
        </r>
      </text>
    </comment>
    <comment ref="Y53" authorId="0">
      <text>
        <r>
          <rPr>
            <sz val="10"/>
            <rFont val="Arial"/>
            <family val="2"/>
          </rPr>
          <t xml:space="preserve">3/5 — correct
Tanin trop présent pour l'amertume des chiconettes (P30).
Principes de Pat : P30</t>
        </r>
      </text>
    </comment>
    <comment ref="Y54" authorId="0">
      <text>
        <r>
          <rPr>
            <sz val="10"/>
            <rFont val="Arial"/>
            <family val="2"/>
          </rPr>
          <t xml:space="preserve">2/5 — médiocre
Tanin trop présent pour l'amertume des chiconettes (P30).
Principes de Pat : P30</t>
        </r>
      </text>
    </comment>
    <comment ref="Y55" authorId="0">
      <text>
        <r>
          <rPr>
            <sz val="10"/>
            <rFont val="Arial"/>
            <family val="2"/>
          </rPr>
          <t xml:space="preserve">2/5 — médiocre
Tanin trop présent pour l'amertume des chiconettes (P30).
Principes de Pat : P30</t>
        </r>
      </text>
    </comment>
    <comment ref="Y56" authorId="0">
      <text>
        <r>
          <rPr>
            <sz val="10"/>
            <rFont val="Arial"/>
            <family val="2"/>
          </rPr>
          <t xml:space="preserve">4/5 — très bon
Rouge de poids moyen aux tanins fondus, patiné : profil qui convient, sans point d'ancrage décisif (P20, P30).
Principes de Pat : P20, P30</t>
        </r>
      </text>
    </comment>
    <comment ref="Y57" authorId="0">
      <text>
        <r>
          <rPr>
            <sz val="10"/>
            <rFont val="Arial"/>
            <family val="2"/>
          </rPr>
          <t xml:space="preserve">1/5 — pas bon du tout
Tanin trop présent pour l'amertume des chiconettes (P30) ; le bois couvre la finesse et amplifie l'amertume (P19).
Principes de Pat : P30, P19</t>
        </r>
      </text>
    </comment>
    <comment ref="Y58" authorId="0">
      <text>
        <r>
          <rPr>
            <sz val="10"/>
            <rFont val="Arial"/>
            <family val="2"/>
          </rPr>
          <t xml:space="preserve">3/5 — correct
Trop léger, il disparaît derrière le plat (P20).
Principes de Pat : P20</t>
        </r>
      </text>
    </comment>
    <comment ref="Y59" authorId="0">
      <text>
        <r>
          <rPr>
            <sz val="10"/>
            <rFont val="Arial"/>
            <family val="2"/>
          </rPr>
          <t xml:space="preserve">3/5 — correct
Tanin trop présent pour l'amertume des chiconettes (P30).
Principes de Pat : P30</t>
        </r>
      </text>
    </comment>
    <comment ref="Y60" authorId="0">
      <text>
        <r>
          <rPr>
            <sz val="10"/>
            <rFont val="Arial"/>
            <family val="2"/>
          </rPr>
          <t xml:space="preserve">3/5 — correct
Tanin trop présent pour l'amertume des chiconettes (P30).
Principes de Pat : P30</t>
        </r>
      </text>
    </comment>
    <comment ref="Y61" authorId="0">
      <text>
        <r>
          <rPr>
            <sz val="10"/>
            <rFont val="Arial"/>
            <family val="2"/>
          </rPr>
          <t xml:space="preserve">3/5 — correct
Tanin trop présent pour l'amertume des chiconettes (P30).
Principes de Pat : P30</t>
        </r>
      </text>
    </comment>
    <comment ref="Y62" authorId="0">
      <text>
        <r>
          <rPr>
            <sz val="10"/>
            <rFont val="Arial"/>
            <family val="2"/>
          </rPr>
          <t xml:space="preserve">1/5 — pas bon du tout
Tanin trop présent pour l'amertume des chiconettes (P30) ; le bois couvre la finesse et amplifie l'amertume (P19).
Principes de Pat : P30, P19</t>
        </r>
      </text>
    </comment>
    <comment ref="Y63" authorId="0">
      <text>
        <r>
          <rPr>
            <sz val="10"/>
            <rFont val="Arial"/>
            <family val="2"/>
          </rPr>
          <t xml:space="preserve">1/5 — pas bon du tout
Tanin trop présent pour l'amertume des chiconettes (P30) ; le bois couvre la finesse et amplifie l'amertume (P19).
Principes de Pat : P30, P19</t>
        </r>
      </text>
    </comment>
    <comment ref="Y64" authorId="0">
      <text>
        <r>
          <rPr>
            <sz val="10"/>
            <rFont val="Arial"/>
            <family val="2"/>
          </rPr>
          <t xml:space="preserve">3/5 — correct
Tanin trop présent pour l'amertume des chiconettes (P30).
Principes de Pat : P30</t>
        </r>
      </text>
    </comment>
    <comment ref="Y65" authorId="0">
      <text>
        <r>
          <rPr>
            <sz val="10"/>
            <rFont val="Arial"/>
            <family val="2"/>
          </rPr>
          <t xml:space="preserve">1/5 — pas bon du tout
Tanin trop présent pour l'amertume des chiconettes (P30) ; le bois couvre la finesse et amplifie l'amertume (P19).
Principes de Pat : P30, P19</t>
        </r>
      </text>
    </comment>
    <comment ref="Y66" authorId="0">
      <text>
        <r>
          <rPr>
            <sz val="10"/>
            <rFont val="Arial"/>
            <family val="2"/>
          </rPr>
          <t xml:space="preserve">4/5 — très bon
Rouge de poids moyen aux tanins fondus, patiné : profil qui convient, sans point d'ancrage décisif (P20, P30).
Principes de Pat : P20, P30</t>
        </r>
      </text>
    </comment>
    <comment ref="Y67" authorId="0">
      <text>
        <r>
          <rPr>
            <sz val="10"/>
            <rFont val="Arial"/>
            <family val="2"/>
          </rPr>
          <t xml:space="preserve">3/5 — correct
Tanin trop présent pour l'amertume des chiconettes (P30).
Principes de Pat : P30</t>
        </r>
      </text>
    </comment>
    <comment ref="Y68" authorId="0">
      <text>
        <r>
          <rPr>
            <sz val="10"/>
            <rFont val="Arial"/>
            <family val="2"/>
          </rPr>
          <t xml:space="preserve">2/5 — médiocre
Tanin trop présent pour l'amertume des chiconettes (P30).
Principes de Pat : P30</t>
        </r>
      </text>
    </comment>
    <comment ref="Y70" authorId="0">
      <text>
        <r>
          <rPr>
            <sz val="10"/>
            <rFont val="Arial"/>
            <family val="2"/>
          </rPr>
          <t xml:space="preserve">3/5 — correct
Trop léger, il disparaît derrière le plat (P20).
Principes de Pat : P20</t>
        </r>
      </text>
    </comment>
    <comment ref="Y71" authorId="0">
      <text>
        <r>
          <rPr>
            <sz val="10"/>
            <rFont val="Arial"/>
            <family val="2"/>
          </rPr>
          <t xml:space="preserve">3/5 — correct
Trop léger, il disparaît derrière le plat (P20).
Principes de Pat : P20</t>
        </r>
      </text>
    </comment>
    <comment ref="Y73" authorId="0">
      <text>
        <r>
          <rPr>
            <sz val="10"/>
            <rFont val="Arial"/>
            <family val="2"/>
          </rPr>
          <t xml:space="preserve">3/5 — correct
Blanc de blancs trop fin pour la crème aux morilles (P41, P20) ; trop léger, il disparaît derrière le plat (P20).
Principes de Pat : P41, P20</t>
        </r>
      </text>
    </comment>
    <comment ref="Y74" authorId="0">
      <text>
        <r>
          <rPr>
            <sz val="10"/>
            <rFont val="Arial"/>
            <family val="2"/>
          </rPr>
          <t xml:space="preserve">4/5 — très bon
Effervescent vineux qui tient la volaille et la crème, sans miroir des morilles (P41, P25).
Principes de Pat : P41, P25</t>
        </r>
      </text>
    </comment>
    <comment ref="Y75" authorId="0">
      <text>
        <r>
          <rPr>
            <sz val="10"/>
            <rFont val="Arial"/>
            <family val="2"/>
          </rPr>
          <t xml:space="preserve">4/5 — très bon
Effervescent vineux qui tient la volaille et la crème, sans miroir des morilles (P41, P25).
Principes de Pat : P41, P25</t>
        </r>
      </text>
    </comment>
    <comment ref="Y76" authorId="0">
      <text>
        <r>
          <rPr>
            <sz val="10"/>
            <rFont val="Arial"/>
            <family val="2"/>
          </rPr>
          <t xml:space="preserve">4/5 — très bon
Effervescent vineux qui tient la volaille et la crème, sans miroir des morilles (P41, P25).
Principes de Pat : P41, P25</t>
        </r>
      </text>
    </comment>
    <comment ref="Y77" authorId="0">
      <text>
        <r>
          <rPr>
            <sz val="10"/>
            <rFont val="Arial"/>
            <family val="2"/>
          </rPr>
          <t xml:space="preserve">3/5 — correct
Blanc de blancs trop fin pour la crème aux morilles (P41, P20) ; trop léger, il disparaît derrière le plat (P20).
Principes de Pat : P41, P20</t>
        </r>
      </text>
    </comment>
    <comment ref="Y78" authorId="0">
      <text>
        <r>
          <rPr>
            <sz val="10"/>
            <rFont val="Arial"/>
            <family val="2"/>
          </rPr>
          <t xml:space="preserve">3/5 — correct
Blanc de blancs trop fin pour la crème aux morilles (P41, P20) ; trop léger, il disparaît derrière le plat (P20).
Principes de Pat : P41, P20</t>
        </r>
      </text>
    </comment>
    <comment ref="Y79" authorId="0">
      <text>
        <r>
          <rPr>
            <sz val="10"/>
            <rFont val="Arial"/>
            <family val="2"/>
          </rPr>
          <t xml:space="preserve">4/5 — très bon
Effervescent vineux qui tient la volaille et la crème, sans miroir des morilles (P41, P25).
Principes de Pat : P41, P25</t>
        </r>
      </text>
    </comment>
    <comment ref="Y81" authorId="0">
      <text>
        <r>
          <rPr>
            <sz val="10"/>
            <rFont val="Arial"/>
            <family val="2"/>
          </rPr>
          <t xml:space="preserve">1/5 — pas bon du tout
Liquoreux hors de propos sur un plat salé qui n'appelle pas de sucre (P20, P4).
Principes de Pat : P20, P4</t>
        </r>
      </text>
    </comment>
    <comment ref="Z7" authorId="0">
      <text>
        <r>
          <rPr>
            <sz val="10"/>
            <rFont val="Arial"/>
            <family val="2"/>
          </rPr>
          <t xml:space="preserve">3/5 — correct
Trop léger, il disparaît derrière le plat (P20).
Principes de Pat : P20</t>
        </r>
      </text>
    </comment>
    <comment ref="Z8" authorId="0">
      <text>
        <r>
          <rPr>
            <sz val="10"/>
            <rFont val="Arial"/>
            <family val="2"/>
          </rPr>
          <t xml:space="preserve">4/5 — très bon
Blanc tendu, de poids moyen, sans bois : profil qui convient, sans point d'ancrage décisif (P20, P3).
Principes de Pat : P20, P3</t>
        </r>
      </text>
    </comment>
    <comment ref="Z9" authorId="0">
      <text>
        <r>
          <rPr>
            <sz val="10"/>
            <rFont val="Arial"/>
            <family val="2"/>
          </rPr>
          <t xml:space="preserve">5/5 — accord parfait
Élevage sur lies : chair et acidité pour la sauce crémée (P39, P42).
Principes de Pat : P39, P42</t>
        </r>
      </text>
    </comment>
    <comment ref="Z10" authorId="0">
      <text>
        <r>
          <rPr>
            <sz val="10"/>
            <rFont val="Arial"/>
            <family val="2"/>
          </rPr>
          <t xml:space="preserve">3/5 — correct
Le bois couvre la finesse et amplifie l'amertume (P19).
Principes de Pat : P19</t>
        </r>
      </text>
    </comment>
    <comment ref="Z11" authorId="0">
      <text>
        <r>
          <rPr>
            <sz val="10"/>
            <rFont val="Arial"/>
            <family val="2"/>
          </rPr>
          <t xml:space="preserve">4/5 — très bon
Élevage sur lies : chair et acidité pour la sauce crémée (P39, P42) ; trop léger, il disparaît derrière le plat (P20).
Principes de Pat : P39, P42, P20</t>
        </r>
      </text>
    </comment>
    <comment ref="Z12" authorId="0">
      <text>
        <r>
          <rPr>
            <sz val="10"/>
            <rFont val="Arial"/>
            <family val="2"/>
          </rPr>
          <t xml:space="preserve">4/5 — très bon
Blanc souple, de poids moyen, peu boisé : profil qui convient, sans point d'ancrage décisif (P20, P3).
Principes de Pat : P20, P3</t>
        </r>
      </text>
    </comment>
    <comment ref="Z13" authorId="0">
      <text>
        <r>
          <rPr>
            <sz val="10"/>
            <rFont val="Arial"/>
            <family val="2"/>
          </rPr>
          <t xml:space="preserve">3/5 — correct
Trop léger, il disparaît derrière le plat (P20).
Principes de Pat : P20</t>
        </r>
      </text>
    </comment>
    <comment ref="Z14" authorId="0">
      <text>
        <r>
          <rPr>
            <sz val="10"/>
            <rFont val="Arial"/>
            <family val="2"/>
          </rPr>
          <t xml:space="preserve">3/5 — correct
Le bois couvre la finesse et amplifie l'amertume (P19).
Principes de Pat : P19</t>
        </r>
      </text>
    </comment>
    <comment ref="Z15" authorId="0">
      <text>
        <r>
          <rPr>
            <sz val="10"/>
            <rFont val="Arial"/>
            <family val="2"/>
          </rPr>
          <t xml:space="preserve">3/5 — correct
Le bois couvre la finesse et amplifie l'amertume (P19).
Principes de Pat : P19</t>
        </r>
      </text>
    </comment>
    <comment ref="Z16" authorId="0">
      <text>
        <r>
          <rPr>
            <sz val="10"/>
            <rFont val="Arial"/>
            <family val="2"/>
          </rPr>
          <t xml:space="preserve">3/5 — correct
Le bois couvre la finesse et amplifie l'amertume (P19).
Principes de Pat : P19</t>
        </r>
      </text>
    </comment>
    <comment ref="Z17" authorId="0">
      <text>
        <r>
          <rPr>
            <sz val="10"/>
            <rFont val="Arial"/>
            <family val="2"/>
          </rPr>
          <t xml:space="preserve">3/5 — correct
Le bois couvre la finesse et amplifie l'amertume (P19).
Principes de Pat : P19</t>
        </r>
      </text>
    </comment>
    <comment ref="Z18" authorId="0">
      <text>
        <r>
          <rPr>
            <sz val="10"/>
            <rFont val="Arial"/>
            <family val="2"/>
          </rPr>
          <t xml:space="preserve">3/5 — correct
Le bois couvre la finesse et amplifie l'amertume (P19).
Principes de Pat : P19</t>
        </r>
      </text>
    </comment>
    <comment ref="Z19" authorId="0">
      <text>
        <r>
          <rPr>
            <sz val="10"/>
            <rFont val="Arial"/>
            <family val="2"/>
          </rPr>
          <t xml:space="preserve">3/5 — correct
Le bois couvre la finesse et amplifie l'amertume (P19).
Principes de Pat : P19</t>
        </r>
      </text>
    </comment>
    <comment ref="Z20" authorId="0">
      <text>
        <r>
          <rPr>
            <sz val="10"/>
            <rFont val="Arial"/>
            <family val="2"/>
          </rPr>
          <t xml:space="preserve">4/5 — très bon
Blanc souple, ample, peu boisé : profil qui convient, sans point d'ancrage décisif (P20, P3).
Principes de Pat : P20, P3</t>
        </r>
      </text>
    </comment>
    <comment ref="Z21" authorId="0">
      <text>
        <r>
          <rPr>
            <sz val="10"/>
            <rFont val="Arial"/>
            <family val="2"/>
          </rPr>
          <t xml:space="preserve">3/5 — correct
Acidité trop faible face à la sauce crémée (P3).
Principes de Pat : P3</t>
        </r>
      </text>
    </comment>
    <comment ref="Z22" authorId="0">
      <text>
        <r>
          <rPr>
            <sz val="10"/>
            <rFont val="Arial"/>
            <family val="2"/>
          </rPr>
          <t xml:space="preserve">3/5 — correct
Acidité trop faible face à la sauce crémée (P3).
Principes de Pat : P3</t>
        </r>
      </text>
    </comment>
    <comment ref="Z23" authorId="0">
      <text>
        <r>
          <rPr>
            <sz val="10"/>
            <rFont val="Arial"/>
            <family val="2"/>
          </rPr>
          <t xml:space="preserve">3/5 — correct
Trop léger, il disparaît derrière le plat (P20).
Principes de Pat : P20</t>
        </r>
      </text>
    </comment>
    <comment ref="Z24" authorId="0">
      <text>
        <r>
          <rPr>
            <sz val="10"/>
            <rFont val="Arial"/>
            <family val="2"/>
          </rPr>
          <t xml:space="preserve">3/5 — correct
Trop léger, il disparaît derrière le plat (P20).
Principes de Pat : P20</t>
        </r>
      </text>
    </comment>
    <comment ref="Z25" authorId="0">
      <text>
        <r>
          <rPr>
            <sz val="10"/>
            <rFont val="Arial"/>
            <family val="2"/>
          </rPr>
          <t xml:space="preserve">4/5 — très bon
Blanc souple, ample, peu boisé : profil qui convient, sans point d'ancrage décisif (P20, P3).
Principes de Pat : P20, P3</t>
        </r>
      </text>
    </comment>
    <comment ref="Z26" authorId="0">
      <text>
        <r>
          <rPr>
            <sz val="10"/>
            <rFont val="Arial"/>
            <family val="2"/>
          </rPr>
          <t xml:space="preserve">4/5 — très bon
Blanc tendu, de poids moyen, peu boisé : profil qui convient, sans point d'ancrage décisif (P20, P3).
Principes de Pat : P20, P3</t>
        </r>
      </text>
    </comment>
    <comment ref="Z27" authorId="0">
      <text>
        <r>
          <rPr>
            <sz val="10"/>
            <rFont val="Arial"/>
            <family val="2"/>
          </rPr>
          <t xml:space="preserve">3/5 — correct
Trop léger, il disparaît derrière le plat (P20).
Principes de Pat : P20</t>
        </r>
      </text>
    </comment>
    <comment ref="Z29" authorId="0">
      <text>
        <r>
          <rPr>
            <sz val="10"/>
            <rFont val="Arial"/>
            <family val="2"/>
          </rPr>
          <t xml:space="preserve">2/5 — médiocre
Rouge : son tanin durcit au contact de la sauce blanche (P24) ; seule sa légèreté limite les dégâts (P20).
Principes de Pat : P24, P20</t>
        </r>
      </text>
    </comment>
    <comment ref="Z30" authorId="0">
      <text>
        <r>
          <rPr>
            <sz val="10"/>
            <rFont val="Arial"/>
            <family val="2"/>
          </rPr>
          <t xml:space="preserve">1/5 — pas bon du tout
Rouge : son tanin durcit au contact de la sauce blanche (P24).
Principes de Pat : P24</t>
        </r>
      </text>
    </comment>
    <comment ref="Z31" authorId="0">
      <text>
        <r>
          <rPr>
            <sz val="10"/>
            <rFont val="Arial"/>
            <family val="2"/>
          </rPr>
          <t xml:space="preserve">1/5 — pas bon du tout
Rouge : son tanin durcit au contact de la sauce blanche (P24).
Principes de Pat : P24</t>
        </r>
      </text>
    </comment>
    <comment ref="Z32" authorId="0">
      <text>
        <r>
          <rPr>
            <sz val="10"/>
            <rFont val="Arial"/>
            <family val="2"/>
          </rPr>
          <t xml:space="preserve">2/5 — médiocre
Rouge : son tanin durcit au contact de la sauce blanche (P24) ; seule sa légèreté limite les dégâts (P20).
Principes de Pat : P24, P20</t>
        </r>
      </text>
    </comment>
    <comment ref="Z33" authorId="0">
      <text>
        <r>
          <rPr>
            <sz val="10"/>
            <rFont val="Arial"/>
            <family val="2"/>
          </rPr>
          <t xml:space="preserve">1/5 — pas bon du tout
Rouge : son tanin durcit au contact de la sauce blanche (P24).
Principes de Pat : P24</t>
        </r>
      </text>
    </comment>
    <comment ref="Z34" authorId="0">
      <text>
        <r>
          <rPr>
            <sz val="10"/>
            <rFont val="Arial"/>
            <family val="2"/>
          </rPr>
          <t xml:space="preserve">1/5 — pas bon du tout
Rouge : son tanin durcit au contact de la sauce blanche (P24).
Principes de Pat : P24</t>
        </r>
      </text>
    </comment>
    <comment ref="Z35" authorId="0">
      <text>
        <r>
          <rPr>
            <sz val="10"/>
            <rFont val="Arial"/>
            <family val="2"/>
          </rPr>
          <t xml:space="preserve">1/5 — pas bon du tout
Rouge : son tanin durcit au contact de la sauce blanche (P24).
Principes de Pat : P24</t>
        </r>
      </text>
    </comment>
    <comment ref="Z36" authorId="0">
      <text>
        <r>
          <rPr>
            <sz val="10"/>
            <rFont val="Arial"/>
            <family val="2"/>
          </rPr>
          <t xml:space="preserve">1/5 — pas bon du tout
Rouge : son tanin durcit au contact de la sauce blanche (P24).
Principes de Pat : P24</t>
        </r>
      </text>
    </comment>
    <comment ref="Z37" authorId="0">
      <text>
        <r>
          <rPr>
            <sz val="10"/>
            <rFont val="Arial"/>
            <family val="2"/>
          </rPr>
          <t xml:space="preserve">1/5 — pas bon du tout
Rouge : son tanin durcit au contact de la sauce blanche (P24).
Principes de Pat : P24</t>
        </r>
      </text>
    </comment>
    <comment ref="Z38" authorId="0">
      <text>
        <r>
          <rPr>
            <sz val="10"/>
            <rFont val="Arial"/>
            <family val="2"/>
          </rPr>
          <t xml:space="preserve">2/5 — médiocre
Rouge : son tanin durcit au contact de la sauce blanche (P24) ; seule sa légèreté limite les dégâts (P20).
Principes de Pat : P24, P20</t>
        </r>
      </text>
    </comment>
    <comment ref="Z39" authorId="0">
      <text>
        <r>
          <rPr>
            <sz val="10"/>
            <rFont val="Arial"/>
            <family val="2"/>
          </rPr>
          <t xml:space="preserve">2/5 — médiocre
Rouge : son tanin durcit au contact de la sauce blanche (P24) ; seule sa légèreté limite les dégâts (P20).
Principes de Pat : P24, P20</t>
        </r>
      </text>
    </comment>
    <comment ref="Z40" authorId="0">
      <text>
        <r>
          <rPr>
            <sz val="10"/>
            <rFont val="Arial"/>
            <family val="2"/>
          </rPr>
          <t xml:space="preserve">1/5 — pas bon du tout
Rouge : son tanin durcit au contact de la sauce blanche (P24).
Principes de Pat : P24</t>
        </r>
      </text>
    </comment>
    <comment ref="Z41" authorId="0">
      <text>
        <r>
          <rPr>
            <sz val="10"/>
            <rFont val="Arial"/>
            <family val="2"/>
          </rPr>
          <t xml:space="preserve">1/5 — pas bon du tout
Rouge : son tanin durcit au contact de la sauce blanche (P24).
Principes de Pat : P24</t>
        </r>
      </text>
    </comment>
    <comment ref="Z42" authorId="0">
      <text>
        <r>
          <rPr>
            <sz val="10"/>
            <rFont val="Arial"/>
            <family val="2"/>
          </rPr>
          <t xml:space="preserve">1/5 — pas bon du tout
Rouge : son tanin durcit au contact de la sauce blanche (P24).
Principes de Pat : P24</t>
        </r>
      </text>
    </comment>
    <comment ref="Z43" authorId="0">
      <text>
        <r>
          <rPr>
            <sz val="10"/>
            <rFont val="Arial"/>
            <family val="2"/>
          </rPr>
          <t xml:space="preserve">1/5 — pas bon du tout
Rouge : son tanin durcit au contact de la sauce blanche (P24).
Principes de Pat : P24</t>
        </r>
      </text>
    </comment>
    <comment ref="Z44" authorId="0">
      <text>
        <r>
          <rPr>
            <sz val="10"/>
            <rFont val="Arial"/>
            <family val="2"/>
          </rPr>
          <t xml:space="preserve">1/5 — pas bon du tout
Rouge : son tanin durcit au contact de la sauce blanche (P24).
Principes de Pat : P24</t>
        </r>
      </text>
    </comment>
    <comment ref="Z45" authorId="0">
      <text>
        <r>
          <rPr>
            <sz val="10"/>
            <rFont val="Arial"/>
            <family val="2"/>
          </rPr>
          <t xml:space="preserve">1/5 — pas bon du tout
Rouge : son tanin durcit au contact de la sauce blanche (P24).
Principes de Pat : P24</t>
        </r>
      </text>
    </comment>
    <comment ref="Z46" authorId="0">
      <text>
        <r>
          <rPr>
            <sz val="10"/>
            <rFont val="Arial"/>
            <family val="2"/>
          </rPr>
          <t xml:space="preserve">1/5 — pas bon du tout
Rouge : son tanin durcit au contact de la sauce blanche (P24).
Principes de Pat : P24</t>
        </r>
      </text>
    </comment>
    <comment ref="Z47" authorId="0">
      <text>
        <r>
          <rPr>
            <sz val="10"/>
            <rFont val="Arial"/>
            <family val="2"/>
          </rPr>
          <t xml:space="preserve">1/5 — pas bon du tout
Rouge : son tanin durcit au contact de la sauce blanche (P24).
Principes de Pat : P24</t>
        </r>
      </text>
    </comment>
    <comment ref="Z48" authorId="0">
      <text>
        <r>
          <rPr>
            <sz val="10"/>
            <rFont val="Arial"/>
            <family val="2"/>
          </rPr>
          <t xml:space="preserve">1/5 — pas bon du tout
Rouge : son tanin durcit au contact de la sauce blanche (P24).
Principes de Pat : P24</t>
        </r>
      </text>
    </comment>
    <comment ref="Z49" authorId="0">
      <text>
        <r>
          <rPr>
            <sz val="10"/>
            <rFont val="Arial"/>
            <family val="2"/>
          </rPr>
          <t xml:space="preserve">1/5 — pas bon du tout
Rouge : son tanin durcit au contact de la sauce blanche (P24).
Principes de Pat : P24</t>
        </r>
      </text>
    </comment>
    <comment ref="Z50" authorId="0">
      <text>
        <r>
          <rPr>
            <sz val="10"/>
            <rFont val="Arial"/>
            <family val="2"/>
          </rPr>
          <t xml:space="preserve">1/5 — pas bon du tout
Rouge : son tanin durcit au contact de la sauce blanche (P24).
Principes de Pat : P24</t>
        </r>
      </text>
    </comment>
    <comment ref="Z51" authorId="0">
      <text>
        <r>
          <rPr>
            <sz val="10"/>
            <rFont val="Arial"/>
            <family val="2"/>
          </rPr>
          <t xml:space="preserve">1/5 — pas bon du tout
Rouge : son tanin durcit au contact de la sauce blanche (P24).
Principes de Pat : P24</t>
        </r>
      </text>
    </comment>
    <comment ref="Z52" authorId="0">
      <text>
        <r>
          <rPr>
            <sz val="10"/>
            <rFont val="Arial"/>
            <family val="2"/>
          </rPr>
          <t xml:space="preserve">1/5 — pas bon du tout
Rouge : son tanin durcit au contact de la sauce blanche (P24).
Principes de Pat : P24</t>
        </r>
      </text>
    </comment>
    <comment ref="Z53" authorId="0">
      <text>
        <r>
          <rPr>
            <sz val="10"/>
            <rFont val="Arial"/>
            <family val="2"/>
          </rPr>
          <t xml:space="preserve">1/5 — pas bon du tout
Rouge : son tanin durcit au contact de la sauce blanche (P24).
Principes de Pat : P24</t>
        </r>
      </text>
    </comment>
    <comment ref="Z54" authorId="0">
      <text>
        <r>
          <rPr>
            <sz val="10"/>
            <rFont val="Arial"/>
            <family val="2"/>
          </rPr>
          <t xml:space="preserve">1/5 — pas bon du tout
Rouge : son tanin durcit au contact de la sauce blanche (P24).
Principes de Pat : P24</t>
        </r>
      </text>
    </comment>
    <comment ref="Z55" authorId="0">
      <text>
        <r>
          <rPr>
            <sz val="10"/>
            <rFont val="Arial"/>
            <family val="2"/>
          </rPr>
          <t xml:space="preserve">1/5 — pas bon du tout
Rouge : son tanin durcit au contact de la sauce blanche (P24).
Principes de Pat : P24</t>
        </r>
      </text>
    </comment>
    <comment ref="Z56" authorId="0">
      <text>
        <r>
          <rPr>
            <sz val="10"/>
            <rFont val="Arial"/>
            <family val="2"/>
          </rPr>
          <t xml:space="preserve">1/5 — pas bon du tout
Rouge : son tanin durcit au contact de la sauce blanche (P24).
Principes de Pat : P24</t>
        </r>
      </text>
    </comment>
    <comment ref="Z57" authorId="0">
      <text>
        <r>
          <rPr>
            <sz val="10"/>
            <rFont val="Arial"/>
            <family val="2"/>
          </rPr>
          <t xml:space="preserve">1/5 — pas bon du tout
Rouge : son tanin durcit au contact de la sauce blanche (P24).
Principes de Pat : P24</t>
        </r>
      </text>
    </comment>
    <comment ref="Z58" authorId="0">
      <text>
        <r>
          <rPr>
            <sz val="10"/>
            <rFont val="Arial"/>
            <family val="2"/>
          </rPr>
          <t xml:space="preserve">2/5 — médiocre
Rouge : son tanin durcit au contact de la sauce blanche (P24) ; seule sa légèreté limite les dégâts (P20).
Principes de Pat : P24, P20</t>
        </r>
      </text>
    </comment>
    <comment ref="Z59" authorId="0">
      <text>
        <r>
          <rPr>
            <sz val="10"/>
            <rFont val="Arial"/>
            <family val="2"/>
          </rPr>
          <t xml:space="preserve">1/5 — pas bon du tout
Rouge : son tanin durcit au contact de la sauce blanche (P24).
Principes de Pat : P24</t>
        </r>
      </text>
    </comment>
    <comment ref="Z60" authorId="0">
      <text>
        <r>
          <rPr>
            <sz val="10"/>
            <rFont val="Arial"/>
            <family val="2"/>
          </rPr>
          <t xml:space="preserve">1/5 — pas bon du tout
Rouge : son tanin durcit au contact de la sauce blanche (P24).
Principes de Pat : P24</t>
        </r>
      </text>
    </comment>
    <comment ref="Z61" authorId="0">
      <text>
        <r>
          <rPr>
            <sz val="10"/>
            <rFont val="Arial"/>
            <family val="2"/>
          </rPr>
          <t xml:space="preserve">1/5 — pas bon du tout
Rouge : son tanin durcit au contact de la sauce blanche (P24).
Principes de Pat : P24</t>
        </r>
      </text>
    </comment>
    <comment ref="Z62" authorId="0">
      <text>
        <r>
          <rPr>
            <sz val="10"/>
            <rFont val="Arial"/>
            <family val="2"/>
          </rPr>
          <t xml:space="preserve">1/5 — pas bon du tout
Rouge : son tanin durcit au contact de la sauce blanche (P24).
Principes de Pat : P24</t>
        </r>
      </text>
    </comment>
    <comment ref="Z63" authorId="0">
      <text>
        <r>
          <rPr>
            <sz val="10"/>
            <rFont val="Arial"/>
            <family val="2"/>
          </rPr>
          <t xml:space="preserve">1/5 — pas bon du tout
Rouge : son tanin durcit au contact de la sauce blanche (P24).
Principes de Pat : P24</t>
        </r>
      </text>
    </comment>
    <comment ref="Z64" authorId="0">
      <text>
        <r>
          <rPr>
            <sz val="10"/>
            <rFont val="Arial"/>
            <family val="2"/>
          </rPr>
          <t xml:space="preserve">1/5 — pas bon du tout
Rouge : son tanin durcit au contact de la sauce blanche (P24).
Principes de Pat : P24</t>
        </r>
      </text>
    </comment>
    <comment ref="Z65" authorId="0">
      <text>
        <r>
          <rPr>
            <sz val="10"/>
            <rFont val="Arial"/>
            <family val="2"/>
          </rPr>
          <t xml:space="preserve">1/5 — pas bon du tout
Rouge : son tanin durcit au contact de la sauce blanche (P24).
Principes de Pat : P24</t>
        </r>
      </text>
    </comment>
    <comment ref="Z66" authorId="0">
      <text>
        <r>
          <rPr>
            <sz val="10"/>
            <rFont val="Arial"/>
            <family val="2"/>
          </rPr>
          <t xml:space="preserve">1/5 — pas bon du tout
Rouge : son tanin durcit au contact de la sauce blanche (P24).
Principes de Pat : P24</t>
        </r>
      </text>
    </comment>
    <comment ref="Z67" authorId="0">
      <text>
        <r>
          <rPr>
            <sz val="10"/>
            <rFont val="Arial"/>
            <family val="2"/>
          </rPr>
          <t xml:space="preserve">1/5 — pas bon du tout
Rouge : son tanin durcit au contact de la sauce blanche (P24).
Principes de Pat : P24</t>
        </r>
      </text>
    </comment>
    <comment ref="Z68" authorId="0">
      <text>
        <r>
          <rPr>
            <sz val="10"/>
            <rFont val="Arial"/>
            <family val="2"/>
          </rPr>
          <t xml:space="preserve">1/5 — pas bon du tout
Rouge : son tanin durcit au contact de la sauce blanche (P24).
Principes de Pat : P24</t>
        </r>
      </text>
    </comment>
    <comment ref="Z70" authorId="0">
      <text>
        <r>
          <rPr>
            <sz val="10"/>
            <rFont val="Arial"/>
            <family val="2"/>
          </rPr>
          <t xml:space="preserve">3/5 — correct
Trop léger, il disparaît derrière le plat (P20).
Principes de Pat : P20</t>
        </r>
      </text>
    </comment>
    <comment ref="Z71" authorId="0">
      <text>
        <r>
          <rPr>
            <sz val="10"/>
            <rFont val="Arial"/>
            <family val="2"/>
          </rPr>
          <t xml:space="preserve">3/5 — correct
Trop léger, il disparaît derrière le plat (P20).
Principes de Pat : P20</t>
        </r>
      </text>
    </comment>
    <comment ref="Z73" authorId="0">
      <text>
        <r>
          <rPr>
            <sz val="10"/>
            <rFont val="Arial"/>
            <family val="2"/>
          </rPr>
          <t xml:space="preserve">3/5 — correct
Trop léger, il disparaît derrière le plat (P20).
Principes de Pat : P20</t>
        </r>
      </text>
    </comment>
    <comment ref="Z74" authorId="0">
      <text>
        <r>
          <rPr>
            <sz val="10"/>
            <rFont val="Arial"/>
            <family val="2"/>
          </rPr>
          <t xml:space="preserve">5/5 — accord parfait
Effervescent vineux, taillé pour la crème et les plats de brasserie (P41, P42).
Principes de Pat : P41, P42</t>
        </r>
      </text>
    </comment>
    <comment ref="Z75" authorId="0">
      <text>
        <r>
          <rPr>
            <sz val="10"/>
            <rFont val="Arial"/>
            <family val="2"/>
          </rPr>
          <t xml:space="preserve">5/5 — accord parfait
Effervescent vineux, taillé pour la crème et les plats de brasserie (P41, P42).
Principes de Pat : P41, P42</t>
        </r>
      </text>
    </comment>
    <comment ref="Z76" authorId="0">
      <text>
        <r>
          <rPr>
            <sz val="10"/>
            <rFont val="Arial"/>
            <family val="2"/>
          </rPr>
          <t xml:space="preserve">4/5 — très bon
Effervescent rosé vineux : profil qui convient, sans point d'ancrage décisif (P20, P3).
Principes de Pat : P20, P3</t>
        </r>
      </text>
    </comment>
    <comment ref="Z77" authorId="0">
      <text>
        <r>
          <rPr>
            <sz val="10"/>
            <rFont val="Arial"/>
            <family val="2"/>
          </rPr>
          <t xml:space="preserve">3/5 — correct
Trop léger, il disparaît derrière le plat (P20).
Principes de Pat : P20</t>
        </r>
      </text>
    </comment>
    <comment ref="Z78" authorId="0">
      <text>
        <r>
          <rPr>
            <sz val="10"/>
            <rFont val="Arial"/>
            <family val="2"/>
          </rPr>
          <t xml:space="preserve">3/5 — correct
Trop léger, il disparaît derrière le plat (P20).
Principes de Pat : P20</t>
        </r>
      </text>
    </comment>
    <comment ref="Z79" authorId="0">
      <text>
        <r>
          <rPr>
            <sz val="10"/>
            <rFont val="Arial"/>
            <family val="2"/>
          </rPr>
          <t xml:space="preserve">5/5 — accord parfait
Effervescent vineux, taillé pour la crème et les plats de brasserie (P41, P42).
Principes de Pat : P41, P42</t>
        </r>
      </text>
    </comment>
    <comment ref="Z81" authorId="0">
      <text>
        <r>
          <rPr>
            <sz val="10"/>
            <rFont val="Arial"/>
            <family val="2"/>
          </rPr>
          <t xml:space="preserve">1/5 — pas bon du tout
Liquoreux hors de propos sur un plat salé qui n'appelle pas de sucre (P20, P4).
Principes de Pat : P20, P4</t>
        </r>
      </text>
    </comment>
    <comment ref="AA7" authorId="0">
      <text>
        <r>
          <rPr>
            <sz val="10"/>
            <rFont val="Arial"/>
            <family val="2"/>
          </rPr>
          <t xml:space="preserve">3/5 — correct
Trop léger, il disparaît derrière le plat (P20).
Principes de Pat : P20</t>
        </r>
      </text>
    </comment>
    <comment ref="AA8" authorId="0">
      <text>
        <r>
          <rPr>
            <sz val="10"/>
            <rFont val="Arial"/>
            <family val="2"/>
          </rPr>
          <t xml:space="preserve">4/5 — très bon
Blanc tendu, de poids moyen, sans bois : profil qui convient, sans point d'ancrage décisif (P20, P3).
Principes de Pat : P20, P3</t>
        </r>
      </text>
    </comment>
    <comment ref="AA9" authorId="0">
      <text>
        <r>
          <rPr>
            <sz val="10"/>
            <rFont val="Arial"/>
            <family val="2"/>
          </rPr>
          <t xml:space="preserve">4/5 — très bon
Blanc tendu, de poids moyen, sans bois : profil qui convient, sans point d'ancrage décisif (P20, P3).
Principes de Pat : P20, P3</t>
        </r>
      </text>
    </comment>
    <comment ref="AA10" authorId="0">
      <text>
        <r>
          <rPr>
            <sz val="10"/>
            <rFont val="Arial"/>
            <family val="2"/>
          </rPr>
          <t xml:space="preserve">4/5 — très bon
Blanc tendu, de poids moyen, boisé : profil qui convient, sans point d'ancrage décisif (P20, P3).
Principes de Pat : P20, P3</t>
        </r>
      </text>
    </comment>
    <comment ref="AA11" authorId="0">
      <text>
        <r>
          <rPr>
            <sz val="10"/>
            <rFont val="Arial"/>
            <family val="2"/>
          </rPr>
          <t xml:space="preserve">3/5 — correct
Trop léger, il disparaît derrière le plat (P20).
Principes de Pat : P20</t>
        </r>
      </text>
    </comment>
    <comment ref="AA12" authorId="0">
      <text>
        <r>
          <rPr>
            <sz val="10"/>
            <rFont val="Arial"/>
            <family val="2"/>
          </rPr>
          <t xml:space="preserve">4/5 — très bon
Blanc souple, de poids moyen, peu boisé : profil qui convient, sans point d'ancrage décisif (P20, P3).
Principes de Pat : P20, P3</t>
        </r>
      </text>
    </comment>
    <comment ref="AA13" authorId="0">
      <text>
        <r>
          <rPr>
            <sz val="10"/>
            <rFont val="Arial"/>
            <family val="2"/>
          </rPr>
          <t xml:space="preserve">3/5 — correct
Trop léger, il disparaît derrière le plat (P20).
Principes de Pat : P20</t>
        </r>
      </text>
    </comment>
    <comment ref="AA14" authorId="0">
      <text>
        <r>
          <rPr>
            <sz val="10"/>
            <rFont val="Arial"/>
            <family val="2"/>
          </rPr>
          <t xml:space="preserve">4/5 — très bon
Blanc tendu, ample, boisé, patiné : profil qui convient, sans point d'ancrage décisif (P20, P3).
Principes de Pat : P20, P3</t>
        </r>
      </text>
    </comment>
    <comment ref="AA15" authorId="0">
      <text>
        <r>
          <rPr>
            <sz val="10"/>
            <rFont val="Arial"/>
            <family val="2"/>
          </rPr>
          <t xml:space="preserve">4/5 — très bon
Blanc tendu, ample, boisé, patiné : profil qui convient, sans point d'ancrage décisif (P20, P3).
Principes de Pat : P20, P3</t>
        </r>
      </text>
    </comment>
    <comment ref="AA16" authorId="0">
      <text>
        <r>
          <rPr>
            <sz val="10"/>
            <rFont val="Arial"/>
            <family val="2"/>
          </rPr>
          <t xml:space="preserve">4/5 — très bon
Blanc souple, ample, boisé : profil qui convient, sans point d'ancrage décisif (P20, P3).
Principes de Pat : P20, P3</t>
        </r>
      </text>
    </comment>
    <comment ref="AA17" authorId="0">
      <text>
        <r>
          <rPr>
            <sz val="10"/>
            <rFont val="Arial"/>
            <family val="2"/>
          </rPr>
          <t xml:space="preserve">4/5 — très bon
Blanc souple, ample, boisé, patiné : profil qui convient, sans point d'ancrage décisif (P20, P3).
Principes de Pat : P20, P3</t>
        </r>
      </text>
    </comment>
    <comment ref="AA18" authorId="0">
      <text>
        <r>
          <rPr>
            <sz val="10"/>
            <rFont val="Arial"/>
            <family val="2"/>
          </rPr>
          <t xml:space="preserve">4/5 — très bon
Blanc souple, ample, boisé, patiné : profil qui convient, sans point d'ancrage décisif (P20, P3).
Principes de Pat : P20, P3</t>
        </r>
      </text>
    </comment>
    <comment ref="AA19" authorId="0">
      <text>
        <r>
          <rPr>
            <sz val="10"/>
            <rFont val="Arial"/>
            <family val="2"/>
          </rPr>
          <t xml:space="preserve">4/5 — très bon
Blanc tendu, ample, boisé : profil qui convient, sans point d'ancrage décisif (P20, P3).
Principes de Pat : P20, P3</t>
        </r>
      </text>
    </comment>
    <comment ref="AA20" authorId="0">
      <text>
        <r>
          <rPr>
            <sz val="10"/>
            <rFont val="Arial"/>
            <family val="2"/>
          </rPr>
          <t xml:space="preserve">4/5 — très bon
Blanc souple, ample, peu boisé : profil qui convient, sans point d'ancrage décisif (P20, P3).
Principes de Pat : P20, P3</t>
        </r>
      </text>
    </comment>
    <comment ref="AA21" authorId="0">
      <text>
        <r>
          <rPr>
            <sz val="10"/>
            <rFont val="Arial"/>
            <family val="2"/>
          </rPr>
          <t xml:space="preserve">3/5 — correct
Acidité trop faible face à la laque (P3).
Principes de Pat : P3</t>
        </r>
      </text>
    </comment>
    <comment ref="AA22" authorId="0">
      <text>
        <r>
          <rPr>
            <sz val="10"/>
            <rFont val="Arial"/>
            <family val="2"/>
          </rPr>
          <t xml:space="preserve">3/5 — correct
Acidité trop faible face à la laque (P3).
Principes de Pat : P3</t>
        </r>
      </text>
    </comment>
    <comment ref="AA23" authorId="0">
      <text>
        <r>
          <rPr>
            <sz val="10"/>
            <rFont val="Arial"/>
            <family val="2"/>
          </rPr>
          <t xml:space="preserve">3/5 — correct
Trop léger, il disparaît derrière le plat (P20).
Principes de Pat : P20</t>
        </r>
      </text>
    </comment>
    <comment ref="AA24" authorId="0">
      <text>
        <r>
          <rPr>
            <sz val="10"/>
            <rFont val="Arial"/>
            <family val="2"/>
          </rPr>
          <t xml:space="preserve">3/5 — correct
Trop léger, il disparaît derrière le plat (P20).
Principes de Pat : P20</t>
        </r>
      </text>
    </comment>
    <comment ref="AA25" authorId="0">
      <text>
        <r>
          <rPr>
            <sz val="10"/>
            <rFont val="Arial"/>
            <family val="2"/>
          </rPr>
          <t xml:space="preserve">4/5 — très bon
Blanc souple, ample, peu boisé : profil qui convient, sans point d'ancrage décisif (P20, P3).
Principes de Pat : P20, P3</t>
        </r>
      </text>
    </comment>
    <comment ref="AA26" authorId="0">
      <text>
        <r>
          <rPr>
            <sz val="10"/>
            <rFont val="Arial"/>
            <family val="2"/>
          </rPr>
          <t xml:space="preserve">4/5 — très bon
Blanc tendu, de poids moyen, peu boisé : profil qui convient, sans point d'ancrage décisif (P20, P3).
Principes de Pat : P20, P3</t>
        </r>
      </text>
    </comment>
    <comment ref="AA27" authorId="0">
      <text>
        <r>
          <rPr>
            <sz val="10"/>
            <rFont val="Arial"/>
            <family val="2"/>
          </rPr>
          <t xml:space="preserve">3/5 — correct
Trop léger, il disparaît derrière le plat (P20).
Principes de Pat : P20</t>
        </r>
      </text>
    </comment>
    <comment ref="AA29" authorId="0">
      <text>
        <r>
          <rPr>
            <sz val="10"/>
            <rFont val="Arial"/>
            <family val="2"/>
          </rPr>
          <t xml:space="preserve">3/5 — correct
Trop léger, il disparaît derrière le plat (P20).
Principes de Pat : P20</t>
        </r>
      </text>
    </comment>
    <comment ref="AA30" authorId="0">
      <text>
        <r>
          <rPr>
            <sz val="10"/>
            <rFont val="Arial"/>
            <family val="2"/>
          </rPr>
          <t xml:space="preserve">4/5 — très bon
Rouge de poids moyen aux tanins fins : profil qui convient, sans point d'ancrage décisif (P20, P40).
Principes de Pat : P20, P40</t>
        </r>
      </text>
    </comment>
    <comment ref="AA31" authorId="0">
      <text>
        <r>
          <rPr>
            <sz val="10"/>
            <rFont val="Arial"/>
            <family val="2"/>
          </rPr>
          <t xml:space="preserve">5/5 — accord parfait
Rouge patiné aux tanins fondus sur la laque caramélisée (P40, P14).
Principes de Pat : P40, P14</t>
        </r>
      </text>
    </comment>
    <comment ref="AA32" authorId="0">
      <text>
        <r>
          <rPr>
            <sz val="10"/>
            <rFont val="Arial"/>
            <family val="2"/>
          </rPr>
          <t xml:space="preserve">3/5 — correct
Trop léger, il disparaît derrière le plat (P20).
Principes de Pat : P20</t>
        </r>
      </text>
    </comment>
    <comment ref="AA33" authorId="0">
      <text>
        <r>
          <rPr>
            <sz val="10"/>
            <rFont val="Arial"/>
            <family val="2"/>
          </rPr>
          <t xml:space="preserve">4/5 — très bon
Rouge de poids moyen aux tanins fins : profil qui convient, sans point d'ancrage décisif (P20, P40).
Principes de Pat : P20, P40</t>
        </r>
      </text>
    </comment>
    <comment ref="AA34" authorId="0">
      <text>
        <r>
          <rPr>
            <sz val="10"/>
            <rFont val="Arial"/>
            <family val="2"/>
          </rPr>
          <t xml:space="preserve">4/5 — très bon
Rouge patiné aux tanins fondus sur la laque caramélisée (P40, P14) ; tanin trop présent pour la viande blanche fondante (P40).
Principes de Pat : P40, P14</t>
        </r>
      </text>
    </comment>
    <comment ref="AA35" authorId="0">
      <text>
        <r>
          <rPr>
            <sz val="10"/>
            <rFont val="Arial"/>
            <family val="2"/>
          </rPr>
          <t xml:space="preserve">4/5 — très bon
Rouge patiné aux tanins fondus sur la laque caramélisée (P40, P14) ; tanin trop présent pour la viande blanche fondante (P40).
Principes de Pat : P40, P14</t>
        </r>
      </text>
    </comment>
    <comment ref="AA36" authorId="0">
      <text>
        <r>
          <rPr>
            <sz val="10"/>
            <rFont val="Arial"/>
            <family val="2"/>
          </rPr>
          <t xml:space="preserve">3/5 — correct
Tanin trop présent pour la viande blanche fondante (P40).
Principes de Pat : P40</t>
        </r>
      </text>
    </comment>
    <comment ref="AA37" authorId="0">
      <text>
        <r>
          <rPr>
            <sz val="10"/>
            <rFont val="Arial"/>
            <family val="2"/>
          </rPr>
          <t xml:space="preserve">3/5 — correct
Tanin trop présent pour la viande blanche fondante (P40) ; le bois couvre la finesse et amplifie l'amertume (P19).
Principes de Pat : P40, P19</t>
        </r>
      </text>
    </comment>
    <comment ref="AA38" authorId="0">
      <text>
        <r>
          <rPr>
            <sz val="10"/>
            <rFont val="Arial"/>
            <family val="2"/>
          </rPr>
          <t xml:space="preserve">3/5 — correct
Trop léger, il disparaît derrière le plat (P20).
Principes de Pat : P20</t>
        </r>
      </text>
    </comment>
    <comment ref="AA39" authorId="0">
      <text>
        <r>
          <rPr>
            <sz val="10"/>
            <rFont val="Arial"/>
            <family val="2"/>
          </rPr>
          <t xml:space="preserve">3/5 — correct
Trop léger, il disparaît derrière le plat (P20).
Principes de Pat : P20</t>
        </r>
      </text>
    </comment>
    <comment ref="AA40" authorId="0">
      <text>
        <r>
          <rPr>
            <sz val="10"/>
            <rFont val="Arial"/>
            <family val="2"/>
          </rPr>
          <t xml:space="preserve">3/5 — correct
Tanin trop présent pour la viande blanche fondante (P40).
Principes de Pat : P40</t>
        </r>
      </text>
    </comment>
    <comment ref="AA41" authorId="0">
      <text>
        <r>
          <rPr>
            <sz val="10"/>
            <rFont val="Arial"/>
            <family val="2"/>
          </rPr>
          <t xml:space="preserve">3/5 — correct
Tanin trop présent pour la viande blanche fondante (P40).
Principes de Pat : P40</t>
        </r>
      </text>
    </comment>
    <comment ref="AA42" authorId="0">
      <text>
        <r>
          <rPr>
            <sz val="10"/>
            <rFont val="Arial"/>
            <family val="2"/>
          </rPr>
          <t xml:space="preserve">4/5 — très bon
Richesse alcoolique qui développe les notes caramélisées (P14) ; tanin trop présent pour la viande blanche fondante (P40).
Principes de Pat : P14, P40</t>
        </r>
      </text>
    </comment>
    <comment ref="AA43" authorId="0">
      <text>
        <r>
          <rPr>
            <sz val="10"/>
            <rFont val="Arial"/>
            <family val="2"/>
          </rPr>
          <t xml:space="preserve">3/5 — correct
Tanin trop présent pour la viande blanche fondante (P40).
Principes de Pat : P40</t>
        </r>
      </text>
    </comment>
    <comment ref="AA44" authorId="0">
      <text>
        <r>
          <rPr>
            <sz val="10"/>
            <rFont val="Arial"/>
            <family val="2"/>
          </rPr>
          <t xml:space="preserve">3/5 — correct
Tanin trop présent pour la viande blanche fondante (P40).
Principes de Pat : P40</t>
        </r>
      </text>
    </comment>
    <comment ref="AA45" authorId="0">
      <text>
        <r>
          <rPr>
            <sz val="10"/>
            <rFont val="Arial"/>
            <family val="2"/>
          </rPr>
          <t xml:space="preserve">4/5 — très bon
Rouge patiné aux tanins fondus sur la laque caramélisée (P40, P14) ; tanin trop présent pour la viande blanche fondante (P40).
Principes de Pat : P40, P14</t>
        </r>
      </text>
    </comment>
    <comment ref="AA46" authorId="0">
      <text>
        <r>
          <rPr>
            <sz val="10"/>
            <rFont val="Arial"/>
            <family val="2"/>
          </rPr>
          <t xml:space="preserve">4/5 — très bon
Rouge patiné aux tanins fondus sur la laque caramélisée (P40, P14) ; tanin trop présent pour la viande blanche fondante (P40).
Principes de Pat : P40, P14</t>
        </r>
      </text>
    </comment>
    <comment ref="AA47" authorId="0">
      <text>
        <r>
          <rPr>
            <sz val="10"/>
            <rFont val="Arial"/>
            <family val="2"/>
          </rPr>
          <t xml:space="preserve">4/5 — très bon
Rouge patiné aux tanins fondus sur la laque caramélisée (P40, P14) ; tanin trop présent pour la viande blanche fondante (P40).
Principes de Pat : P40, P14</t>
        </r>
      </text>
    </comment>
    <comment ref="AA48" authorId="0">
      <text>
        <r>
          <rPr>
            <sz val="10"/>
            <rFont val="Arial"/>
            <family val="2"/>
          </rPr>
          <t xml:space="preserve">1/5 — pas bon du tout
Tanin trop présent pour la viande blanche fondante (P40) ; le bois couvre la finesse et amplifie l'amertume (P19).
Principes de Pat : P40, P19</t>
        </r>
      </text>
    </comment>
    <comment ref="AA49" authorId="0">
      <text>
        <r>
          <rPr>
            <sz val="10"/>
            <rFont val="Arial"/>
            <family val="2"/>
          </rPr>
          <t xml:space="preserve">2/5 — médiocre
Tanin trop présent pour la viande blanche fondante (P40) ; le bois couvre la finesse et amplifie l'amertume (P19).
Principes de Pat : P40, P19</t>
        </r>
      </text>
    </comment>
    <comment ref="AA50" authorId="0">
      <text>
        <r>
          <rPr>
            <sz val="10"/>
            <rFont val="Arial"/>
            <family val="2"/>
          </rPr>
          <t xml:space="preserve">1/5 — pas bon du tout
Tanin trop présent pour la viande blanche fondante (P40) ; le bois couvre la finesse et amplifie l'amertume (P19).
Principes de Pat : P40, P19</t>
        </r>
      </text>
    </comment>
    <comment ref="AA51" authorId="0">
      <text>
        <r>
          <rPr>
            <sz val="10"/>
            <rFont val="Arial"/>
            <family val="2"/>
          </rPr>
          <t xml:space="preserve">5/5 — accord parfait
Rouge patiné aux tanins fondus sur la laque caramélisée (P40, P14).
Principes de Pat : P40, P14</t>
        </r>
      </text>
    </comment>
    <comment ref="AA52" authorId="0">
      <text>
        <r>
          <rPr>
            <sz val="10"/>
            <rFont val="Arial"/>
            <family val="2"/>
          </rPr>
          <t xml:space="preserve">3/5 — correct
Tanin trop présent pour la viande blanche fondante (P40).
Principes de Pat : P40</t>
        </r>
      </text>
    </comment>
    <comment ref="AA53" authorId="0">
      <text>
        <r>
          <rPr>
            <sz val="10"/>
            <rFont val="Arial"/>
            <family val="2"/>
          </rPr>
          <t xml:space="preserve">4/5 — très bon
Rouge patiné aux tanins fondus sur la laque caramélisée (P40, P14) ; tanin trop présent pour la viande blanche fondante (P40).
Principes de Pat : P40, P14</t>
        </r>
      </text>
    </comment>
    <comment ref="AA54" authorId="0">
      <text>
        <r>
          <rPr>
            <sz val="10"/>
            <rFont val="Arial"/>
            <family val="2"/>
          </rPr>
          <t xml:space="preserve">3/5 — correct
Tanin trop présent pour la viande blanche fondante (P40).
Principes de Pat : P40</t>
        </r>
      </text>
    </comment>
    <comment ref="AA55" authorId="0">
      <text>
        <r>
          <rPr>
            <sz val="10"/>
            <rFont val="Arial"/>
            <family val="2"/>
          </rPr>
          <t xml:space="preserve">2/5 — médiocre
Tanin trop présent pour la viande blanche fondante (P40).
Principes de Pat : P40</t>
        </r>
      </text>
    </comment>
    <comment ref="AA56" authorId="0">
      <text>
        <r>
          <rPr>
            <sz val="10"/>
            <rFont val="Arial"/>
            <family val="2"/>
          </rPr>
          <t xml:space="preserve">5/5 — accord parfait
Rouge patiné aux tanins fondus sur la laque caramélisée (P40, P14).
Principes de Pat : P40, P14</t>
        </r>
      </text>
    </comment>
    <comment ref="AA57" authorId="0">
      <text>
        <r>
          <rPr>
            <sz val="10"/>
            <rFont val="Arial"/>
            <family val="2"/>
          </rPr>
          <t xml:space="preserve">1/5 — pas bon du tout
Tanin trop présent pour la viande blanche fondante (P40) ; le bois couvre la finesse et amplifie l'amertume (P19).
Principes de Pat : P40, P19</t>
        </r>
      </text>
    </comment>
    <comment ref="AA58" authorId="0">
      <text>
        <r>
          <rPr>
            <sz val="10"/>
            <rFont val="Arial"/>
            <family val="2"/>
          </rPr>
          <t xml:space="preserve">3/5 — correct
Trop léger, il disparaît derrière le plat (P20).
Principes de Pat : P20</t>
        </r>
      </text>
    </comment>
    <comment ref="AA59" authorId="0">
      <text>
        <r>
          <rPr>
            <sz val="10"/>
            <rFont val="Arial"/>
            <family val="2"/>
          </rPr>
          <t xml:space="preserve">3/5 — correct
Tanin trop présent pour la viande blanche fondante (P40).
Principes de Pat : P40</t>
        </r>
      </text>
    </comment>
    <comment ref="AA60" authorId="0">
      <text>
        <r>
          <rPr>
            <sz val="10"/>
            <rFont val="Arial"/>
            <family val="2"/>
          </rPr>
          <t xml:space="preserve">4/5 — très bon
Rouge patiné aux tanins fondus sur la laque caramélisée (P40, P14) ; tanin trop présent pour la viande blanche fondante (P40).
Principes de Pat : P40, P14</t>
        </r>
      </text>
    </comment>
    <comment ref="AA61" authorId="0">
      <text>
        <r>
          <rPr>
            <sz val="10"/>
            <rFont val="Arial"/>
            <family val="2"/>
          </rPr>
          <t xml:space="preserve">3/5 — correct
Tanin trop présent pour la viande blanche fondante (P40).
Principes de Pat : P40</t>
        </r>
      </text>
    </comment>
    <comment ref="AA62" authorId="0">
      <text>
        <r>
          <rPr>
            <sz val="10"/>
            <rFont val="Arial"/>
            <family val="2"/>
          </rPr>
          <t xml:space="preserve">1/5 — pas bon du tout
Tanin trop présent pour la viande blanche fondante (P40) ; le bois couvre la finesse et amplifie l'amertume (P19).
Principes de Pat : P40, P19</t>
        </r>
      </text>
    </comment>
    <comment ref="AA63" authorId="0">
      <text>
        <r>
          <rPr>
            <sz val="10"/>
            <rFont val="Arial"/>
            <family val="2"/>
          </rPr>
          <t xml:space="preserve">2/5 — médiocre
Tanin trop présent pour la viande blanche fondante (P40) ; le bois couvre la finesse et amplifie l'amertume (P19).
Principes de Pat : P40, P19</t>
        </r>
      </text>
    </comment>
    <comment ref="AA64" authorId="0">
      <text>
        <r>
          <rPr>
            <sz val="10"/>
            <rFont val="Arial"/>
            <family val="2"/>
          </rPr>
          <t xml:space="preserve">3/5 — correct
Tanin trop présent pour la viande blanche fondante (P40).
Principes de Pat : P40</t>
        </r>
      </text>
    </comment>
    <comment ref="AA65" authorId="0">
      <text>
        <r>
          <rPr>
            <sz val="10"/>
            <rFont val="Arial"/>
            <family val="2"/>
          </rPr>
          <t xml:space="preserve">1/5 — pas bon du tout
Tanin trop présent pour la viande blanche fondante (P40) ; le bois couvre la finesse et amplifie l'amertume (P19).
Principes de Pat : P40, P19</t>
        </r>
      </text>
    </comment>
    <comment ref="AA66" authorId="0">
      <text>
        <r>
          <rPr>
            <sz val="10"/>
            <rFont val="Arial"/>
            <family val="2"/>
          </rPr>
          <t xml:space="preserve">4/5 — très bon
Rouge de poids moyen aux tanins fondus, patiné : profil qui convient, sans point d'ancrage décisif (P20, P40).
Principes de Pat : P20, P40</t>
        </r>
      </text>
    </comment>
    <comment ref="AA67" authorId="0">
      <text>
        <r>
          <rPr>
            <sz val="10"/>
            <rFont val="Arial"/>
            <family val="2"/>
          </rPr>
          <t xml:space="preserve">3/5 — correct
Tanin trop présent pour la viande blanche fondante (P40).
Principes de Pat : P40</t>
        </r>
      </text>
    </comment>
    <comment ref="AA68" authorId="0">
      <text>
        <r>
          <rPr>
            <sz val="10"/>
            <rFont val="Arial"/>
            <family val="2"/>
          </rPr>
          <t xml:space="preserve">2/5 — médiocre
Tanin trop présent pour la viande blanche fondante (P40).
Principes de Pat : P40</t>
        </r>
      </text>
    </comment>
    <comment ref="AA70" authorId="0">
      <text>
        <r>
          <rPr>
            <sz val="10"/>
            <rFont val="Arial"/>
            <family val="2"/>
          </rPr>
          <t xml:space="preserve">3/5 — correct
Trop léger, il disparaît derrière le plat (P20).
Principes de Pat : P20</t>
        </r>
      </text>
    </comment>
    <comment ref="AA71" authorId="0">
      <text>
        <r>
          <rPr>
            <sz val="10"/>
            <rFont val="Arial"/>
            <family val="2"/>
          </rPr>
          <t xml:space="preserve">3/5 — correct
Trop léger, il disparaît derrière le plat (P20).
Principes de Pat : P20</t>
        </r>
      </text>
    </comment>
    <comment ref="AA73" authorId="0">
      <text>
        <r>
          <rPr>
            <sz val="10"/>
            <rFont val="Arial"/>
            <family val="2"/>
          </rPr>
          <t xml:space="preserve">3/5 — correct
Bulle sans l'ampleur ni la richesse qu'appelle la laque (P14, P20) ; trop léger, il disparaît derrière le plat (P20).
Principes de Pat : P14, P20</t>
        </r>
      </text>
    </comment>
    <comment ref="AA74" authorId="0">
      <text>
        <r>
          <rPr>
            <sz val="10"/>
            <rFont val="Arial"/>
            <family val="2"/>
          </rPr>
          <t xml:space="preserve">3/5 — correct
Bulle sans l'ampleur ni la richesse qu'appelle la laque (P14, P20).
Principes de Pat : P14, P20</t>
        </r>
      </text>
    </comment>
    <comment ref="AA75" authorId="0">
      <text>
        <r>
          <rPr>
            <sz val="10"/>
            <rFont val="Arial"/>
            <family val="2"/>
          </rPr>
          <t xml:space="preserve">3/5 — correct
Bulle sans l'ampleur ni la richesse qu'appelle la laque (P14, P20).
Principes de Pat : P14, P20</t>
        </r>
      </text>
    </comment>
    <comment ref="AA76" authorId="0">
      <text>
        <r>
          <rPr>
            <sz val="10"/>
            <rFont val="Arial"/>
            <family val="2"/>
          </rPr>
          <t xml:space="preserve">3/5 — correct
Bulle sans l'ampleur ni la richesse qu'appelle la laque (P14, P20).
Principes de Pat : P14, P20</t>
        </r>
      </text>
    </comment>
    <comment ref="AA77" authorId="0">
      <text>
        <r>
          <rPr>
            <sz val="10"/>
            <rFont val="Arial"/>
            <family val="2"/>
          </rPr>
          <t xml:space="preserve">3/5 — correct
Bulle sans l'ampleur ni la richesse qu'appelle la laque (P14, P20) ; trop léger, il disparaît derrière le plat (P20).
Principes de Pat : P14, P20</t>
        </r>
      </text>
    </comment>
    <comment ref="AA78" authorId="0">
      <text>
        <r>
          <rPr>
            <sz val="10"/>
            <rFont val="Arial"/>
            <family val="2"/>
          </rPr>
          <t xml:space="preserve">3/5 — correct
Bulle sans l'ampleur ni la richesse qu'appelle la laque (P14, P20) ; trop léger, il disparaît derrière le plat (P20).
Principes de Pat : P14, P20</t>
        </r>
      </text>
    </comment>
    <comment ref="AA79" authorId="0">
      <text>
        <r>
          <rPr>
            <sz val="10"/>
            <rFont val="Arial"/>
            <family val="2"/>
          </rPr>
          <t xml:space="preserve">3/5 — correct
Bulle sans l'ampleur ni la richesse qu'appelle la laque (P14, P20).
Principes de Pat : P14, P20</t>
        </r>
      </text>
    </comment>
    <comment ref="AA81" authorId="0">
      <text>
        <r>
          <rPr>
            <sz val="10"/>
            <rFont val="Arial"/>
            <family val="2"/>
          </rPr>
          <t xml:space="preserve">1/5 — pas bon du tout
Liquoreux hors de propos sur un plat salé qui n'appelle pas de sucre (P20, P4).
Principes de Pat : P20, P4</t>
        </r>
      </text>
    </comment>
    <comment ref="AB7" authorId="0">
      <text>
        <r>
          <rPr>
            <sz val="10"/>
            <rFont val="Arial"/>
            <family val="2"/>
          </rPr>
          <t xml:space="preserve">3/5 — correct
Blanc sans la structure qu'appelle la viande (P21, P20).
Principes de Pat : P21, P20</t>
        </r>
      </text>
    </comment>
    <comment ref="AB8" authorId="0">
      <text>
        <r>
          <rPr>
            <sz val="10"/>
            <rFont val="Arial"/>
            <family val="2"/>
          </rPr>
          <t xml:space="preserve">3/5 — correct
Blanc sans la structure qu'appelle la viande (P21, P20).
Principes de Pat : P21, P20</t>
        </r>
      </text>
    </comment>
    <comment ref="AB9" authorId="0">
      <text>
        <r>
          <rPr>
            <sz val="10"/>
            <rFont val="Arial"/>
            <family val="2"/>
          </rPr>
          <t xml:space="preserve">3/5 — correct
Blanc sans la structure qu'appelle la viande (P21, P20).
Principes de Pat : P21, P20</t>
        </r>
      </text>
    </comment>
    <comment ref="AB10" authorId="0">
      <text>
        <r>
          <rPr>
            <sz val="10"/>
            <rFont val="Arial"/>
            <family val="2"/>
          </rPr>
          <t xml:space="preserve">3/5 — correct
Le bois couvre la finesse et amplifie l'amertume (P19).
Principes de Pat : P19</t>
        </r>
      </text>
    </comment>
    <comment ref="AB11" authorId="0">
      <text>
        <r>
          <rPr>
            <sz val="10"/>
            <rFont val="Arial"/>
            <family val="2"/>
          </rPr>
          <t xml:space="preserve">3/5 — correct
Blanc sans la structure qu'appelle la viande (P21, P20).
Principes de Pat : P21, P20</t>
        </r>
      </text>
    </comment>
    <comment ref="AB12" authorId="0">
      <text>
        <r>
          <rPr>
            <sz val="10"/>
            <rFont val="Arial"/>
            <family val="2"/>
          </rPr>
          <t xml:space="preserve">3/5 — correct
Acidité trop faible face aux condiments (P23).
Principes de Pat : P23</t>
        </r>
      </text>
    </comment>
    <comment ref="AB13" authorId="0">
      <text>
        <r>
          <rPr>
            <sz val="10"/>
            <rFont val="Arial"/>
            <family val="2"/>
          </rPr>
          <t xml:space="preserve">3/5 — correct
Acidité trop faible face aux condiments (P23).
Principes de Pat : P23</t>
        </r>
      </text>
    </comment>
    <comment ref="AB14" authorId="0">
      <text>
        <r>
          <rPr>
            <sz val="10"/>
            <rFont val="Arial"/>
            <family val="2"/>
          </rPr>
          <t xml:space="preserve">3/5 — correct
Le bois couvre la finesse et amplifie l'amertume (P19).
Principes de Pat : P19</t>
        </r>
      </text>
    </comment>
    <comment ref="AB15" authorId="0">
      <text>
        <r>
          <rPr>
            <sz val="10"/>
            <rFont val="Arial"/>
            <family val="2"/>
          </rPr>
          <t xml:space="preserve">3/5 — correct
Le bois couvre la finesse et amplifie l'amertume (P19).
Principes de Pat : P19</t>
        </r>
      </text>
    </comment>
    <comment ref="AB16" authorId="0">
      <text>
        <r>
          <rPr>
            <sz val="10"/>
            <rFont val="Arial"/>
            <family val="2"/>
          </rPr>
          <t xml:space="preserve">2/5 — médiocre
Le bois couvre la finesse et amplifie l'amertume (P19) ; acidité trop faible face aux condiments (P23).
Principes de Pat : P19, P23</t>
        </r>
      </text>
    </comment>
    <comment ref="AB17" authorId="0">
      <text>
        <r>
          <rPr>
            <sz val="10"/>
            <rFont val="Arial"/>
            <family val="2"/>
          </rPr>
          <t xml:space="preserve">2/5 — médiocre
Le bois couvre la finesse et amplifie l'amertume (P19) ; acidité trop faible face aux condiments (P23).
Principes de Pat : P19, P23</t>
        </r>
      </text>
    </comment>
    <comment ref="AB18" authorId="0">
      <text>
        <r>
          <rPr>
            <sz val="10"/>
            <rFont val="Arial"/>
            <family val="2"/>
          </rPr>
          <t xml:space="preserve">2/5 — médiocre
Le bois couvre la finesse et amplifie l'amertume (P19) ; acidité trop faible face aux condiments (P23).
Principes de Pat : P19, P23</t>
        </r>
      </text>
    </comment>
    <comment ref="AB19" authorId="0">
      <text>
        <r>
          <rPr>
            <sz val="10"/>
            <rFont val="Arial"/>
            <family val="2"/>
          </rPr>
          <t xml:space="preserve">3/5 — correct
Le bois couvre la finesse et amplifie l'amertume (P19).
Principes de Pat : P19</t>
        </r>
      </text>
    </comment>
    <comment ref="AB20" authorId="0">
      <text>
        <r>
          <rPr>
            <sz val="10"/>
            <rFont val="Arial"/>
            <family val="2"/>
          </rPr>
          <t xml:space="preserve">3/5 — correct
Acidité trop faible face aux condiments (P23).
Principes de Pat : P23</t>
        </r>
      </text>
    </comment>
    <comment ref="AB21" authorId="0">
      <text>
        <r>
          <rPr>
            <sz val="10"/>
            <rFont val="Arial"/>
            <family val="2"/>
          </rPr>
          <t xml:space="preserve">2/5 — médiocre
Acidité trop faible face aux condiments (P23).
Principes de Pat : P23</t>
        </r>
      </text>
    </comment>
    <comment ref="AB22" authorId="0">
      <text>
        <r>
          <rPr>
            <sz val="10"/>
            <rFont val="Arial"/>
            <family val="2"/>
          </rPr>
          <t xml:space="preserve">2/5 — médiocre
Acidité trop faible face aux condiments (P23).
Principes de Pat : P23</t>
        </r>
      </text>
    </comment>
    <comment ref="AB23" authorId="0">
      <text>
        <r>
          <rPr>
            <sz val="10"/>
            <rFont val="Arial"/>
            <family val="2"/>
          </rPr>
          <t xml:space="preserve">3/5 — correct
Acidité trop faible face aux condiments (P23).
Principes de Pat : P23</t>
        </r>
      </text>
    </comment>
    <comment ref="AB24" authorId="0">
      <text>
        <r>
          <rPr>
            <sz val="10"/>
            <rFont val="Arial"/>
            <family val="2"/>
          </rPr>
          <t xml:space="preserve">3/5 — correct
Blanc sans la structure qu'appelle la viande (P21, P20).
Principes de Pat : P21, P20</t>
        </r>
      </text>
    </comment>
    <comment ref="AB25" authorId="0">
      <text>
        <r>
          <rPr>
            <sz val="10"/>
            <rFont val="Arial"/>
            <family val="2"/>
          </rPr>
          <t xml:space="preserve">3/5 — correct
Acidité trop faible face aux condiments (P23).
Principes de Pat : P23</t>
        </r>
      </text>
    </comment>
    <comment ref="AB26" authorId="0">
      <text>
        <r>
          <rPr>
            <sz val="10"/>
            <rFont val="Arial"/>
            <family val="2"/>
          </rPr>
          <t xml:space="preserve">3/5 — correct
Blanc sans la structure qu'appelle la viande (P21, P20).
Principes de Pat : P21, P20</t>
        </r>
      </text>
    </comment>
    <comment ref="AB27" authorId="0">
      <text>
        <r>
          <rPr>
            <sz val="10"/>
            <rFont val="Arial"/>
            <family val="2"/>
          </rPr>
          <t xml:space="preserve">3/5 — correct
Blanc sans la structure qu'appelle la viande (P21, P20).
Principes de Pat : P21, P20</t>
        </r>
      </text>
    </comment>
    <comment ref="AB29" authorId="0">
      <text>
        <r>
          <rPr>
            <sz val="10"/>
            <rFont val="Arial"/>
            <family val="2"/>
          </rPr>
          <t xml:space="preserve">4/5 — très bon
L'émulsion à l'œuf plafonne l'accord (P10, P35) ; rouge juteux et vif, tanins fins pour la viande crue (P21, P23).
Principes de Pat : P10, P35, P21, P23</t>
        </r>
      </text>
    </comment>
    <comment ref="AB30" authorId="0">
      <text>
        <r>
          <rPr>
            <sz val="10"/>
            <rFont val="Arial"/>
            <family val="2"/>
          </rPr>
          <t xml:space="preserve">3/5 — correct
Acidité trop faible face aux condiments (P23).
Principes de Pat : P23</t>
        </r>
      </text>
    </comment>
    <comment ref="AB31" authorId="0">
      <text>
        <r>
          <rPr>
            <sz val="10"/>
            <rFont val="Arial"/>
            <family val="2"/>
          </rPr>
          <t xml:space="preserve">3/5 — correct
Acidité trop faible face aux condiments (P23).
Principes de Pat : P23</t>
        </r>
      </text>
    </comment>
    <comment ref="AB32" authorId="0">
      <text>
        <r>
          <rPr>
            <sz val="10"/>
            <rFont val="Arial"/>
            <family val="2"/>
          </rPr>
          <t xml:space="preserve">3/5 — correct
Acidité trop faible face aux condiments (P23).
Principes de Pat : P23</t>
        </r>
      </text>
    </comment>
    <comment ref="AB33" authorId="0">
      <text>
        <r>
          <rPr>
            <sz val="10"/>
            <rFont val="Arial"/>
            <family val="2"/>
          </rPr>
          <t xml:space="preserve">2/5 — médiocre
Le bois couvre la finesse et amplifie l'amertume (P19) ; acidité trop faible face aux condiments (P23).
Principes de Pat : P19, P23</t>
        </r>
      </text>
    </comment>
    <comment ref="AB34"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35"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36"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37" authorId="0">
      <text>
        <r>
          <rPr>
            <sz val="10"/>
            <rFont val="Arial"/>
            <family val="2"/>
          </rPr>
          <t xml:space="preserve">1/5 — pas bon du tout
Le bois couvre la finesse et amplifie l'amertume (P19) ; tanin trop présent pour la viande crue et maigre (P21) ; acidité trop faible face aux condiments (P23).
Principes de Pat : P19, P21, P23</t>
        </r>
      </text>
    </comment>
    <comment ref="AB38" authorId="0">
      <text>
        <r>
          <rPr>
            <sz val="10"/>
            <rFont val="Arial"/>
            <family val="2"/>
          </rPr>
          <t xml:space="preserve">4/5 — très bon
L'émulsion à l'œuf plafonne l'accord (P10, P35) ; rouge juteux et vif, tanins fins pour la viande crue (P21, P23).
Principes de Pat : P10, P35, P21, P23</t>
        </r>
      </text>
    </comment>
    <comment ref="AB39" authorId="0">
      <text>
        <r>
          <rPr>
            <sz val="10"/>
            <rFont val="Arial"/>
            <family val="2"/>
          </rPr>
          <t xml:space="preserve">4/5 — très bon
L'émulsion à l'œuf plafonne l'accord (P10, P35) ; rouge juteux et vif, tanins fins pour la viande crue (P21, P23).
Principes de Pat : P10, P35, P21, P23</t>
        </r>
      </text>
    </comment>
    <comment ref="AB40" authorId="0">
      <text>
        <r>
          <rPr>
            <sz val="10"/>
            <rFont val="Arial"/>
            <family val="2"/>
          </rPr>
          <t xml:space="preserve">2/5 — médiocre
Tanin trop présent pour la viande crue et maigre (P21) ; acidité trop faible face aux condiments (P23).
Principes de Pat : P21, P23</t>
        </r>
      </text>
    </comment>
    <comment ref="AB41" authorId="0">
      <text>
        <r>
          <rPr>
            <sz val="10"/>
            <rFont val="Arial"/>
            <family val="2"/>
          </rPr>
          <t xml:space="preserve">2/5 — médiocre
Tanin trop présent pour la viande crue et maigre (P21) ; acidité trop faible face aux condiments (P23).
Principes de Pat : P21, P23</t>
        </r>
      </text>
    </comment>
    <comment ref="AB42" authorId="0">
      <text>
        <r>
          <rPr>
            <sz val="10"/>
            <rFont val="Arial"/>
            <family val="2"/>
          </rPr>
          <t xml:space="preserve">2/5 — médiocre
Tanin trop présent pour la viande crue et maigre (P21) ; acidité trop faible face aux condiments (P23).
Principes de Pat : P21, P23</t>
        </r>
      </text>
    </comment>
    <comment ref="AB43"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44"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45"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46"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47"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48" authorId="0">
      <text>
        <r>
          <rPr>
            <sz val="10"/>
            <rFont val="Arial"/>
            <family val="2"/>
          </rPr>
          <t xml:space="preserve">1/5 — pas bon du tout
Tanin trop présent pour la viande crue et maigre (P21) ; le bois couvre la finesse et amplifie l'amertume (P19).
Principes de Pat : P21, P19</t>
        </r>
      </text>
    </comment>
    <comment ref="AB49" authorId="0">
      <text>
        <r>
          <rPr>
            <sz val="10"/>
            <rFont val="Arial"/>
            <family val="2"/>
          </rPr>
          <t xml:space="preserve">1/5 — pas bon du tout
Tanin trop présent pour la viande crue et maigre (P21) ; le bois couvre la finesse et amplifie l'amertume (P19) ; acidité trop faible face aux condiments (P23) ; trop puissant, il écrase le plat (P20).
Principes de Pat : P21, P19, P23, P20</t>
        </r>
      </text>
    </comment>
    <comment ref="AB50" authorId="0">
      <text>
        <r>
          <rPr>
            <sz val="10"/>
            <rFont val="Arial"/>
            <family val="2"/>
          </rPr>
          <t xml:space="preserve">1/5 — pas bon du tout
Tanin trop présent pour la viande crue et maigre (P21) ; le bois couvre la finesse et amplifie l'amertume (P19).
Principes de Pat : P21, P19</t>
        </r>
      </text>
    </comment>
    <comment ref="AB51" authorId="0">
      <text>
        <r>
          <rPr>
            <sz val="10"/>
            <rFont val="Arial"/>
            <family val="2"/>
          </rPr>
          <t xml:space="preserve">2/5 — médiocre
Le bois couvre la finesse et amplifie l'amertume (P19) ; acidité trop faible face aux condiments (P23).
Principes de Pat : P19, P23</t>
        </r>
      </text>
    </comment>
    <comment ref="AB52"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53"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54" authorId="0">
      <text>
        <r>
          <rPr>
            <sz val="10"/>
            <rFont val="Arial"/>
            <family val="2"/>
          </rPr>
          <t xml:space="preserve">1/5 — pas bon du tout
Tanin trop présent pour la viande crue et maigre (P21) ; le bois couvre la finesse et amplifie l'amertume (P19).
Principes de Pat : P21, P19</t>
        </r>
      </text>
    </comment>
    <comment ref="AB55"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56" authorId="0">
      <text>
        <r>
          <rPr>
            <sz val="10"/>
            <rFont val="Arial"/>
            <family val="2"/>
          </rPr>
          <t xml:space="preserve">2/5 — médiocre
Le bois couvre la finesse et amplifie l'amertume (P19) ; acidité trop faible face aux condiments (P23).
Principes de Pat : P19, P23</t>
        </r>
      </text>
    </comment>
    <comment ref="AB57" authorId="0">
      <text>
        <r>
          <rPr>
            <sz val="10"/>
            <rFont val="Arial"/>
            <family val="2"/>
          </rPr>
          <t xml:space="preserve">1/5 — pas bon du tout
Tanin trop présent pour la viande crue et maigre (P21) ; le bois couvre la finesse et amplifie l'amertume (P19).
Principes de Pat : P21, P19</t>
        </r>
      </text>
    </comment>
    <comment ref="AB58" authorId="0">
      <text>
        <r>
          <rPr>
            <sz val="10"/>
            <rFont val="Arial"/>
            <family val="2"/>
          </rPr>
          <t xml:space="preserve">4/5 — très bon
L'émulsion à l'œuf plafonne l'accord (P10, P35) ; rouge juteux et vif, tanins fins pour la viande crue (P21, P23).
Principes de Pat : P10, P35, P21, P23</t>
        </r>
      </text>
    </comment>
    <comment ref="AB59" authorId="0">
      <text>
        <r>
          <rPr>
            <sz val="10"/>
            <rFont val="Arial"/>
            <family val="2"/>
          </rPr>
          <t xml:space="preserve">3/5 — correct
Tanin trop présent pour la viande crue et maigre (P21).
Principes de Pat : P21</t>
        </r>
      </text>
    </comment>
    <comment ref="AB60" authorId="0">
      <text>
        <r>
          <rPr>
            <sz val="10"/>
            <rFont val="Arial"/>
            <family val="2"/>
          </rPr>
          <t xml:space="preserve">3/5 — correct
Tanin trop présent pour la viande crue et maigre (P21).
Principes de Pat : P21</t>
        </r>
      </text>
    </comment>
    <comment ref="AB61"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62" authorId="0">
      <text>
        <r>
          <rPr>
            <sz val="10"/>
            <rFont val="Arial"/>
            <family val="2"/>
          </rPr>
          <t xml:space="preserve">1/5 — pas bon du tout
Tanin trop présent pour la viande crue et maigre (P21) ; le bois couvre la finesse et amplifie l'amertume (P19).
Principes de Pat : P21, P19</t>
        </r>
      </text>
    </comment>
    <comment ref="AB63" authorId="0">
      <text>
        <r>
          <rPr>
            <sz val="10"/>
            <rFont val="Arial"/>
            <family val="2"/>
          </rPr>
          <t xml:space="preserve">1/5 — pas bon du tout
Tanin trop présent pour la viande crue et maigre (P21) ; le bois couvre la finesse et amplifie l'amertume (P19).
Principes de Pat : P21, P19</t>
        </r>
      </text>
    </comment>
    <comment ref="AB64" authorId="0">
      <text>
        <r>
          <rPr>
            <sz val="10"/>
            <rFont val="Arial"/>
            <family val="2"/>
          </rPr>
          <t xml:space="preserve">2/5 — médiocre
Tanin trop présent pour la viande crue et maigre (P21) ; le bois couvre la finesse et amplifie l'amertume (P19).
Principes de Pat : P21, P19</t>
        </r>
      </text>
    </comment>
    <comment ref="AB65" authorId="0">
      <text>
        <r>
          <rPr>
            <sz val="10"/>
            <rFont val="Arial"/>
            <family val="2"/>
          </rPr>
          <t xml:space="preserve">1/5 — pas bon du tout
Le bois couvre la finesse et amplifie l'amertume (P19) ; tanin trop présent pour la viande crue et maigre (P21) ; acidité trop faible face aux condiments (P23) ; trop puissant, il écrase le plat (P20).
Principes de Pat : P19, P21, P23, P20</t>
        </r>
      </text>
    </comment>
    <comment ref="AB66" authorId="0">
      <text>
        <r>
          <rPr>
            <sz val="10"/>
            <rFont val="Arial"/>
            <family val="2"/>
          </rPr>
          <t xml:space="preserve">3/5 — correct
Acidité trop faible face aux condiments (P23).
Principes de Pat : P23</t>
        </r>
      </text>
    </comment>
    <comment ref="AB67" authorId="0">
      <text>
        <r>
          <rPr>
            <sz val="10"/>
            <rFont val="Arial"/>
            <family val="2"/>
          </rPr>
          <t xml:space="preserve">2/5 — médiocre
Tanin trop présent pour la viande crue et maigre (P21) ; acidité trop faible face aux condiments (P23).
Principes de Pat : P21, P23</t>
        </r>
      </text>
    </comment>
    <comment ref="AB68" authorId="0">
      <text>
        <r>
          <rPr>
            <sz val="10"/>
            <rFont val="Arial"/>
            <family val="2"/>
          </rPr>
          <t xml:space="preserve">1/5 — pas bon du tout
Tanin trop présent pour la viande crue et maigre (P21) ; le bois couvre la finesse et amplifie l'amertume (P19) ; acidité trop faible face aux condiments (P23).
Principes de Pat : P21, P19, P23</t>
        </r>
      </text>
    </comment>
    <comment ref="AB70" authorId="0">
      <text>
        <r>
          <rPr>
            <sz val="10"/>
            <rFont val="Arial"/>
            <family val="2"/>
          </rPr>
          <t xml:space="preserve">3/5 — correct
Acidité trop faible face aux condiments (P23).
Principes de Pat : P23</t>
        </r>
      </text>
    </comment>
    <comment ref="AB71" authorId="0">
      <text>
        <r>
          <rPr>
            <sz val="10"/>
            <rFont val="Arial"/>
            <family val="2"/>
          </rPr>
          <t xml:space="preserve">3/5 — correct
Acidité trop faible face aux condiments (P23).
Principes de Pat : P23</t>
        </r>
      </text>
    </comment>
    <comment ref="AB73" authorId="0">
      <text>
        <r>
          <rPr>
            <sz val="10"/>
            <rFont val="Arial"/>
            <family val="2"/>
          </rPr>
          <t xml:space="preserve">3/5 — correct
Acidité trop faible face aux condiments (P23).
Principes de Pat : P23</t>
        </r>
      </text>
    </comment>
    <comment ref="AB74" authorId="0">
      <text>
        <r>
          <rPr>
            <sz val="10"/>
            <rFont val="Arial"/>
            <family val="2"/>
          </rPr>
          <t xml:space="preserve">3/5 — correct
Blanc sans la structure qu'appelle la viande (P21, P20).
Principes de Pat : P21, P20</t>
        </r>
      </text>
    </comment>
    <comment ref="AB75" authorId="0">
      <text>
        <r>
          <rPr>
            <sz val="10"/>
            <rFont val="Arial"/>
            <family val="2"/>
          </rPr>
          <t xml:space="preserve">3/5 — correct
Blanc sans la structure qu'appelle la viande (P21, P20).
Principes de Pat : P21, P20</t>
        </r>
      </text>
    </comment>
    <comment ref="AB76" authorId="0">
      <text>
        <r>
          <rPr>
            <sz val="10"/>
            <rFont val="Arial"/>
            <family val="2"/>
          </rPr>
          <t xml:space="preserve">3/5 — correct
Acidité trop faible face aux condiments (P23).
Principes de Pat : P23</t>
        </r>
      </text>
    </comment>
    <comment ref="AB77" authorId="0">
      <text>
        <r>
          <rPr>
            <sz val="10"/>
            <rFont val="Arial"/>
            <family val="2"/>
          </rPr>
          <t xml:space="preserve">3/5 — correct
Blanc sans la structure qu'appelle la viande (P21, P20).
Principes de Pat : P21, P20</t>
        </r>
      </text>
    </comment>
    <comment ref="AB78" authorId="0">
      <text>
        <r>
          <rPr>
            <sz val="10"/>
            <rFont val="Arial"/>
            <family val="2"/>
          </rPr>
          <t xml:space="preserve">3/5 — correct
Blanc sans la structure qu'appelle la viande (P21, P20).
Principes de Pat : P21, P20</t>
        </r>
      </text>
    </comment>
    <comment ref="AB79" authorId="0">
      <text>
        <r>
          <rPr>
            <sz val="10"/>
            <rFont val="Arial"/>
            <family val="2"/>
          </rPr>
          <t xml:space="preserve">3/5 — correct
Blanc sans la structure qu'appelle la viande (P21, P20).
Principes de Pat : P21, P20</t>
        </r>
      </text>
    </comment>
    <comment ref="AB81" authorId="0">
      <text>
        <r>
          <rPr>
            <sz val="10"/>
            <rFont val="Arial"/>
            <family val="2"/>
          </rPr>
          <t xml:space="preserve">1/5 — pas bon du tout
Liquoreux hors de propos sur un plat salé qui n'appelle pas de sucre (P20, P4).
Principes de Pat : P20, P4</t>
        </r>
      </text>
    </comment>
    <comment ref="AC7" authorId="0">
      <text>
        <r>
          <rPr>
            <sz val="10"/>
            <rFont val="Arial"/>
            <family val="2"/>
          </rPr>
          <t xml:space="preserve">2/5 — médiocre
Trop léger, il disparaît derrière le plat (P20).
Principes de Pat : P20</t>
        </r>
      </text>
    </comment>
    <comment ref="AC8" authorId="0">
      <text>
        <r>
          <rPr>
            <sz val="10"/>
            <rFont val="Arial"/>
            <family val="2"/>
          </rPr>
          <t xml:space="preserve">2/5 — médiocre
Blanc sans la structure qu'appelle la viande (P21, P20).
Principes de Pat : P21, P20</t>
        </r>
      </text>
    </comment>
    <comment ref="AC9" authorId="0">
      <text>
        <r>
          <rPr>
            <sz val="10"/>
            <rFont val="Arial"/>
            <family val="2"/>
          </rPr>
          <t xml:space="preserve">2/5 — médiocre
Blanc sans la structure qu'appelle la viande (P21, P20).
Principes de Pat : P21, P20</t>
        </r>
      </text>
    </comment>
    <comment ref="AC10" authorId="0">
      <text>
        <r>
          <rPr>
            <sz val="10"/>
            <rFont val="Arial"/>
            <family val="2"/>
          </rPr>
          <t xml:space="preserve">2/5 — médiocre
Blanc sans la structure qu'appelle la viande (P21, P20).
Principes de Pat : P21, P20</t>
        </r>
      </text>
    </comment>
    <comment ref="AC11" authorId="0">
      <text>
        <r>
          <rPr>
            <sz val="10"/>
            <rFont val="Arial"/>
            <family val="2"/>
          </rPr>
          <t xml:space="preserve">2/5 — médiocre
Trop léger, il disparaît derrière le plat (P20).
Principes de Pat : P20</t>
        </r>
      </text>
    </comment>
    <comment ref="AC12" authorId="0">
      <text>
        <r>
          <rPr>
            <sz val="10"/>
            <rFont val="Arial"/>
            <family val="2"/>
          </rPr>
          <t xml:space="preserve">2/5 — médiocre
Blanc sans la structure qu'appelle la viande (P21, P20).
Principes de Pat : P21, P20</t>
        </r>
      </text>
    </comment>
    <comment ref="AC13" authorId="0">
      <text>
        <r>
          <rPr>
            <sz val="10"/>
            <rFont val="Arial"/>
            <family val="2"/>
          </rPr>
          <t xml:space="preserve">2/5 — médiocre
Trop léger, il disparaît derrière le plat (P20).
Principes de Pat : P20</t>
        </r>
      </text>
    </comment>
    <comment ref="AC14" authorId="0">
      <text>
        <r>
          <rPr>
            <sz val="10"/>
            <rFont val="Arial"/>
            <family val="2"/>
          </rPr>
          <t xml:space="preserve">2/5 — médiocre
Blanc sans la structure qu'appelle la viande (P21, P20).
Principes de Pat : P21, P20</t>
        </r>
      </text>
    </comment>
    <comment ref="AC15" authorId="0">
      <text>
        <r>
          <rPr>
            <sz val="10"/>
            <rFont val="Arial"/>
            <family val="2"/>
          </rPr>
          <t xml:space="preserve">2/5 — médiocre
Blanc sans la structure qu'appelle la viande (P21, P20).
Principes de Pat : P21, P20</t>
        </r>
      </text>
    </comment>
    <comment ref="AC16" authorId="0">
      <text>
        <r>
          <rPr>
            <sz val="10"/>
            <rFont val="Arial"/>
            <family val="2"/>
          </rPr>
          <t xml:space="preserve">2/5 — médiocre
Blanc sans la structure qu'appelle la viande (P21, P20).
Principes de Pat : P21, P20</t>
        </r>
      </text>
    </comment>
    <comment ref="AC17" authorId="0">
      <text>
        <r>
          <rPr>
            <sz val="10"/>
            <rFont val="Arial"/>
            <family val="2"/>
          </rPr>
          <t xml:space="preserve">2/5 — médiocre
Blanc sans la structure qu'appelle la viande (P21, P20).
Principes de Pat : P21, P20</t>
        </r>
      </text>
    </comment>
    <comment ref="AC18" authorId="0">
      <text>
        <r>
          <rPr>
            <sz val="10"/>
            <rFont val="Arial"/>
            <family val="2"/>
          </rPr>
          <t xml:space="preserve">2/5 — médiocre
Blanc sans la structure qu'appelle la viande (P21, P20).
Principes de Pat : P21, P20</t>
        </r>
      </text>
    </comment>
    <comment ref="AC19" authorId="0">
      <text>
        <r>
          <rPr>
            <sz val="10"/>
            <rFont val="Arial"/>
            <family val="2"/>
          </rPr>
          <t xml:space="preserve">2/5 — médiocre
Blanc sans la structure qu'appelle la viande (P21, P20).
Principes de Pat : P21, P20</t>
        </r>
      </text>
    </comment>
    <comment ref="AC20" authorId="0">
      <text>
        <r>
          <rPr>
            <sz val="10"/>
            <rFont val="Arial"/>
            <family val="2"/>
          </rPr>
          <t xml:space="preserve">2/5 — médiocre
Blanc sans la structure qu'appelle la viande (P21, P20).
Principes de Pat : P21, P20</t>
        </r>
      </text>
    </comment>
    <comment ref="AC21" authorId="0">
      <text>
        <r>
          <rPr>
            <sz val="10"/>
            <rFont val="Arial"/>
            <family val="2"/>
          </rPr>
          <t xml:space="preserve">2/5 — médiocre
Acidité trop faible face au poivre et la crème (P13).
Principes de Pat : P13</t>
        </r>
      </text>
    </comment>
    <comment ref="AC22" authorId="0">
      <text>
        <r>
          <rPr>
            <sz val="10"/>
            <rFont val="Arial"/>
            <family val="2"/>
          </rPr>
          <t xml:space="preserve">2/5 — médiocre
Acidité trop faible face au poivre et la crème (P13).
Principes de Pat : P13</t>
        </r>
      </text>
    </comment>
    <comment ref="AC23" authorId="0">
      <text>
        <r>
          <rPr>
            <sz val="10"/>
            <rFont val="Arial"/>
            <family val="2"/>
          </rPr>
          <t xml:space="preserve">2/5 — médiocre
Trop léger, il disparaît derrière le plat (P20).
Principes de Pat : P20</t>
        </r>
      </text>
    </comment>
    <comment ref="AC24" authorId="0">
      <text>
        <r>
          <rPr>
            <sz val="10"/>
            <rFont val="Arial"/>
            <family val="2"/>
          </rPr>
          <t xml:space="preserve">2/5 — médiocre
Trop léger, il disparaît derrière le plat (P20).
Principes de Pat : P20</t>
        </r>
      </text>
    </comment>
    <comment ref="AC25" authorId="0">
      <text>
        <r>
          <rPr>
            <sz val="10"/>
            <rFont val="Arial"/>
            <family val="2"/>
          </rPr>
          <t xml:space="preserve">2/5 — médiocre
Blanc sans la structure qu'appelle la viande (P21, P20).
Principes de Pat : P21, P20</t>
        </r>
      </text>
    </comment>
    <comment ref="AC26" authorId="0">
      <text>
        <r>
          <rPr>
            <sz val="10"/>
            <rFont val="Arial"/>
            <family val="2"/>
          </rPr>
          <t xml:space="preserve">2/5 — médiocre
Blanc sans la structure qu'appelle la viande (P21, P20).
Principes de Pat : P21, P20</t>
        </r>
      </text>
    </comment>
    <comment ref="AC27" authorId="0">
      <text>
        <r>
          <rPr>
            <sz val="10"/>
            <rFont val="Arial"/>
            <family val="2"/>
          </rPr>
          <t xml:space="preserve">2/5 — médiocre
Trop léger, il disparaît derrière le plat (P20).
Principes de Pat : P20</t>
        </r>
      </text>
    </comment>
    <comment ref="AC29" authorId="0">
      <text>
        <r>
          <rPr>
            <sz val="10"/>
            <rFont val="Arial"/>
            <family val="2"/>
          </rPr>
          <t xml:space="preserve">3/5 — correct
Trop léger, il disparaît derrière le plat (P20).
Principes de Pat : P20</t>
        </r>
      </text>
    </comment>
    <comment ref="AC30" authorId="0">
      <text>
        <r>
          <rPr>
            <sz val="10"/>
            <rFont val="Arial"/>
            <family val="2"/>
          </rPr>
          <t xml:space="preserve">4/5 — très bon
Rouge de poids moyen aux tanins fins : profil qui convient, sans point d'ancrage décisif (P20, P13).
Principes de Pat : P20, P13</t>
        </r>
      </text>
    </comment>
    <comment ref="AC31" authorId="0">
      <text>
        <r>
          <rPr>
            <sz val="10"/>
            <rFont val="Arial"/>
            <family val="2"/>
          </rPr>
          <t xml:space="preserve">5/5 — accord parfait
Tanins fondus et trame acide : la passerelle entre la crème et le poivre (P13, P21).
Principes de Pat : P13, P21</t>
        </r>
      </text>
    </comment>
    <comment ref="AC32" authorId="0">
      <text>
        <r>
          <rPr>
            <sz val="10"/>
            <rFont val="Arial"/>
            <family val="2"/>
          </rPr>
          <t xml:space="preserve">3/5 — correct
Trop léger, il disparaît derrière le plat (P20).
Principes de Pat : P20</t>
        </r>
      </text>
    </comment>
    <comment ref="AC33" authorId="0">
      <text>
        <r>
          <rPr>
            <sz val="10"/>
            <rFont val="Arial"/>
            <family val="2"/>
          </rPr>
          <t xml:space="preserve">4/5 — très bon
Rouge de poids moyen aux tanins fins : profil qui convient, sans point d'ancrage décisif (P20, P13).
Principes de Pat : P20, P13</t>
        </r>
      </text>
    </comment>
    <comment ref="AC34" authorId="0">
      <text>
        <r>
          <rPr>
            <sz val="10"/>
            <rFont val="Arial"/>
            <family val="2"/>
          </rPr>
          <t xml:space="preserve">5/5 — accord parfait
Tanins fondus et trame acide : la passerelle entre la crème et le poivre (P13, P21).
Principes de Pat : P13, P21</t>
        </r>
      </text>
    </comment>
    <comment ref="AC35" authorId="0">
      <text>
        <r>
          <rPr>
            <sz val="10"/>
            <rFont val="Arial"/>
            <family val="2"/>
          </rPr>
          <t xml:space="preserve">5/5 — accord parfait
Tanins fondus et trame acide : la passerelle entre la crème et le poivre (P13, P21).
Principes de Pat : P13, P21</t>
        </r>
      </text>
    </comment>
    <comment ref="AC36" authorId="0">
      <text>
        <r>
          <rPr>
            <sz val="10"/>
            <rFont val="Arial"/>
            <family val="2"/>
          </rPr>
          <t xml:space="preserve">3/5 — correct
Tanin trop présent pour le poivre (P13).
Principes de Pat : P13</t>
        </r>
      </text>
    </comment>
    <comment ref="AC37" authorId="0">
      <text>
        <r>
          <rPr>
            <sz val="10"/>
            <rFont val="Arial"/>
            <family val="2"/>
          </rPr>
          <t xml:space="preserve">4/5 — très bon
Tanins fondus et trame acide : la passerelle entre la crème et le poivre (P13, P21) ; le bois couvre la finesse et amplifie l'amertume (P19).
Principes de Pat : P13, P21, P19</t>
        </r>
      </text>
    </comment>
    <comment ref="AC38" authorId="0">
      <text>
        <r>
          <rPr>
            <sz val="10"/>
            <rFont val="Arial"/>
            <family val="2"/>
          </rPr>
          <t xml:space="preserve">3/5 — correct
Trop léger, il disparaît derrière le plat (P20).
Principes de Pat : P20</t>
        </r>
      </text>
    </comment>
    <comment ref="AC39" authorId="0">
      <text>
        <r>
          <rPr>
            <sz val="10"/>
            <rFont val="Arial"/>
            <family val="2"/>
          </rPr>
          <t xml:space="preserve">3/5 — correct
Trop léger, il disparaît derrière le plat (P20).
Principes de Pat : P20</t>
        </r>
      </text>
    </comment>
    <comment ref="AC40" authorId="0">
      <text>
        <r>
          <rPr>
            <sz val="10"/>
            <rFont val="Arial"/>
            <family val="2"/>
          </rPr>
          <t xml:space="preserve">3/5 — correct
Tanins jeunes durcis par le poivre ; carafer (P13, P43).
Principes de Pat : P13, P43</t>
        </r>
      </text>
    </comment>
    <comment ref="AC41" authorId="0">
      <text>
        <r>
          <rPr>
            <sz val="10"/>
            <rFont val="Arial"/>
            <family val="2"/>
          </rPr>
          <t xml:space="preserve">4/5 — très bon
Le poivre de la syrah fait miroir à la sauce (P25, P13) ; tanins jeunes durcis par le poivre ; carafer (P13, P43).
Principes de Pat : P25, P13, P43</t>
        </r>
      </text>
    </comment>
    <comment ref="AC42" authorId="0">
      <text>
        <r>
          <rPr>
            <sz val="10"/>
            <rFont val="Arial"/>
            <family val="2"/>
          </rPr>
          <t xml:space="preserve">3/5 — correct
Tanins jeunes durcis par le poivre ; carafer (P13, P43).
Principes de Pat : P13, P43</t>
        </r>
      </text>
    </comment>
    <comment ref="AC43" authorId="0">
      <text>
        <r>
          <rPr>
            <sz val="10"/>
            <rFont val="Arial"/>
            <family val="2"/>
          </rPr>
          <t xml:space="preserve">4/5 — très bon
Le poivre de la syrah fait miroir à la sauce (P25, P13) ; tanins jeunes durcis par le poivre ; carafer (P13, P43).
Principes de Pat : P25, P13, P43</t>
        </r>
      </text>
    </comment>
    <comment ref="AC44" authorId="0">
      <text>
        <r>
          <rPr>
            <sz val="10"/>
            <rFont val="Arial"/>
            <family val="2"/>
          </rPr>
          <t xml:space="preserve">3/5 — correct
Tanins jeunes durcis par le poivre ; carafer (P13, P43).
Principes de Pat : P13, P43</t>
        </r>
      </text>
    </comment>
    <comment ref="AC45" authorId="0">
      <text>
        <r>
          <rPr>
            <sz val="10"/>
            <rFont val="Arial"/>
            <family val="2"/>
          </rPr>
          <t xml:space="preserve">4/5 — très bon
Rouge de poids moyen aux tanins présents : profil qui convient, sans point d'ancrage décisif (P20, P13).
Principes de Pat : P20, P13</t>
        </r>
      </text>
    </comment>
    <comment ref="AC46" authorId="0">
      <text>
        <r>
          <rPr>
            <sz val="10"/>
            <rFont val="Arial"/>
            <family val="2"/>
          </rPr>
          <t xml:space="preserve">4/5 — très bon
Rouge de poids moyen aux tanins présents : profil qui convient, sans point d'ancrage décisif (P20, P13).
Principes de Pat : P20, P13</t>
        </r>
      </text>
    </comment>
    <comment ref="AC47" authorId="0">
      <text>
        <r>
          <rPr>
            <sz val="10"/>
            <rFont val="Arial"/>
            <family val="2"/>
          </rPr>
          <t xml:space="preserve">4/5 — très bon
Rouge de poids moyen aux tanins présents : profil qui convient, sans point d'ancrage décisif (P20, P13).
Principes de Pat : P20, P13</t>
        </r>
      </text>
    </comment>
    <comment ref="AC48" authorId="0">
      <text>
        <r>
          <rPr>
            <sz val="10"/>
            <rFont val="Arial"/>
            <family val="2"/>
          </rPr>
          <t xml:space="preserve">2/5 — médiocre
Tanin trop présent pour le poivre (P13) ; tanins jeunes durcis par le poivre ; carafer (P13, P43) ; le bois couvre la finesse et amplifie l'amertume (P19).
Principes de Pat : P13, P43, P19</t>
        </r>
      </text>
    </comment>
    <comment ref="AC49" authorId="0">
      <text>
        <r>
          <rPr>
            <sz val="10"/>
            <rFont val="Arial"/>
            <family val="2"/>
          </rPr>
          <t xml:space="preserve">2/5 — médiocre
Tanin trop présent pour le poivre (P13) ; le bois couvre la finesse et amplifie l'amertume (P19).
Principes de Pat : P13, P19</t>
        </r>
      </text>
    </comment>
    <comment ref="AC50" authorId="0">
      <text>
        <r>
          <rPr>
            <sz val="10"/>
            <rFont val="Arial"/>
            <family val="2"/>
          </rPr>
          <t xml:space="preserve">2/5 — médiocre
Tanin trop présent pour le poivre (P13) ; tanins jeunes durcis par le poivre ; carafer (P13, P43) ; le bois couvre la finesse et amplifie l'amertume (P19).
Principes de Pat : P13, P43, P19</t>
        </r>
      </text>
    </comment>
    <comment ref="AC51" authorId="0">
      <text>
        <r>
          <rPr>
            <sz val="10"/>
            <rFont val="Arial"/>
            <family val="2"/>
          </rPr>
          <t xml:space="preserve">5/5 — accord parfait
Tanins fondus et trame acide : la passerelle entre la crème et le poivre (P13, P21).
Principes de Pat : P13, P21</t>
        </r>
      </text>
    </comment>
    <comment ref="AC52" authorId="0">
      <text>
        <r>
          <rPr>
            <sz val="10"/>
            <rFont val="Arial"/>
            <family val="2"/>
          </rPr>
          <t xml:space="preserve">3/5 — correct
Tanins jeunes durcis par le poivre ; carafer (P13, P43).
Principes de Pat : P13, P43</t>
        </r>
      </text>
    </comment>
    <comment ref="AC53" authorId="0">
      <text>
        <r>
          <rPr>
            <sz val="10"/>
            <rFont val="Arial"/>
            <family val="2"/>
          </rPr>
          <t xml:space="preserve">4/5 — très bon
Rouge de poids moyen aux tanins présents : profil qui convient, sans point d'ancrage décisif (P20, P13).
Principes de Pat : P20, P13</t>
        </r>
      </text>
    </comment>
    <comment ref="AC54" authorId="0">
      <text>
        <r>
          <rPr>
            <sz val="10"/>
            <rFont val="Arial"/>
            <family val="2"/>
          </rPr>
          <t xml:space="preserve">3/5 — correct
Tanin trop présent pour le poivre (P13).
Principes de Pat : P13</t>
        </r>
      </text>
    </comment>
    <comment ref="AC55" authorId="0">
      <text>
        <r>
          <rPr>
            <sz val="10"/>
            <rFont val="Arial"/>
            <family val="2"/>
          </rPr>
          <t xml:space="preserve">2/5 — médiocre
Tanin trop présent pour le poivre (P13) ; tanins jeunes durcis par le poivre ; carafer (P13, P43).
Principes de Pat : P13, P43</t>
        </r>
      </text>
    </comment>
    <comment ref="AC56" authorId="0">
      <text>
        <r>
          <rPr>
            <sz val="10"/>
            <rFont val="Arial"/>
            <family val="2"/>
          </rPr>
          <t xml:space="preserve">5/5 — accord parfait
Tanins fondus et trame acide : la passerelle entre la crème et le poivre (P13, P21).
Principes de Pat : P13, P21</t>
        </r>
      </text>
    </comment>
    <comment ref="AC57" authorId="0">
      <text>
        <r>
          <rPr>
            <sz val="10"/>
            <rFont val="Arial"/>
            <family val="2"/>
          </rPr>
          <t xml:space="preserve">2/5 — médiocre
Tanin trop présent pour le poivre (P13) ; tanins jeunes durcis par le poivre ; carafer (P13, P43) ; le bois couvre la finesse et amplifie l'amertume (P19).
Principes de Pat : P13, P43, P19</t>
        </r>
      </text>
    </comment>
    <comment ref="AC58" authorId="0">
      <text>
        <r>
          <rPr>
            <sz val="10"/>
            <rFont val="Arial"/>
            <family val="2"/>
          </rPr>
          <t xml:space="preserve">3/5 — correct
Trop léger, il disparaît derrière le plat (P20).
Principes de Pat : P20</t>
        </r>
      </text>
    </comment>
    <comment ref="AC59" authorId="0">
      <text>
        <r>
          <rPr>
            <sz val="10"/>
            <rFont val="Arial"/>
            <family val="2"/>
          </rPr>
          <t xml:space="preserve">3/5 — correct
Tanins jeunes durcis par le poivre ; carafer (P13, P43).
Principes de Pat : P13, P43</t>
        </r>
      </text>
    </comment>
    <comment ref="AC60" authorId="0">
      <text>
        <r>
          <rPr>
            <sz val="10"/>
            <rFont val="Arial"/>
            <family val="2"/>
          </rPr>
          <t xml:space="preserve">4/5 — très bon
Rouge de poids moyen aux tanins présents : profil qui convient, sans point d'ancrage décisif (P20, P13).
Principes de Pat : P20, P13</t>
        </r>
      </text>
    </comment>
    <comment ref="AC61" authorId="0">
      <text>
        <r>
          <rPr>
            <sz val="10"/>
            <rFont val="Arial"/>
            <family val="2"/>
          </rPr>
          <t xml:space="preserve">3/5 — correct
Tanins jeunes durcis par le poivre ; carafer (P13, P43).
Principes de Pat : P13, P43</t>
        </r>
      </text>
    </comment>
    <comment ref="AC62" authorId="0">
      <text>
        <r>
          <rPr>
            <sz val="10"/>
            <rFont val="Arial"/>
            <family val="2"/>
          </rPr>
          <t xml:space="preserve">2/5 — médiocre
Tanin trop présent pour le poivre (P13) ; tanins jeunes durcis par le poivre ; carafer (P13, P43) ; le bois couvre la finesse et amplifie l'amertume (P19).
Principes de Pat : P13, P43, P19</t>
        </r>
      </text>
    </comment>
    <comment ref="AC63" authorId="0">
      <text>
        <r>
          <rPr>
            <sz val="10"/>
            <rFont val="Arial"/>
            <family val="2"/>
          </rPr>
          <t xml:space="preserve">2/5 — médiocre
Tanin trop présent pour le poivre (P13) ; le bois couvre la finesse et amplifie l'amertume (P19).
Principes de Pat : P13, P19</t>
        </r>
      </text>
    </comment>
    <comment ref="AC64" authorId="0">
      <text>
        <r>
          <rPr>
            <sz val="10"/>
            <rFont val="Arial"/>
            <family val="2"/>
          </rPr>
          <t xml:space="preserve">3/5 — correct
Tanins jeunes durcis par le poivre ; carafer (P13, P43).
Principes de Pat : P13, P43</t>
        </r>
      </text>
    </comment>
    <comment ref="AC65" authorId="0">
      <text>
        <r>
          <rPr>
            <sz val="10"/>
            <rFont val="Arial"/>
            <family val="2"/>
          </rPr>
          <t xml:space="preserve">2/5 — médiocre
Le bois couvre la finesse et amplifie l'amertume (P19) ; tanin trop présent pour le poivre (P13) ; tanins jeunes durcis par le poivre ; carafer (P13, P43).
Principes de Pat : P19, P13, P43</t>
        </r>
      </text>
    </comment>
    <comment ref="AC66" authorId="0">
      <text>
        <r>
          <rPr>
            <sz val="10"/>
            <rFont val="Arial"/>
            <family val="2"/>
          </rPr>
          <t xml:space="preserve">4/5 — très bon
Rouge de poids moyen aux tanins fondus, patiné : profil qui convient, sans point d'ancrage décisif (P20, P13).
Principes de Pat : P20, P13</t>
        </r>
      </text>
    </comment>
    <comment ref="AC67" authorId="0">
      <text>
        <r>
          <rPr>
            <sz val="10"/>
            <rFont val="Arial"/>
            <family val="2"/>
          </rPr>
          <t xml:space="preserve">4/5 — très bon
Rouge puissant aux tanins fondus, patiné : profil qui convient, sans point d'ancrage décisif (P20, P13).
Principes de Pat : P20, P13</t>
        </r>
      </text>
    </comment>
    <comment ref="AC68" authorId="0">
      <text>
        <r>
          <rPr>
            <sz val="10"/>
            <rFont val="Arial"/>
            <family val="2"/>
          </rPr>
          <t xml:space="preserve">2/5 — médiocre
Tanin trop présent pour le poivre (P13) ; tanins jeunes durcis par le poivre ; carafer (P13, P43).
Principes de Pat : P13, P43</t>
        </r>
      </text>
    </comment>
    <comment ref="AC70" authorId="0">
      <text>
        <r>
          <rPr>
            <sz val="10"/>
            <rFont val="Arial"/>
            <family val="2"/>
          </rPr>
          <t xml:space="preserve">2/5 — médiocre
Trop léger, il disparaît derrière le plat (P20).
Principes de Pat : P20</t>
        </r>
      </text>
    </comment>
    <comment ref="AC71" authorId="0">
      <text>
        <r>
          <rPr>
            <sz val="10"/>
            <rFont val="Arial"/>
            <family val="2"/>
          </rPr>
          <t xml:space="preserve">2/5 — médiocre
Trop léger, il disparaît derrière le plat (P20).
Principes de Pat : P20</t>
        </r>
      </text>
    </comment>
    <comment ref="AC73" authorId="0">
      <text>
        <r>
          <rPr>
            <sz val="10"/>
            <rFont val="Arial"/>
            <family val="2"/>
          </rPr>
          <t xml:space="preserve">2/5 — médiocre
Trop léger, il disparaît derrière le plat (P20).
Principes de Pat : P20</t>
        </r>
      </text>
    </comment>
    <comment ref="AC74" authorId="0">
      <text>
        <r>
          <rPr>
            <sz val="10"/>
            <rFont val="Arial"/>
            <family val="2"/>
          </rPr>
          <t xml:space="preserve">2/5 — médiocre
Blanc sans la structure qu'appelle la viande (P21, P20).
Principes de Pat : P21, P20</t>
        </r>
      </text>
    </comment>
    <comment ref="AC75" authorId="0">
      <text>
        <r>
          <rPr>
            <sz val="10"/>
            <rFont val="Arial"/>
            <family val="2"/>
          </rPr>
          <t xml:space="preserve">2/5 — médiocre
Blanc sans la structure qu'appelle la viande (P21, P20).
Principes de Pat : P21, P20</t>
        </r>
      </text>
    </comment>
    <comment ref="AC76" authorId="0">
      <text>
        <r>
          <rPr>
            <sz val="10"/>
            <rFont val="Arial"/>
            <family val="2"/>
          </rPr>
          <t xml:space="preserve">2/5 — médiocre
Blanc sans la structure qu'appelle la viande (P21, P20).
Principes de Pat : P21, P20</t>
        </r>
      </text>
    </comment>
    <comment ref="AC77" authorId="0">
      <text>
        <r>
          <rPr>
            <sz val="10"/>
            <rFont val="Arial"/>
            <family val="2"/>
          </rPr>
          <t xml:space="preserve">2/5 — médiocre
Trop léger, il disparaît derrière le plat (P20).
Principes de Pat : P20</t>
        </r>
      </text>
    </comment>
    <comment ref="AC78" authorId="0">
      <text>
        <r>
          <rPr>
            <sz val="10"/>
            <rFont val="Arial"/>
            <family val="2"/>
          </rPr>
          <t xml:space="preserve">2/5 — médiocre
Trop léger, il disparaît derrière le plat (P20).
Principes de Pat : P20</t>
        </r>
      </text>
    </comment>
    <comment ref="AC79" authorId="0">
      <text>
        <r>
          <rPr>
            <sz val="10"/>
            <rFont val="Arial"/>
            <family val="2"/>
          </rPr>
          <t xml:space="preserve">2/5 — médiocre
Blanc sans la structure qu'appelle la viande (P21, P20).
Principes de Pat : P21, P20</t>
        </r>
      </text>
    </comment>
    <comment ref="AC81" authorId="0">
      <text>
        <r>
          <rPr>
            <sz val="10"/>
            <rFont val="Arial"/>
            <family val="2"/>
          </rPr>
          <t xml:space="preserve">1/5 — pas bon du tout
Liquoreux hors de propos sur un plat salé qui n'appelle pas de sucre (P20, P4).
Principes de Pat : P20, P4</t>
        </r>
      </text>
    </comment>
    <comment ref="AD7" authorId="0">
      <text>
        <r>
          <rPr>
            <sz val="10"/>
            <rFont val="Arial"/>
            <family val="2"/>
          </rPr>
          <t xml:space="preserve">3/5 — correct
Trop léger, il disparaît derrière le plat (P20).
Principes de Pat : P20</t>
        </r>
      </text>
    </comment>
    <comment ref="AD8" authorId="0">
      <text>
        <r>
          <rPr>
            <sz val="10"/>
            <rFont val="Arial"/>
            <family val="2"/>
          </rPr>
          <t xml:space="preserve">3/5 — correct
Blanc sans la structure qu'appelle la viande (P21, P20).
Principes de Pat : P21, P20</t>
        </r>
      </text>
    </comment>
    <comment ref="AD9" authorId="0">
      <text>
        <r>
          <rPr>
            <sz val="10"/>
            <rFont val="Arial"/>
            <family val="2"/>
          </rPr>
          <t xml:space="preserve">3/5 — correct
Blanc sans la structure qu'appelle la viande (P21, P20).
Principes de Pat : P21, P20</t>
        </r>
      </text>
    </comment>
    <comment ref="AD10" authorId="0">
      <text>
        <r>
          <rPr>
            <sz val="10"/>
            <rFont val="Arial"/>
            <family val="2"/>
          </rPr>
          <t xml:space="preserve">3/5 — correct
Blanc sans la structure qu'appelle la viande (P21, P20).
Principes de Pat : P21, P20</t>
        </r>
      </text>
    </comment>
    <comment ref="AD11" authorId="0">
      <text>
        <r>
          <rPr>
            <sz val="10"/>
            <rFont val="Arial"/>
            <family val="2"/>
          </rPr>
          <t xml:space="preserve">3/5 — correct
Trop léger, il disparaît derrière le plat (P20).
Principes de Pat : P20</t>
        </r>
      </text>
    </comment>
    <comment ref="AD12" authorId="0">
      <text>
        <r>
          <rPr>
            <sz val="10"/>
            <rFont val="Arial"/>
            <family val="2"/>
          </rPr>
          <t xml:space="preserve">3/5 — correct
Blanc sans la structure qu'appelle la viande (P21, P20).
Principes de Pat : P21, P20</t>
        </r>
      </text>
    </comment>
    <comment ref="AD13" authorId="0">
      <text>
        <r>
          <rPr>
            <sz val="10"/>
            <rFont val="Arial"/>
            <family val="2"/>
          </rPr>
          <t xml:space="preserve">3/5 — correct
Trop léger, il disparaît derrière le plat (P20).
Principes de Pat : P20</t>
        </r>
      </text>
    </comment>
    <comment ref="AD14" authorId="0">
      <text>
        <r>
          <rPr>
            <sz val="10"/>
            <rFont val="Arial"/>
            <family val="2"/>
          </rPr>
          <t xml:space="preserve">3/5 — correct
Blanc sans la structure qu'appelle la viande (P21, P20).
Principes de Pat : P21, P20</t>
        </r>
      </text>
    </comment>
    <comment ref="AD15" authorId="0">
      <text>
        <r>
          <rPr>
            <sz val="10"/>
            <rFont val="Arial"/>
            <family val="2"/>
          </rPr>
          <t xml:space="preserve">3/5 — correct
Blanc sans la structure qu'appelle la viande (P21, P20).
Principes de Pat : P21, P20</t>
        </r>
      </text>
    </comment>
    <comment ref="AD16" authorId="0">
      <text>
        <r>
          <rPr>
            <sz val="10"/>
            <rFont val="Arial"/>
            <family val="2"/>
          </rPr>
          <t xml:space="preserve">3/5 — correct
Blanc sans la structure qu'appelle la viande (P21, P20).
Principes de Pat : P21, P20</t>
        </r>
      </text>
    </comment>
    <comment ref="AD17" authorId="0">
      <text>
        <r>
          <rPr>
            <sz val="10"/>
            <rFont val="Arial"/>
            <family val="2"/>
          </rPr>
          <t xml:space="preserve">3/5 — correct
Blanc sans la structure qu'appelle la viande (P21, P20).
Principes de Pat : P21, P20</t>
        </r>
      </text>
    </comment>
    <comment ref="AD18" authorId="0">
      <text>
        <r>
          <rPr>
            <sz val="10"/>
            <rFont val="Arial"/>
            <family val="2"/>
          </rPr>
          <t xml:space="preserve">3/5 — correct
Blanc sans la structure qu'appelle la viande (P21, P20).
Principes de Pat : P21, P20</t>
        </r>
      </text>
    </comment>
    <comment ref="AD19" authorId="0">
      <text>
        <r>
          <rPr>
            <sz val="10"/>
            <rFont val="Arial"/>
            <family val="2"/>
          </rPr>
          <t xml:space="preserve">3/5 — correct
Blanc sans la structure qu'appelle la viande (P21, P20).
Principes de Pat : P21, P20</t>
        </r>
      </text>
    </comment>
    <comment ref="AD20" authorId="0">
      <text>
        <r>
          <rPr>
            <sz val="10"/>
            <rFont val="Arial"/>
            <family val="2"/>
          </rPr>
          <t xml:space="preserve">3/5 — correct
Blanc sans la structure qu'appelle la viande (P21, P20).
Principes de Pat : P21, P20</t>
        </r>
      </text>
    </comment>
    <comment ref="AD21" authorId="0">
      <text>
        <r>
          <rPr>
            <sz val="10"/>
            <rFont val="Arial"/>
            <family val="2"/>
          </rPr>
          <t xml:space="preserve">3/5 — correct
Acidité trop faible face à la sauce crémée (P3).
Principes de Pat : P3</t>
        </r>
      </text>
    </comment>
    <comment ref="AD22" authorId="0">
      <text>
        <r>
          <rPr>
            <sz val="10"/>
            <rFont val="Arial"/>
            <family val="2"/>
          </rPr>
          <t xml:space="preserve">3/5 — correct
Acidité trop faible face à la sauce crémée (P3).
Principes de Pat : P3</t>
        </r>
      </text>
    </comment>
    <comment ref="AD23" authorId="0">
      <text>
        <r>
          <rPr>
            <sz val="10"/>
            <rFont val="Arial"/>
            <family val="2"/>
          </rPr>
          <t xml:space="preserve">3/5 — correct
Trop léger, il disparaît derrière le plat (P20).
Principes de Pat : P20</t>
        </r>
      </text>
    </comment>
    <comment ref="AD24" authorId="0">
      <text>
        <r>
          <rPr>
            <sz val="10"/>
            <rFont val="Arial"/>
            <family val="2"/>
          </rPr>
          <t xml:space="preserve">3/5 — correct
Trop léger, il disparaît derrière le plat (P20).
Principes de Pat : P20</t>
        </r>
      </text>
    </comment>
    <comment ref="AD25" authorId="0">
      <text>
        <r>
          <rPr>
            <sz val="10"/>
            <rFont val="Arial"/>
            <family val="2"/>
          </rPr>
          <t xml:space="preserve">3/5 — correct
Blanc sans la structure qu'appelle la viande (P21, P20).
Principes de Pat : P21, P20</t>
        </r>
      </text>
    </comment>
    <comment ref="AD26" authorId="0">
      <text>
        <r>
          <rPr>
            <sz val="10"/>
            <rFont val="Arial"/>
            <family val="2"/>
          </rPr>
          <t xml:space="preserve">3/5 — correct
Blanc sans la structure qu'appelle la viande (P21, P20).
Principes de Pat : P21, P20</t>
        </r>
      </text>
    </comment>
    <comment ref="AD27" authorId="0">
      <text>
        <r>
          <rPr>
            <sz val="10"/>
            <rFont val="Arial"/>
            <family val="2"/>
          </rPr>
          <t xml:space="preserve">3/5 — correct
Trop léger, il disparaît derrière le plat (P20).
Principes de Pat : P20</t>
        </r>
      </text>
    </comment>
    <comment ref="AD29" authorId="0">
      <text>
        <r>
          <rPr>
            <sz val="10"/>
            <rFont val="Arial"/>
            <family val="2"/>
          </rPr>
          <t xml:space="preserve">3/5 — correct
Trop léger, il disparaît derrière le plat (P20).
Principes de Pat : P20</t>
        </r>
      </text>
    </comment>
    <comment ref="AD30" authorId="0">
      <text>
        <r>
          <rPr>
            <sz val="10"/>
            <rFont val="Arial"/>
            <family val="2"/>
          </rPr>
          <t xml:space="preserve">4/5 — très bon
Rouge de poids moyen aux tanins fins : profil qui convient, sans point d'ancrage décisif (P20, P29).
Principes de Pat : P20, P29</t>
        </r>
      </text>
    </comment>
    <comment ref="AD31" authorId="0">
      <text>
        <r>
          <rPr>
            <sz val="10"/>
            <rFont val="Arial"/>
            <family val="2"/>
          </rPr>
          <t xml:space="preserve">5/5 — accord parfait
Notes tertiaires en miroir des morilles, tanins fondus (P25, P40).
Principes de Pat : P25, P40</t>
        </r>
      </text>
    </comment>
    <comment ref="AD32" authorId="0">
      <text>
        <r>
          <rPr>
            <sz val="10"/>
            <rFont val="Arial"/>
            <family val="2"/>
          </rPr>
          <t xml:space="preserve">3/5 — correct
Trop léger, il disparaît derrière le plat (P20).
Principes de Pat : P20</t>
        </r>
      </text>
    </comment>
    <comment ref="AD33" authorId="0">
      <text>
        <r>
          <rPr>
            <sz val="10"/>
            <rFont val="Arial"/>
            <family val="2"/>
          </rPr>
          <t xml:space="preserve">4/5 — très bon
Rouge de poids moyen aux tanins fins : profil qui convient, sans point d'ancrage décisif (P20, P29).
Principes de Pat : P20, P29</t>
        </r>
      </text>
    </comment>
    <comment ref="AD34" authorId="0">
      <text>
        <r>
          <rPr>
            <sz val="10"/>
            <rFont val="Arial"/>
            <family val="2"/>
          </rPr>
          <t xml:space="preserve">5/5 — accord parfait
Notes tertiaires en miroir des morilles, tanins fondus (P25, P40).
Principes de Pat : P25, P40</t>
        </r>
      </text>
    </comment>
    <comment ref="AD35" authorId="0">
      <text>
        <r>
          <rPr>
            <sz val="10"/>
            <rFont val="Arial"/>
            <family val="2"/>
          </rPr>
          <t xml:space="preserve">4/5 — très bon
Rouge de poids moyen aux tanins présents : profil qui convient, sans point d'ancrage décisif (P20, P29).
Principes de Pat : P20, P29</t>
        </r>
      </text>
    </comment>
    <comment ref="AD36" authorId="0">
      <text>
        <r>
          <rPr>
            <sz val="10"/>
            <rFont val="Arial"/>
            <family val="2"/>
          </rPr>
          <t xml:space="preserve">3/5 — correct
Tanin trop présent pour l'umami des morilles (P29).
Principes de Pat : P29</t>
        </r>
      </text>
    </comment>
    <comment ref="AD37" authorId="0">
      <text>
        <r>
          <rPr>
            <sz val="10"/>
            <rFont val="Arial"/>
            <family val="2"/>
          </rPr>
          <t xml:space="preserve">3/5 — correct
Le bois couvre la finesse et amplifie l'amertume (P19).
Principes de Pat : P19</t>
        </r>
      </text>
    </comment>
    <comment ref="AD38" authorId="0">
      <text>
        <r>
          <rPr>
            <sz val="10"/>
            <rFont val="Arial"/>
            <family val="2"/>
          </rPr>
          <t xml:space="preserve">3/5 — correct
Trop léger, il disparaît derrière le plat (P20).
Principes de Pat : P20</t>
        </r>
      </text>
    </comment>
    <comment ref="AD39" authorId="0">
      <text>
        <r>
          <rPr>
            <sz val="10"/>
            <rFont val="Arial"/>
            <family val="2"/>
          </rPr>
          <t xml:space="preserve">3/5 — correct
Trop léger, il disparaît derrière le plat (P20).
Principes de Pat : P20</t>
        </r>
      </text>
    </comment>
    <comment ref="AD40" authorId="0">
      <text>
        <r>
          <rPr>
            <sz val="10"/>
            <rFont val="Arial"/>
            <family val="2"/>
          </rPr>
          <t xml:space="preserve">3/5 — correct
L'umami des morilles durcit ce rouge jeune ; carafer (P29, P43).
Principes de Pat : P29, P43</t>
        </r>
      </text>
    </comment>
    <comment ref="AD41" authorId="0">
      <text>
        <r>
          <rPr>
            <sz val="10"/>
            <rFont val="Arial"/>
            <family val="2"/>
          </rPr>
          <t xml:space="preserve">3/5 — correct
L'umami des morilles durcit ce rouge jeune ; carafer (P29, P43).
Principes de Pat : P29, P43</t>
        </r>
      </text>
    </comment>
    <comment ref="AD42" authorId="0">
      <text>
        <r>
          <rPr>
            <sz val="10"/>
            <rFont val="Arial"/>
            <family val="2"/>
          </rPr>
          <t xml:space="preserve">3/5 — correct
L'umami des morilles durcit ce rouge jeune ; carafer (P29, P43).
Principes de Pat : P29, P43</t>
        </r>
      </text>
    </comment>
    <comment ref="AD43" authorId="0">
      <text>
        <r>
          <rPr>
            <sz val="10"/>
            <rFont val="Arial"/>
            <family val="2"/>
          </rPr>
          <t xml:space="preserve">3/5 — correct
L'umami des morilles durcit ce rouge jeune ; carafer (P29, P43).
Principes de Pat : P29, P43</t>
        </r>
      </text>
    </comment>
    <comment ref="AD44" authorId="0">
      <text>
        <r>
          <rPr>
            <sz val="10"/>
            <rFont val="Arial"/>
            <family val="2"/>
          </rPr>
          <t xml:space="preserve">3/5 — correct
L'umami des morilles durcit ce rouge jeune ; carafer (P29, P43).
Principes de Pat : P29, P43</t>
        </r>
      </text>
    </comment>
    <comment ref="AD45" authorId="0">
      <text>
        <r>
          <rPr>
            <sz val="10"/>
            <rFont val="Arial"/>
            <family val="2"/>
          </rPr>
          <t xml:space="preserve">4/5 — très bon
Rouge de poids moyen aux tanins présents : profil qui convient, sans point d'ancrage décisif (P20, P29).
Principes de Pat : P20, P29</t>
        </r>
      </text>
    </comment>
    <comment ref="AD46" authorId="0">
      <text>
        <r>
          <rPr>
            <sz val="10"/>
            <rFont val="Arial"/>
            <family val="2"/>
          </rPr>
          <t xml:space="preserve">4/5 — très bon
Rouge de poids moyen aux tanins présents : profil qui convient, sans point d'ancrage décisif (P20, P29).
Principes de Pat : P20, P29</t>
        </r>
      </text>
    </comment>
    <comment ref="AD47" authorId="0">
      <text>
        <r>
          <rPr>
            <sz val="10"/>
            <rFont val="Arial"/>
            <family val="2"/>
          </rPr>
          <t xml:space="preserve">4/5 — très bon
Rouge de poids moyen aux tanins présents : profil qui convient, sans point d'ancrage décisif (P20, P29).
Principes de Pat : P20, P29</t>
        </r>
      </text>
    </comment>
    <comment ref="AD48" authorId="0">
      <text>
        <r>
          <rPr>
            <sz val="10"/>
            <rFont val="Arial"/>
            <family val="2"/>
          </rPr>
          <t xml:space="preserve">2/5 — médiocre
Tanin trop présent pour l'umami des morilles (P29) ; l'umami des morilles durcit ce rouge jeune ; carafer (P29, P43) ; le bois couvre la finesse et amplifie l'amertume (P19).
Principes de Pat : P29, P43, P19</t>
        </r>
      </text>
    </comment>
    <comment ref="AD49" authorId="0">
      <text>
        <r>
          <rPr>
            <sz val="10"/>
            <rFont val="Arial"/>
            <family val="2"/>
          </rPr>
          <t xml:space="preserve">2/5 — médiocre
Tanin trop présent pour l'umami des morilles (P29) ; le bois couvre la finesse et amplifie l'amertume (P19).
Principes de Pat : P29, P19</t>
        </r>
      </text>
    </comment>
    <comment ref="AD50" authorId="0">
      <text>
        <r>
          <rPr>
            <sz val="10"/>
            <rFont val="Arial"/>
            <family val="2"/>
          </rPr>
          <t xml:space="preserve">2/5 — médiocre
Tanin trop présent pour l'umami des morilles (P29) ; l'umami des morilles durcit ce rouge jeune ; carafer (P29, P43) ; le bois couvre la finesse et amplifie l'amertume (P19).
Principes de Pat : P29, P43, P19</t>
        </r>
      </text>
    </comment>
    <comment ref="AD51" authorId="0">
      <text>
        <r>
          <rPr>
            <sz val="10"/>
            <rFont val="Arial"/>
            <family val="2"/>
          </rPr>
          <t xml:space="preserve">4/5 — très bon
Rouge de poids moyen aux tanins fondus, patiné : profil qui convient, sans point d'ancrage décisif (P20, P29).
Principes de Pat : P20, P29</t>
        </r>
      </text>
    </comment>
    <comment ref="AD52" authorId="0">
      <text>
        <r>
          <rPr>
            <sz val="10"/>
            <rFont val="Arial"/>
            <family val="2"/>
          </rPr>
          <t xml:space="preserve">3/5 — correct
L'umami des morilles durcit ce rouge jeune ; carafer (P29, P43).
Principes de Pat : P29, P43</t>
        </r>
      </text>
    </comment>
    <comment ref="AD53" authorId="0">
      <text>
        <r>
          <rPr>
            <sz val="10"/>
            <rFont val="Arial"/>
            <family val="2"/>
          </rPr>
          <t xml:space="preserve">4/5 — très bon
Rouge de poids moyen aux tanins présents : profil qui convient, sans point d'ancrage décisif (P20, P29).
Principes de Pat : P20, P29</t>
        </r>
      </text>
    </comment>
    <comment ref="AD54" authorId="0">
      <text>
        <r>
          <rPr>
            <sz val="10"/>
            <rFont val="Arial"/>
            <family val="2"/>
          </rPr>
          <t xml:space="preserve">3/5 — correct
Tanin trop présent pour l'umami des morilles (P29).
Principes de Pat : P29</t>
        </r>
      </text>
    </comment>
    <comment ref="AD55" authorId="0">
      <text>
        <r>
          <rPr>
            <sz val="10"/>
            <rFont val="Arial"/>
            <family val="2"/>
          </rPr>
          <t xml:space="preserve">2/5 — médiocre
Tanin trop présent pour l'umami des morilles (P29) ; l'umami des morilles durcit ce rouge jeune ; carafer (P29, P43).
Principes de Pat : P29, P43</t>
        </r>
      </text>
    </comment>
    <comment ref="AD56" authorId="0">
      <text>
        <r>
          <rPr>
            <sz val="10"/>
            <rFont val="Arial"/>
            <family val="2"/>
          </rPr>
          <t xml:space="preserve">4/5 — très bon
Rouge de poids moyen aux tanins fondus, patiné : profil qui convient, sans point d'ancrage décisif (P20, P29).
Principes de Pat : P20, P29</t>
        </r>
      </text>
    </comment>
    <comment ref="AD57" authorId="0">
      <text>
        <r>
          <rPr>
            <sz val="10"/>
            <rFont val="Arial"/>
            <family val="2"/>
          </rPr>
          <t xml:space="preserve">2/5 — médiocre
Tanin trop présent pour l'umami des morilles (P29) ; l'umami des morilles durcit ce rouge jeune ; carafer (P29, P43) ; le bois couvre la finesse et amplifie l'amertume (P19).
Principes de Pat : P29, P43, P19</t>
        </r>
      </text>
    </comment>
    <comment ref="AD58" authorId="0">
      <text>
        <r>
          <rPr>
            <sz val="10"/>
            <rFont val="Arial"/>
            <family val="2"/>
          </rPr>
          <t xml:space="preserve">3/5 — correct
Trop léger, il disparaît derrière le plat (P20).
Principes de Pat : P20</t>
        </r>
      </text>
    </comment>
    <comment ref="AD59" authorId="0">
      <text>
        <r>
          <rPr>
            <sz val="10"/>
            <rFont val="Arial"/>
            <family val="2"/>
          </rPr>
          <t xml:space="preserve">3/5 — correct
L'umami des morilles durcit ce rouge jeune ; carafer (P29, P43).
Principes de Pat : P29, P43</t>
        </r>
      </text>
    </comment>
    <comment ref="AD60" authorId="0">
      <text>
        <r>
          <rPr>
            <sz val="10"/>
            <rFont val="Arial"/>
            <family val="2"/>
          </rPr>
          <t xml:space="preserve">4/5 — très bon
Rouge de poids moyen aux tanins présents : profil qui convient, sans point d'ancrage décisif (P20, P29).
Principes de Pat : P20, P29</t>
        </r>
      </text>
    </comment>
    <comment ref="AD61" authorId="0">
      <text>
        <r>
          <rPr>
            <sz val="10"/>
            <rFont val="Arial"/>
            <family val="2"/>
          </rPr>
          <t xml:space="preserve">3/5 — correct
L'umami des morilles durcit ce rouge jeune ; carafer (P29, P43).
Principes de Pat : P29, P43</t>
        </r>
      </text>
    </comment>
    <comment ref="AD62" authorId="0">
      <text>
        <r>
          <rPr>
            <sz val="10"/>
            <rFont val="Arial"/>
            <family val="2"/>
          </rPr>
          <t xml:space="preserve">2/5 — médiocre
Tanin trop présent pour l'umami des morilles (P29) ; l'umami des morilles durcit ce rouge jeune ; carafer (P29, P43) ; le bois couvre la finesse et amplifie l'amertume (P19).
Principes de Pat : P29, P43, P19</t>
        </r>
      </text>
    </comment>
    <comment ref="AD63" authorId="0">
      <text>
        <r>
          <rPr>
            <sz val="10"/>
            <rFont val="Arial"/>
            <family val="2"/>
          </rPr>
          <t xml:space="preserve">2/5 — médiocre
Tanin trop présent pour l'umami des morilles (P29) ; le bois couvre la finesse et amplifie l'amertume (P19).
Principes de Pat : P29, P19</t>
        </r>
      </text>
    </comment>
    <comment ref="AD64" authorId="0">
      <text>
        <r>
          <rPr>
            <sz val="10"/>
            <rFont val="Arial"/>
            <family val="2"/>
          </rPr>
          <t xml:space="preserve">3/5 — correct
L'umami des morilles durcit ce rouge jeune ; carafer (P29, P43).
Principes de Pat : P29, P43</t>
        </r>
      </text>
    </comment>
    <comment ref="AD65" authorId="0">
      <text>
        <r>
          <rPr>
            <sz val="10"/>
            <rFont val="Arial"/>
            <family val="2"/>
          </rPr>
          <t xml:space="preserve">2/5 — médiocre
Le bois couvre la finesse et amplifie l'amertume (P19) ; tanin trop présent pour l'umami des morilles (P29) ; l'umami des morilles durcit ce rouge jeune ; carafer (P29, P43).
Principes de Pat : P19, P29, P43</t>
        </r>
      </text>
    </comment>
    <comment ref="AD66" authorId="0">
      <text>
        <r>
          <rPr>
            <sz val="10"/>
            <rFont val="Arial"/>
            <family val="2"/>
          </rPr>
          <t xml:space="preserve">4/5 — très bon
Rouge de poids moyen aux tanins fondus, patiné : profil qui convient, sans point d'ancrage décisif (P20, P29).
Principes de Pat : P20, P29</t>
        </r>
      </text>
    </comment>
    <comment ref="AD67" authorId="0">
      <text>
        <r>
          <rPr>
            <sz val="10"/>
            <rFont val="Arial"/>
            <family val="2"/>
          </rPr>
          <t xml:space="preserve">4/5 — très bon
Rouge puissant aux tanins fondus, patiné : profil qui convient, sans point d'ancrage décisif (P20, P29).
Principes de Pat : P20, P29</t>
        </r>
      </text>
    </comment>
    <comment ref="AD68" authorId="0">
      <text>
        <r>
          <rPr>
            <sz val="10"/>
            <rFont val="Arial"/>
            <family val="2"/>
          </rPr>
          <t xml:space="preserve">2/5 — médiocre
Tanin trop présent pour l'umami des morilles (P29) ; l'umami des morilles durcit ce rouge jeune ; carafer (P29, P43).
Principes de Pat : P29, P43</t>
        </r>
      </text>
    </comment>
    <comment ref="AD70" authorId="0">
      <text>
        <r>
          <rPr>
            <sz val="10"/>
            <rFont val="Arial"/>
            <family val="2"/>
          </rPr>
          <t xml:space="preserve">2/5 — médiocre
Trop léger, il disparaît derrière le plat (P20).
Principes de Pat : P20</t>
        </r>
      </text>
    </comment>
    <comment ref="AD71" authorId="0">
      <text>
        <r>
          <rPr>
            <sz val="10"/>
            <rFont val="Arial"/>
            <family val="2"/>
          </rPr>
          <t xml:space="preserve">2/5 — médiocre
Trop léger, il disparaît derrière le plat (P20).
Principes de Pat : P20</t>
        </r>
      </text>
    </comment>
    <comment ref="AD73" authorId="0">
      <text>
        <r>
          <rPr>
            <sz val="10"/>
            <rFont val="Arial"/>
            <family val="2"/>
          </rPr>
          <t xml:space="preserve">3/5 — correct
Trop léger, il disparaît derrière le plat (P20).
Principes de Pat : P20</t>
        </r>
      </text>
    </comment>
    <comment ref="AD74" authorId="0">
      <text>
        <r>
          <rPr>
            <sz val="10"/>
            <rFont val="Arial"/>
            <family val="2"/>
          </rPr>
          <t xml:space="preserve">3/5 — correct
Blanc sans la structure qu'appelle la viande (P21, P20).
Principes de Pat : P21, P20</t>
        </r>
      </text>
    </comment>
    <comment ref="AD75" authorId="0">
      <text>
        <r>
          <rPr>
            <sz val="10"/>
            <rFont val="Arial"/>
            <family val="2"/>
          </rPr>
          <t xml:space="preserve">3/5 — correct
Blanc sans la structure qu'appelle la viande (P21, P20).
Principes de Pat : P21, P20</t>
        </r>
      </text>
    </comment>
    <comment ref="AD76" authorId="0">
      <text>
        <r>
          <rPr>
            <sz val="10"/>
            <rFont val="Arial"/>
            <family val="2"/>
          </rPr>
          <t xml:space="preserve">3/5 — correct
Blanc sans la structure qu'appelle la viande (P21, P20).
Principes de Pat : P21, P20</t>
        </r>
      </text>
    </comment>
    <comment ref="AD77" authorId="0">
      <text>
        <r>
          <rPr>
            <sz val="10"/>
            <rFont val="Arial"/>
            <family val="2"/>
          </rPr>
          <t xml:space="preserve">3/5 — correct
Trop léger, il disparaît derrière le plat (P20).
Principes de Pat : P20</t>
        </r>
      </text>
    </comment>
    <comment ref="AD78" authorId="0">
      <text>
        <r>
          <rPr>
            <sz val="10"/>
            <rFont val="Arial"/>
            <family val="2"/>
          </rPr>
          <t xml:space="preserve">3/5 — correct
Trop léger, il disparaît derrière le plat (P20).
Principes de Pat : P20</t>
        </r>
      </text>
    </comment>
    <comment ref="AD79" authorId="0">
      <text>
        <r>
          <rPr>
            <sz val="10"/>
            <rFont val="Arial"/>
            <family val="2"/>
          </rPr>
          <t xml:space="preserve">3/5 — correct
Blanc sans la structure qu'appelle la viande (P21, P20).
Principes de Pat : P21, P20</t>
        </r>
      </text>
    </comment>
    <comment ref="AD81" authorId="0">
      <text>
        <r>
          <rPr>
            <sz val="10"/>
            <rFont val="Arial"/>
            <family val="2"/>
          </rPr>
          <t xml:space="preserve">1/5 — pas bon du tout
Liquoreux hors de propos sur un plat salé qui n'appelle pas de sucre (P20, P4).
Principes de Pat : P20, P4</t>
        </r>
      </text>
    </comment>
    <comment ref="AE7" authorId="0">
      <text>
        <r>
          <rPr>
            <sz val="10"/>
            <rFont val="Arial"/>
            <family val="2"/>
          </rPr>
          <t xml:space="preserve">2/5 — médiocre
Trop léger, il disparaît derrière le plat (P20).
Principes de Pat : P20</t>
        </r>
      </text>
    </comment>
    <comment ref="AE8" authorId="0">
      <text>
        <r>
          <rPr>
            <sz val="10"/>
            <rFont val="Arial"/>
            <family val="2"/>
          </rPr>
          <t xml:space="preserve">2/5 — médiocre
Blanc sans la structure qu'appelle la viande (P21, P20).
Principes de Pat : P21, P20</t>
        </r>
      </text>
    </comment>
    <comment ref="AE9" authorId="0">
      <text>
        <r>
          <rPr>
            <sz val="10"/>
            <rFont val="Arial"/>
            <family val="2"/>
          </rPr>
          <t xml:space="preserve">2/5 — médiocre
Blanc sans la structure qu'appelle la viande (P21, P20).
Principes de Pat : P21, P20</t>
        </r>
      </text>
    </comment>
    <comment ref="AE10" authorId="0">
      <text>
        <r>
          <rPr>
            <sz val="10"/>
            <rFont val="Arial"/>
            <family val="2"/>
          </rPr>
          <t xml:space="preserve">2/5 — médiocre
Blanc sans la structure qu'appelle la viande (P21, P20).
Principes de Pat : P21, P20</t>
        </r>
      </text>
    </comment>
    <comment ref="AE11" authorId="0">
      <text>
        <r>
          <rPr>
            <sz val="10"/>
            <rFont val="Arial"/>
            <family val="2"/>
          </rPr>
          <t xml:space="preserve">2/5 — médiocre
Trop léger, il disparaît derrière le plat (P20).
Principes de Pat : P20</t>
        </r>
      </text>
    </comment>
    <comment ref="AE12" authorId="0">
      <text>
        <r>
          <rPr>
            <sz val="10"/>
            <rFont val="Arial"/>
            <family val="2"/>
          </rPr>
          <t xml:space="preserve">2/5 — médiocre
Acidité trop faible face au beurre et la réduction vinaigrée (P3).
Principes de Pat : P3</t>
        </r>
      </text>
    </comment>
    <comment ref="AE13" authorId="0">
      <text>
        <r>
          <rPr>
            <sz val="10"/>
            <rFont val="Arial"/>
            <family val="2"/>
          </rPr>
          <t xml:space="preserve">2/5 — médiocre
Acidité trop faible face au beurre et la réduction vinaigrée (P3) ; trop léger, il disparaît derrière le plat (P20).
Principes de Pat : P3, P20</t>
        </r>
      </text>
    </comment>
    <comment ref="AE14" authorId="0">
      <text>
        <r>
          <rPr>
            <sz val="10"/>
            <rFont val="Arial"/>
            <family val="2"/>
          </rPr>
          <t xml:space="preserve">2/5 — médiocre
Blanc sans la structure qu'appelle la viande (P21, P20).
Principes de Pat : P21, P20</t>
        </r>
      </text>
    </comment>
    <comment ref="AE15" authorId="0">
      <text>
        <r>
          <rPr>
            <sz val="10"/>
            <rFont val="Arial"/>
            <family val="2"/>
          </rPr>
          <t xml:space="preserve">2/5 — médiocre
Blanc sans la structure qu'appelle la viande (P21, P20).
Principes de Pat : P21, P20</t>
        </r>
      </text>
    </comment>
    <comment ref="AE16" authorId="0">
      <text>
        <r>
          <rPr>
            <sz val="10"/>
            <rFont val="Arial"/>
            <family val="2"/>
          </rPr>
          <t xml:space="preserve">2/5 — médiocre
Acidité trop faible face au beurre et la réduction vinaigrée (P3).
Principes de Pat : P3</t>
        </r>
      </text>
    </comment>
    <comment ref="AE17" authorId="0">
      <text>
        <r>
          <rPr>
            <sz val="10"/>
            <rFont val="Arial"/>
            <family val="2"/>
          </rPr>
          <t xml:space="preserve">2/5 — médiocre
Acidité trop faible face au beurre et la réduction vinaigrée (P3).
Principes de Pat : P3</t>
        </r>
      </text>
    </comment>
    <comment ref="AE18" authorId="0">
      <text>
        <r>
          <rPr>
            <sz val="10"/>
            <rFont val="Arial"/>
            <family val="2"/>
          </rPr>
          <t xml:space="preserve">2/5 — médiocre
Acidité trop faible face au beurre et la réduction vinaigrée (P3).
Principes de Pat : P3</t>
        </r>
      </text>
    </comment>
    <comment ref="AE19" authorId="0">
      <text>
        <r>
          <rPr>
            <sz val="10"/>
            <rFont val="Arial"/>
            <family val="2"/>
          </rPr>
          <t xml:space="preserve">2/5 — médiocre
Blanc sans la structure qu'appelle la viande (P21, P20).
Principes de Pat : P21, P20</t>
        </r>
      </text>
    </comment>
    <comment ref="AE20" authorId="0">
      <text>
        <r>
          <rPr>
            <sz val="10"/>
            <rFont val="Arial"/>
            <family val="2"/>
          </rPr>
          <t xml:space="preserve">2/5 — médiocre
Acidité trop faible face au beurre et la réduction vinaigrée (P3).
Principes de Pat : P3</t>
        </r>
      </text>
    </comment>
    <comment ref="AE21" authorId="0">
      <text>
        <r>
          <rPr>
            <sz val="10"/>
            <rFont val="Arial"/>
            <family val="2"/>
          </rPr>
          <t xml:space="preserve">2/5 — médiocre
Acidité trop faible face au beurre et la réduction vinaigrée (P3).
Principes de Pat : P3</t>
        </r>
      </text>
    </comment>
    <comment ref="AE22" authorId="0">
      <text>
        <r>
          <rPr>
            <sz val="10"/>
            <rFont val="Arial"/>
            <family val="2"/>
          </rPr>
          <t xml:space="preserve">2/5 — médiocre
Acidité trop faible face au beurre et la réduction vinaigrée (P3).
Principes de Pat : P3</t>
        </r>
      </text>
    </comment>
    <comment ref="AE23" authorId="0">
      <text>
        <r>
          <rPr>
            <sz val="10"/>
            <rFont val="Arial"/>
            <family val="2"/>
          </rPr>
          <t xml:space="preserve">2/5 — médiocre
Acidité trop faible face au beurre et la réduction vinaigrée (P3) ; trop léger, il disparaît derrière le plat (P20).
Principes de Pat : P3, P20</t>
        </r>
      </text>
    </comment>
    <comment ref="AE24" authorId="0">
      <text>
        <r>
          <rPr>
            <sz val="10"/>
            <rFont val="Arial"/>
            <family val="2"/>
          </rPr>
          <t xml:space="preserve">2/5 — médiocre
Trop léger, il disparaît derrière le plat (P20).
Principes de Pat : P20</t>
        </r>
      </text>
    </comment>
    <comment ref="AE25" authorId="0">
      <text>
        <r>
          <rPr>
            <sz val="10"/>
            <rFont val="Arial"/>
            <family val="2"/>
          </rPr>
          <t xml:space="preserve">2/5 — médiocre
Acidité trop faible face au beurre et la réduction vinaigrée (P3).
Principes de Pat : P3</t>
        </r>
      </text>
    </comment>
    <comment ref="AE26" authorId="0">
      <text>
        <r>
          <rPr>
            <sz val="10"/>
            <rFont val="Arial"/>
            <family val="2"/>
          </rPr>
          <t xml:space="preserve">2/5 — médiocre
Blanc sans la structure qu'appelle la viande (P21, P20).
Principes de Pat : P21, P20</t>
        </r>
      </text>
    </comment>
    <comment ref="AE27" authorId="0">
      <text>
        <r>
          <rPr>
            <sz val="10"/>
            <rFont val="Arial"/>
            <family val="2"/>
          </rPr>
          <t xml:space="preserve">2/5 — médiocre
Trop léger, il disparaît derrière le plat (P20).
Principes de Pat : P20</t>
        </r>
      </text>
    </comment>
    <comment ref="AE29" authorId="0">
      <text>
        <r>
          <rPr>
            <sz val="10"/>
            <rFont val="Arial"/>
            <family val="2"/>
          </rPr>
          <t xml:space="preserve">4/5 — très bon
Trame acide et tanins souples face à la béarnaise (P3, P21) ; trop léger, il disparaît derrière le plat (P20) ; l'émulsion de la béarnaise plafonne l'accord (P10, P35).
Principes de Pat : P3, P21, P20, P10, P35</t>
        </r>
      </text>
    </comment>
    <comment ref="AE30" authorId="0">
      <text>
        <r>
          <rPr>
            <sz val="10"/>
            <rFont val="Arial"/>
            <family val="2"/>
          </rPr>
          <t xml:space="preserve">3/5 — correct
Acidité trop faible face au beurre et la réduction vinaigrée (P3).
Principes de Pat : P3</t>
        </r>
      </text>
    </comment>
    <comment ref="AE31" authorId="0">
      <text>
        <r>
          <rPr>
            <sz val="10"/>
            <rFont val="Arial"/>
            <family val="2"/>
          </rPr>
          <t xml:space="preserve">3/5 — correct
Acidité trop faible face au beurre et la réduction vinaigrée (P3).
Principes de Pat : P3</t>
        </r>
      </text>
    </comment>
    <comment ref="AE32" authorId="0">
      <text>
        <r>
          <rPr>
            <sz val="10"/>
            <rFont val="Arial"/>
            <family val="2"/>
          </rPr>
          <t xml:space="preserve">2/5 — médiocre
Acidité trop faible face au beurre et la réduction vinaigrée (P3) ; trop léger, il disparaît derrière le plat (P20).
Principes de Pat : P3, P20</t>
        </r>
      </text>
    </comment>
    <comment ref="AE33" authorId="0">
      <text>
        <r>
          <rPr>
            <sz val="10"/>
            <rFont val="Arial"/>
            <family val="2"/>
          </rPr>
          <t xml:space="preserve">3/5 — correct
Acidité trop faible face au beurre et la réduction vinaigrée (P3).
Principes de Pat : P3</t>
        </r>
      </text>
    </comment>
    <comment ref="AE34" authorId="0">
      <text>
        <r>
          <rPr>
            <sz val="10"/>
            <rFont val="Arial"/>
            <family val="2"/>
          </rPr>
          <t xml:space="preserve">2/5 — médiocre
Tanin trop présent pour l'émulsion (P10) ; acidité trop faible face au beurre et la réduction vinaigrée (P3).
Principes de Pat : P10, P3</t>
        </r>
      </text>
    </comment>
    <comment ref="AE35" authorId="0">
      <text>
        <r>
          <rPr>
            <sz val="10"/>
            <rFont val="Arial"/>
            <family val="2"/>
          </rPr>
          <t xml:space="preserve">2/5 — médiocre
Tanin trop présent pour l'émulsion (P10) ; acidité trop faible face au beurre et la réduction vinaigrée (P3).
Principes de Pat : P10, P3</t>
        </r>
      </text>
    </comment>
    <comment ref="AE36" authorId="0">
      <text>
        <r>
          <rPr>
            <sz val="10"/>
            <rFont val="Arial"/>
            <family val="2"/>
          </rPr>
          <t xml:space="preserve">2/5 — médiocre
Tanin trop présent pour l'émulsion (P10) ; acidité trop faible face au beurre et la réduction vinaigrée (P3).
Principes de Pat : P10, P3</t>
        </r>
      </text>
    </comment>
    <comment ref="AE37" authorId="0">
      <text>
        <r>
          <rPr>
            <sz val="10"/>
            <rFont val="Arial"/>
            <family val="2"/>
          </rPr>
          <t xml:space="preserve">2/5 — médiocre
Tanin trop présent pour l'émulsion (P10) ; le bois couvre la finesse et amplifie l'amertume (P19) ; acidité trop faible face au beurre et la réduction vinaigrée (P3).
Principes de Pat : P10, P19, P3</t>
        </r>
      </text>
    </comment>
    <comment ref="AE38" authorId="0">
      <text>
        <r>
          <rPr>
            <sz val="10"/>
            <rFont val="Arial"/>
            <family val="2"/>
          </rPr>
          <t xml:space="preserve">4/5 — très bon
Trame acide et tanins souples face à la béarnaise (P3, P21) ; trop léger, il disparaît derrière le plat (P20) ; l'émulsion de la béarnaise plafonne l'accord (P10, P35).
Principes de Pat : P3, P21, P20, P10, P35</t>
        </r>
      </text>
    </comment>
    <comment ref="AE39" authorId="0">
      <text>
        <r>
          <rPr>
            <sz val="10"/>
            <rFont val="Arial"/>
            <family val="2"/>
          </rPr>
          <t xml:space="preserve">4/5 — très bon
Trame acide et tanins souples face à la béarnaise (P3, P21) ; trop léger, il disparaît derrière le plat (P20) ; l'émulsion de la béarnaise plafonne l'accord (P10, P35).
Principes de Pat : P3, P21, P20, P10, P35</t>
        </r>
      </text>
    </comment>
    <comment ref="AE40" authorId="0">
      <text>
        <r>
          <rPr>
            <sz val="10"/>
            <rFont val="Arial"/>
            <family val="2"/>
          </rPr>
          <t xml:space="preserve">2/5 — médiocre
Tanin trop présent pour l'émulsion (P10) ; acidité trop faible face au beurre et la réduction vinaigrée (P3).
Principes de Pat : P10, P3</t>
        </r>
      </text>
    </comment>
    <comment ref="AE41" authorId="0">
      <text>
        <r>
          <rPr>
            <sz val="10"/>
            <rFont val="Arial"/>
            <family val="2"/>
          </rPr>
          <t xml:space="preserve">2/5 — médiocre
Tanin trop présent pour l'émulsion (P10) ; acidité trop faible face au beurre et la réduction vinaigrée (P3).
Principes de Pat : P10, P3</t>
        </r>
      </text>
    </comment>
    <comment ref="AE42" authorId="0">
      <text>
        <r>
          <rPr>
            <sz val="10"/>
            <rFont val="Arial"/>
            <family val="2"/>
          </rPr>
          <t xml:space="preserve">2/5 — médiocre
Tanin trop présent pour l'émulsion (P10) ; acidité trop faible face au beurre et la réduction vinaigrée (P3).
Principes de Pat : P10, P3</t>
        </r>
      </text>
    </comment>
    <comment ref="AE43" authorId="0">
      <text>
        <r>
          <rPr>
            <sz val="10"/>
            <rFont val="Arial"/>
            <family val="2"/>
          </rPr>
          <t xml:space="preserve">2/5 — médiocre
Tanin trop présent pour l'émulsion (P10) ; acidité trop faible face au beurre et la réduction vinaigrée (P3).
Principes de Pat : P10, P3</t>
        </r>
      </text>
    </comment>
    <comment ref="AE44" authorId="0">
      <text>
        <r>
          <rPr>
            <sz val="10"/>
            <rFont val="Arial"/>
            <family val="2"/>
          </rPr>
          <t xml:space="preserve">2/5 — médiocre
Tanin trop présent pour l'émulsion (P10) ; acidité trop faible face au beurre et la réduction vinaigrée (P3).
Principes de Pat : P10, P3</t>
        </r>
      </text>
    </comment>
    <comment ref="AE45" authorId="0">
      <text>
        <r>
          <rPr>
            <sz val="10"/>
            <rFont val="Arial"/>
            <family val="2"/>
          </rPr>
          <t xml:space="preserve">2/5 — médiocre
Tanin trop présent pour l'émulsion (P10) ; acidité trop faible face au beurre et la réduction vinaigrée (P3).
Principes de Pat : P10, P3</t>
        </r>
      </text>
    </comment>
    <comment ref="AE46" authorId="0">
      <text>
        <r>
          <rPr>
            <sz val="10"/>
            <rFont val="Arial"/>
            <family val="2"/>
          </rPr>
          <t xml:space="preserve">2/5 — médiocre
Tanin trop présent pour l'émulsion (P10) ; acidité trop faible face au beurre et la réduction vinaigrée (P3).
Principes de Pat : P10, P3</t>
        </r>
      </text>
    </comment>
    <comment ref="AE47" authorId="0">
      <text>
        <r>
          <rPr>
            <sz val="10"/>
            <rFont val="Arial"/>
            <family val="2"/>
          </rPr>
          <t xml:space="preserve">2/5 — médiocre
Tanin trop présent pour l'émulsion (P10) ; acidité trop faible face au beurre et la réduction vinaigrée (P3).
Principes de Pat : P10, P3</t>
        </r>
      </text>
    </comment>
    <comment ref="AE48" authorId="0">
      <text>
        <r>
          <rPr>
            <sz val="10"/>
            <rFont val="Arial"/>
            <family val="2"/>
          </rPr>
          <t xml:space="preserve">2/5 — médiocre
Tanin trop présent pour l'émulsion (P10) ; le bois couvre la finesse et amplifie l'amertume (P19).
Principes de Pat : P10, P19</t>
        </r>
      </text>
    </comment>
    <comment ref="AE49" authorId="0">
      <text>
        <r>
          <rPr>
            <sz val="10"/>
            <rFont val="Arial"/>
            <family val="2"/>
          </rPr>
          <t xml:space="preserve">2/5 — médiocre
Tanin trop présent pour l'émulsion (P10) ; le bois couvre la finesse et amplifie l'amertume (P19) ; acidité trop faible face au beurre et la réduction vinaigrée (P3).
Principes de Pat : P10, P19, P3</t>
        </r>
      </text>
    </comment>
    <comment ref="AE50" authorId="0">
      <text>
        <r>
          <rPr>
            <sz val="10"/>
            <rFont val="Arial"/>
            <family val="2"/>
          </rPr>
          <t xml:space="preserve">2/5 — médiocre
Tanin trop présent pour l'émulsion (P10) ; le bois couvre la finesse et amplifie l'amertume (P19).
Principes de Pat : P10, P19</t>
        </r>
      </text>
    </comment>
    <comment ref="AE51" authorId="0">
      <text>
        <r>
          <rPr>
            <sz val="10"/>
            <rFont val="Arial"/>
            <family val="2"/>
          </rPr>
          <t xml:space="preserve">3/5 — correct
Acidité trop faible face au beurre et la réduction vinaigrée (P3).
Principes de Pat : P3</t>
        </r>
      </text>
    </comment>
    <comment ref="AE52" authorId="0">
      <text>
        <r>
          <rPr>
            <sz val="10"/>
            <rFont val="Arial"/>
            <family val="2"/>
          </rPr>
          <t xml:space="preserve">2/5 — médiocre
Tanin trop présent pour l'émulsion (P10) ; acidité trop faible face au beurre et la réduction vinaigrée (P3).
Principes de Pat : P10, P3</t>
        </r>
      </text>
    </comment>
    <comment ref="AE53" authorId="0">
      <text>
        <r>
          <rPr>
            <sz val="10"/>
            <rFont val="Arial"/>
            <family val="2"/>
          </rPr>
          <t xml:space="preserve">2/5 — médiocre
Tanin trop présent pour l'émulsion (P10) ; acidité trop faible face au beurre et la réduction vinaigrée (P3).
Principes de Pat : P10, P3</t>
        </r>
      </text>
    </comment>
    <comment ref="AE54" authorId="0">
      <text>
        <r>
          <rPr>
            <sz val="10"/>
            <rFont val="Arial"/>
            <family val="2"/>
          </rPr>
          <t xml:space="preserve">2/5 — médiocre
Tanin trop présent pour l'émulsion (P10).
Principes de Pat : P10</t>
        </r>
      </text>
    </comment>
    <comment ref="AE55" authorId="0">
      <text>
        <r>
          <rPr>
            <sz val="10"/>
            <rFont val="Arial"/>
            <family val="2"/>
          </rPr>
          <t xml:space="preserve">2/5 — médiocre
Tanin trop présent pour l'émulsion (P10) ; acidité trop faible face au beurre et la réduction vinaigrée (P3).
Principes de Pat : P10, P3</t>
        </r>
      </text>
    </comment>
    <comment ref="AE56" authorId="0">
      <text>
        <r>
          <rPr>
            <sz val="10"/>
            <rFont val="Arial"/>
            <family val="2"/>
          </rPr>
          <t xml:space="preserve">3/5 — correct
Acidité trop faible face au beurre et la réduction vinaigrée (P3).
Principes de Pat : P3</t>
        </r>
      </text>
    </comment>
    <comment ref="AE57" authorId="0">
      <text>
        <r>
          <rPr>
            <sz val="10"/>
            <rFont val="Arial"/>
            <family val="2"/>
          </rPr>
          <t xml:space="preserve">2/5 — médiocre
Tanin trop présent pour l'émulsion (P10) ; le bois couvre la finesse et amplifie l'amertume (P19).
Principes de Pat : P10, P19</t>
        </r>
      </text>
    </comment>
    <comment ref="AE58" authorId="0">
      <text>
        <r>
          <rPr>
            <sz val="10"/>
            <rFont val="Arial"/>
            <family val="2"/>
          </rPr>
          <t xml:space="preserve">4/5 — très bon
Trame acide et tanins souples face à la béarnaise (P3, P21) ; trop léger, il disparaît derrière le plat (P20) ; l'émulsion de la béarnaise plafonne l'accord (P10, P35).
Principes de Pat : P3, P21, P20, P10, P35</t>
        </r>
      </text>
    </comment>
    <comment ref="AE59" authorId="0">
      <text>
        <r>
          <rPr>
            <sz val="10"/>
            <rFont val="Arial"/>
            <family val="2"/>
          </rPr>
          <t xml:space="preserve">3/5 — correct
Tanin trop présent pour l'émulsion (P10).
Principes de Pat : P10</t>
        </r>
      </text>
    </comment>
    <comment ref="AE60" authorId="0">
      <text>
        <r>
          <rPr>
            <sz val="10"/>
            <rFont val="Arial"/>
            <family val="2"/>
          </rPr>
          <t xml:space="preserve">3/5 — correct
Tanin trop présent pour l'émulsion (P10).
Principes de Pat : P10</t>
        </r>
      </text>
    </comment>
    <comment ref="AE61" authorId="0">
      <text>
        <r>
          <rPr>
            <sz val="10"/>
            <rFont val="Arial"/>
            <family val="2"/>
          </rPr>
          <t xml:space="preserve">2/5 — médiocre
Tanin trop présent pour l'émulsion (P10) ; acidité trop faible face au beurre et la réduction vinaigrée (P3).
Principes de Pat : P10, P3</t>
        </r>
      </text>
    </comment>
    <comment ref="AE62" authorId="0">
      <text>
        <r>
          <rPr>
            <sz val="10"/>
            <rFont val="Arial"/>
            <family val="2"/>
          </rPr>
          <t xml:space="preserve">2/5 — médiocre
Tanin trop présent pour l'émulsion (P10) ; le bois couvre la finesse et amplifie l'amertume (P19).
Principes de Pat : P10, P19</t>
        </r>
      </text>
    </comment>
    <comment ref="AE63" authorId="0">
      <text>
        <r>
          <rPr>
            <sz val="10"/>
            <rFont val="Arial"/>
            <family val="2"/>
          </rPr>
          <t xml:space="preserve">2/5 — médiocre
Tanin trop présent pour l'émulsion (P10) ; le bois couvre la finesse et amplifie l'amertume (P19).
Principes de Pat : P10, P19</t>
        </r>
      </text>
    </comment>
    <comment ref="AE64" authorId="0">
      <text>
        <r>
          <rPr>
            <sz val="10"/>
            <rFont val="Arial"/>
            <family val="2"/>
          </rPr>
          <t xml:space="preserve">3/5 — correct
Tanin trop présent pour l'émulsion (P10).
Principes de Pat : P10</t>
        </r>
      </text>
    </comment>
    <comment ref="AE65" authorId="0">
      <text>
        <r>
          <rPr>
            <sz val="10"/>
            <rFont val="Arial"/>
            <family val="2"/>
          </rPr>
          <t xml:space="preserve">2/5 — médiocre
Tanin trop présent pour l'émulsion (P10) ; le bois couvre la finesse et amplifie l'amertume (P19) ; acidité trop faible face au beurre et la réduction vinaigrée (P3).
Principes de Pat : P10, P19, P3</t>
        </r>
      </text>
    </comment>
    <comment ref="AE66" authorId="0">
      <text>
        <r>
          <rPr>
            <sz val="10"/>
            <rFont val="Arial"/>
            <family val="2"/>
          </rPr>
          <t xml:space="preserve">3/5 — correct
Acidité trop faible face au beurre et la réduction vinaigrée (P3).
Principes de Pat : P3</t>
        </r>
      </text>
    </comment>
    <comment ref="AE67" authorId="0">
      <text>
        <r>
          <rPr>
            <sz val="10"/>
            <rFont val="Arial"/>
            <family val="2"/>
          </rPr>
          <t xml:space="preserve">2/5 — médiocre
Tanin trop présent pour l'émulsion (P10) ; acidité trop faible face au beurre et la réduction vinaigrée (P3).
Principes de Pat : P10, P3</t>
        </r>
      </text>
    </comment>
    <comment ref="AE68" authorId="0">
      <text>
        <r>
          <rPr>
            <sz val="10"/>
            <rFont val="Arial"/>
            <family val="2"/>
          </rPr>
          <t xml:space="preserve">2/5 — médiocre
Tanin trop présent pour l'émulsion (P10) ; acidité trop faible face au beurre et la réduction vinaigrée (P3).
Principes de Pat : P10, P3</t>
        </r>
      </text>
    </comment>
    <comment ref="AE70" authorId="0">
      <text>
        <r>
          <rPr>
            <sz val="10"/>
            <rFont val="Arial"/>
            <family val="2"/>
          </rPr>
          <t xml:space="preserve">2/5 — médiocre
Acidité trop faible face au beurre et la réduction vinaigrée (P3) ; trop léger, il disparaît derrière le plat (P20).
Principes de Pat : P3, P20</t>
        </r>
      </text>
    </comment>
    <comment ref="AE71" authorId="0">
      <text>
        <r>
          <rPr>
            <sz val="10"/>
            <rFont val="Arial"/>
            <family val="2"/>
          </rPr>
          <t xml:space="preserve">2/5 — médiocre
Acidité trop faible face au beurre et la réduction vinaigrée (P3) ; trop léger, il disparaît derrière le plat (P20).
Principes de Pat : P3, P20</t>
        </r>
      </text>
    </comment>
    <comment ref="AE73" authorId="0">
      <text>
        <r>
          <rPr>
            <sz val="10"/>
            <rFont val="Arial"/>
            <family val="2"/>
          </rPr>
          <t xml:space="preserve">2/5 — médiocre
Acidité trop faible face au beurre et la réduction vinaigrée (P3) ; trop léger, il disparaît derrière le plat (P20).
Principes de Pat : P3, P20</t>
        </r>
      </text>
    </comment>
    <comment ref="AE74" authorId="0">
      <text>
        <r>
          <rPr>
            <sz val="10"/>
            <rFont val="Arial"/>
            <family val="2"/>
          </rPr>
          <t xml:space="preserve">2/5 — médiocre
Blanc sans la structure qu'appelle la viande (P21, P20).
Principes de Pat : P21, P20</t>
        </r>
      </text>
    </comment>
    <comment ref="AE75" authorId="0">
      <text>
        <r>
          <rPr>
            <sz val="10"/>
            <rFont val="Arial"/>
            <family val="2"/>
          </rPr>
          <t xml:space="preserve">2/5 — médiocre
Blanc sans la structure qu'appelle la viande (P21, P20).
Principes de Pat : P21, P20</t>
        </r>
      </text>
    </comment>
    <comment ref="AE76" authorId="0">
      <text>
        <r>
          <rPr>
            <sz val="10"/>
            <rFont val="Arial"/>
            <family val="2"/>
          </rPr>
          <t xml:space="preserve">2/5 — médiocre
Acidité trop faible face au beurre et la réduction vinaigrée (P3).
Principes de Pat : P3</t>
        </r>
      </text>
    </comment>
    <comment ref="AE77" authorId="0">
      <text>
        <r>
          <rPr>
            <sz val="10"/>
            <rFont val="Arial"/>
            <family val="2"/>
          </rPr>
          <t xml:space="preserve">2/5 — médiocre
Trop léger, il disparaît derrière le plat (P20).
Principes de Pat : P20</t>
        </r>
      </text>
    </comment>
    <comment ref="AE78" authorId="0">
      <text>
        <r>
          <rPr>
            <sz val="10"/>
            <rFont val="Arial"/>
            <family val="2"/>
          </rPr>
          <t xml:space="preserve">2/5 — médiocre
Trop léger, il disparaît derrière le plat (P20).
Principes de Pat : P20</t>
        </r>
      </text>
    </comment>
    <comment ref="AE79" authorId="0">
      <text>
        <r>
          <rPr>
            <sz val="10"/>
            <rFont val="Arial"/>
            <family val="2"/>
          </rPr>
          <t xml:space="preserve">2/5 — médiocre
Blanc sans la structure qu'appelle la viande (P21, P20).
Principes de Pat : P21, P20</t>
        </r>
      </text>
    </comment>
    <comment ref="AE81" authorId="0">
      <text>
        <r>
          <rPr>
            <sz val="10"/>
            <rFont val="Arial"/>
            <family val="2"/>
          </rPr>
          <t xml:space="preserve">1/5 — pas bon du tout
Liquoreux hors de propos sur un plat salé qui n'appelle pas de sucre (P20, P4).
Principes de Pat : P20, P4</t>
        </r>
      </text>
    </comment>
    <comment ref="AF7" authorId="0">
      <text>
        <r>
          <rPr>
            <sz val="10"/>
            <rFont val="Arial"/>
            <family val="2"/>
          </rPr>
          <t xml:space="preserve">1/5 — pas bon du tout
Vin sec face au sucre du dessert : il paraît amer et maigre (P22).
Principes de Pat : P22</t>
        </r>
      </text>
    </comment>
    <comment ref="AF8" authorId="0">
      <text>
        <r>
          <rPr>
            <sz val="10"/>
            <rFont val="Arial"/>
            <family val="2"/>
          </rPr>
          <t xml:space="preserve">1/5 — pas bon du tout
Vin sec face au sucre du dessert : il paraît amer et maigre (P22).
Principes de Pat : P22</t>
        </r>
      </text>
    </comment>
    <comment ref="AF9" authorId="0">
      <text>
        <r>
          <rPr>
            <sz val="10"/>
            <rFont val="Arial"/>
            <family val="2"/>
          </rPr>
          <t xml:space="preserve">1/5 — pas bon du tout
Vin sec face au sucre du dessert : il paraît amer et maigre (P22).
Principes de Pat : P22</t>
        </r>
      </text>
    </comment>
    <comment ref="AF10" authorId="0">
      <text>
        <r>
          <rPr>
            <sz val="10"/>
            <rFont val="Arial"/>
            <family val="2"/>
          </rPr>
          <t xml:space="preserve">1/5 — pas bon du tout
Vin sec face au sucre du dessert : il paraît amer et maigre (P22).
Principes de Pat : P22</t>
        </r>
      </text>
    </comment>
    <comment ref="AF11" authorId="0">
      <text>
        <r>
          <rPr>
            <sz val="10"/>
            <rFont val="Arial"/>
            <family val="2"/>
          </rPr>
          <t xml:space="preserve">1/5 — pas bon du tout
Vin sec face au sucre du dessert : il paraît amer et maigre (P22).
Principes de Pat : P22</t>
        </r>
      </text>
    </comment>
    <comment ref="AF12" authorId="0">
      <text>
        <r>
          <rPr>
            <sz val="10"/>
            <rFont val="Arial"/>
            <family val="2"/>
          </rPr>
          <t xml:space="preserve">1/5 — pas bon du tout
Vin sec face au sucre du dessert : il paraît amer et maigre (P22).
Principes de Pat : P22</t>
        </r>
      </text>
    </comment>
    <comment ref="AF13" authorId="0">
      <text>
        <r>
          <rPr>
            <sz val="10"/>
            <rFont val="Arial"/>
            <family val="2"/>
          </rPr>
          <t xml:space="preserve">1/5 — pas bon du tout
Vin sec face au sucre du dessert : il paraît amer et maigre (P22).
Principes de Pat : P22</t>
        </r>
      </text>
    </comment>
    <comment ref="AF14" authorId="0">
      <text>
        <r>
          <rPr>
            <sz val="10"/>
            <rFont val="Arial"/>
            <family val="2"/>
          </rPr>
          <t xml:space="preserve">1/5 — pas bon du tout
Vin sec face au sucre du dessert : il paraît amer et maigre (P22).
Principes de Pat : P22</t>
        </r>
      </text>
    </comment>
    <comment ref="AF15" authorId="0">
      <text>
        <r>
          <rPr>
            <sz val="10"/>
            <rFont val="Arial"/>
            <family val="2"/>
          </rPr>
          <t xml:space="preserve">1/5 — pas bon du tout
Vin sec face au sucre du dessert : il paraît amer et maigre (P22).
Principes de Pat : P22</t>
        </r>
      </text>
    </comment>
    <comment ref="AF16" authorId="0">
      <text>
        <r>
          <rPr>
            <sz val="10"/>
            <rFont val="Arial"/>
            <family val="2"/>
          </rPr>
          <t xml:space="preserve">1/5 — pas bon du tout
Vin sec face au sucre du dessert : il paraît amer et maigre (P22).
Principes de Pat : P22</t>
        </r>
      </text>
    </comment>
    <comment ref="AF17" authorId="0">
      <text>
        <r>
          <rPr>
            <sz val="10"/>
            <rFont val="Arial"/>
            <family val="2"/>
          </rPr>
          <t xml:space="preserve">1/5 — pas bon du tout
Vin sec face au sucre du dessert : il paraît amer et maigre (P22).
Principes de Pat : P22</t>
        </r>
      </text>
    </comment>
    <comment ref="AF18" authorId="0">
      <text>
        <r>
          <rPr>
            <sz val="10"/>
            <rFont val="Arial"/>
            <family val="2"/>
          </rPr>
          <t xml:space="preserve">1/5 — pas bon du tout
Vin sec face au sucre du dessert : il paraît amer et maigre (P22).
Principes de Pat : P22</t>
        </r>
      </text>
    </comment>
    <comment ref="AF19" authorId="0">
      <text>
        <r>
          <rPr>
            <sz val="10"/>
            <rFont val="Arial"/>
            <family val="2"/>
          </rPr>
          <t xml:space="preserve">1/5 — pas bon du tout
Vin sec face au sucre du dessert : il paraît amer et maigre (P22).
Principes de Pat : P22</t>
        </r>
      </text>
    </comment>
    <comment ref="AF20" authorId="0">
      <text>
        <r>
          <rPr>
            <sz val="10"/>
            <rFont val="Arial"/>
            <family val="2"/>
          </rPr>
          <t xml:space="preserve">1/5 — pas bon du tout
Vin sec face au sucre du dessert : il paraît amer et maigre (P22).
Principes de Pat : P22</t>
        </r>
      </text>
    </comment>
    <comment ref="AF21" authorId="0">
      <text>
        <r>
          <rPr>
            <sz val="10"/>
            <rFont val="Arial"/>
            <family val="2"/>
          </rPr>
          <t xml:space="preserve">1/5 — pas bon du tout
Vin sec face au sucre du dessert : il paraît amer et maigre (P22).
Principes de Pat : P22</t>
        </r>
      </text>
    </comment>
    <comment ref="AF22" authorId="0">
      <text>
        <r>
          <rPr>
            <sz val="10"/>
            <rFont val="Arial"/>
            <family val="2"/>
          </rPr>
          <t xml:space="preserve">1/5 — pas bon du tout
Vin sec face au sucre du dessert : il paraît amer et maigre (P22).
Principes de Pat : P22</t>
        </r>
      </text>
    </comment>
    <comment ref="AF23" authorId="0">
      <text>
        <r>
          <rPr>
            <sz val="10"/>
            <rFont val="Arial"/>
            <family val="2"/>
          </rPr>
          <t xml:space="preserve">1/5 — pas bon du tout
Vin sec face au sucre du dessert : il paraît amer et maigre (P22).
Principes de Pat : P22</t>
        </r>
      </text>
    </comment>
    <comment ref="AF24" authorId="0">
      <text>
        <r>
          <rPr>
            <sz val="10"/>
            <rFont val="Arial"/>
            <family val="2"/>
          </rPr>
          <t xml:space="preserve">1/5 — pas bon du tout
Vin sec face au sucre du dessert : il paraît amer et maigre (P22).
Principes de Pat : P22</t>
        </r>
      </text>
    </comment>
    <comment ref="AF25" authorId="0">
      <text>
        <r>
          <rPr>
            <sz val="10"/>
            <rFont val="Arial"/>
            <family val="2"/>
          </rPr>
          <t xml:space="preserve">1/5 — pas bon du tout
Vin sec face au sucre du dessert : il paraît amer et maigre (P22).
Principes de Pat : P22</t>
        </r>
      </text>
    </comment>
    <comment ref="AF26" authorId="0">
      <text>
        <r>
          <rPr>
            <sz val="10"/>
            <rFont val="Arial"/>
            <family val="2"/>
          </rPr>
          <t xml:space="preserve">1/5 — pas bon du tout
Vin sec face au sucre du dessert : il paraît amer et maigre (P22).
Principes de Pat : P22</t>
        </r>
      </text>
    </comment>
    <comment ref="AF27" authorId="0">
      <text>
        <r>
          <rPr>
            <sz val="10"/>
            <rFont val="Arial"/>
            <family val="2"/>
          </rPr>
          <t xml:space="preserve">1/5 — pas bon du tout
Vin sec face au sucre du dessert : il paraît amer et maigre (P22).
Principes de Pat : P22</t>
        </r>
      </text>
    </comment>
    <comment ref="AF29" authorId="0">
      <text>
        <r>
          <rPr>
            <sz val="10"/>
            <rFont val="Arial"/>
            <family val="2"/>
          </rPr>
          <t xml:space="preserve">1/5 — pas bon du tout
Vin sec face au sucre du dessert : il paraît amer et maigre (P22).
Principes de Pat : P22</t>
        </r>
      </text>
    </comment>
    <comment ref="AF30" authorId="0">
      <text>
        <r>
          <rPr>
            <sz val="10"/>
            <rFont val="Arial"/>
            <family val="2"/>
          </rPr>
          <t xml:space="preserve">1/5 — pas bon du tout
Vin sec face au sucre du dessert : il paraît amer et maigre (P22).
Principes de Pat : P22</t>
        </r>
      </text>
    </comment>
    <comment ref="AF31" authorId="0">
      <text>
        <r>
          <rPr>
            <sz val="10"/>
            <rFont val="Arial"/>
            <family val="2"/>
          </rPr>
          <t xml:space="preserve">1/5 — pas bon du tout
Vin sec face au sucre du dessert : il paraît amer et maigre (P22).
Principes de Pat : P22</t>
        </r>
      </text>
    </comment>
    <comment ref="AF32" authorId="0">
      <text>
        <r>
          <rPr>
            <sz val="10"/>
            <rFont val="Arial"/>
            <family val="2"/>
          </rPr>
          <t xml:space="preserve">1/5 — pas bon du tout
Vin sec face au sucre du dessert : il paraît amer et maigre (P22).
Principes de Pat : P22</t>
        </r>
      </text>
    </comment>
    <comment ref="AF33" authorId="0">
      <text>
        <r>
          <rPr>
            <sz val="10"/>
            <rFont val="Arial"/>
            <family val="2"/>
          </rPr>
          <t xml:space="preserve">1/5 — pas bon du tout
Vin sec face au sucre du dessert : il paraît amer et maigre (P22).
Principes de Pat : P22</t>
        </r>
      </text>
    </comment>
    <comment ref="AF34" authorId="0">
      <text>
        <r>
          <rPr>
            <sz val="10"/>
            <rFont val="Arial"/>
            <family val="2"/>
          </rPr>
          <t xml:space="preserve">1/5 — pas bon du tout
Vin sec face au sucre du dessert : il paraît amer et maigre (P22).
Principes de Pat : P22</t>
        </r>
      </text>
    </comment>
    <comment ref="AF35" authorId="0">
      <text>
        <r>
          <rPr>
            <sz val="10"/>
            <rFont val="Arial"/>
            <family val="2"/>
          </rPr>
          <t xml:space="preserve">1/5 — pas bon du tout
Vin sec face au sucre du dessert : il paraît amer et maigre (P22).
Principes de Pat : P22</t>
        </r>
      </text>
    </comment>
    <comment ref="AF36" authorId="0">
      <text>
        <r>
          <rPr>
            <sz val="10"/>
            <rFont val="Arial"/>
            <family val="2"/>
          </rPr>
          <t xml:space="preserve">1/5 — pas bon du tout
Vin sec face au sucre du dessert : il paraît amer et maigre (P22).
Principes de Pat : P22</t>
        </r>
      </text>
    </comment>
    <comment ref="AF37" authorId="0">
      <text>
        <r>
          <rPr>
            <sz val="10"/>
            <rFont val="Arial"/>
            <family val="2"/>
          </rPr>
          <t xml:space="preserve">1/5 — pas bon du tout
Vin sec face au sucre du dessert : il paraît amer et maigre (P22).
Principes de Pat : P22</t>
        </r>
      </text>
    </comment>
    <comment ref="AF38" authorId="0">
      <text>
        <r>
          <rPr>
            <sz val="10"/>
            <rFont val="Arial"/>
            <family val="2"/>
          </rPr>
          <t xml:space="preserve">1/5 — pas bon du tout
Vin sec face au sucre du dessert : il paraît amer et maigre (P22).
Principes de Pat : P22</t>
        </r>
      </text>
    </comment>
    <comment ref="AF39" authorId="0">
      <text>
        <r>
          <rPr>
            <sz val="10"/>
            <rFont val="Arial"/>
            <family val="2"/>
          </rPr>
          <t xml:space="preserve">1/5 — pas bon du tout
Vin sec face au sucre du dessert : il paraît amer et maigre (P22).
Principes de Pat : P22</t>
        </r>
      </text>
    </comment>
    <comment ref="AF40" authorId="0">
      <text>
        <r>
          <rPr>
            <sz val="10"/>
            <rFont val="Arial"/>
            <family val="2"/>
          </rPr>
          <t xml:space="preserve">1/5 — pas bon du tout
Vin sec face au sucre du dessert : il paraît amer et maigre (P22).
Principes de Pat : P22</t>
        </r>
      </text>
    </comment>
    <comment ref="AF41" authorId="0">
      <text>
        <r>
          <rPr>
            <sz val="10"/>
            <rFont val="Arial"/>
            <family val="2"/>
          </rPr>
          <t xml:space="preserve">1/5 — pas bon du tout
Vin sec face au sucre du dessert : il paraît amer et maigre (P22).
Principes de Pat : P22</t>
        </r>
      </text>
    </comment>
    <comment ref="AF42" authorId="0">
      <text>
        <r>
          <rPr>
            <sz val="10"/>
            <rFont val="Arial"/>
            <family val="2"/>
          </rPr>
          <t xml:space="preserve">1/5 — pas bon du tout
Vin sec face au sucre du dessert : il paraît amer et maigre (P22).
Principes de Pat : P22</t>
        </r>
      </text>
    </comment>
    <comment ref="AF43" authorId="0">
      <text>
        <r>
          <rPr>
            <sz val="10"/>
            <rFont val="Arial"/>
            <family val="2"/>
          </rPr>
          <t xml:space="preserve">1/5 — pas bon du tout
Vin sec face au sucre du dessert : il paraît amer et maigre (P22).
Principes de Pat : P22</t>
        </r>
      </text>
    </comment>
    <comment ref="AF44" authorId="0">
      <text>
        <r>
          <rPr>
            <sz val="10"/>
            <rFont val="Arial"/>
            <family val="2"/>
          </rPr>
          <t xml:space="preserve">1/5 — pas bon du tout
Vin sec face au sucre du dessert : il paraît amer et maigre (P22).
Principes de Pat : P22</t>
        </r>
      </text>
    </comment>
    <comment ref="AF45" authorId="0">
      <text>
        <r>
          <rPr>
            <sz val="10"/>
            <rFont val="Arial"/>
            <family val="2"/>
          </rPr>
          <t xml:space="preserve">1/5 — pas bon du tout
Vin sec face au sucre du dessert : il paraît amer et maigre (P22).
Principes de Pat : P22</t>
        </r>
      </text>
    </comment>
    <comment ref="AF46" authorId="0">
      <text>
        <r>
          <rPr>
            <sz val="10"/>
            <rFont val="Arial"/>
            <family val="2"/>
          </rPr>
          <t xml:space="preserve">1/5 — pas bon du tout
Vin sec face au sucre du dessert : il paraît amer et maigre (P22).
Principes de Pat : P22</t>
        </r>
      </text>
    </comment>
    <comment ref="AF47" authorId="0">
      <text>
        <r>
          <rPr>
            <sz val="10"/>
            <rFont val="Arial"/>
            <family val="2"/>
          </rPr>
          <t xml:space="preserve">1/5 — pas bon du tout
Vin sec face au sucre du dessert : il paraît amer et maigre (P22).
Principes de Pat : P22</t>
        </r>
      </text>
    </comment>
    <comment ref="AF48" authorId="0">
      <text>
        <r>
          <rPr>
            <sz val="10"/>
            <rFont val="Arial"/>
            <family val="2"/>
          </rPr>
          <t xml:space="preserve">1/5 — pas bon du tout
Vin sec face au sucre du dessert : il paraît amer et maigre (P22).
Principes de Pat : P22</t>
        </r>
      </text>
    </comment>
    <comment ref="AF49" authorId="0">
      <text>
        <r>
          <rPr>
            <sz val="10"/>
            <rFont val="Arial"/>
            <family val="2"/>
          </rPr>
          <t xml:space="preserve">1/5 — pas bon du tout
Vin sec face au sucre du dessert : il paraît amer et maigre (P22).
Principes de Pat : P22</t>
        </r>
      </text>
    </comment>
    <comment ref="AF50" authorId="0">
      <text>
        <r>
          <rPr>
            <sz val="10"/>
            <rFont val="Arial"/>
            <family val="2"/>
          </rPr>
          <t xml:space="preserve">1/5 — pas bon du tout
Vin sec face au sucre du dessert : il paraît amer et maigre (P22).
Principes de Pat : P22</t>
        </r>
      </text>
    </comment>
    <comment ref="AF51" authorId="0">
      <text>
        <r>
          <rPr>
            <sz val="10"/>
            <rFont val="Arial"/>
            <family val="2"/>
          </rPr>
          <t xml:space="preserve">1/5 — pas bon du tout
Vin sec face au sucre du dessert : il paraît amer et maigre (P22).
Principes de Pat : P22</t>
        </r>
      </text>
    </comment>
    <comment ref="AF52" authorId="0">
      <text>
        <r>
          <rPr>
            <sz val="10"/>
            <rFont val="Arial"/>
            <family val="2"/>
          </rPr>
          <t xml:space="preserve">1/5 — pas bon du tout
Vin sec face au sucre du dessert : il paraît amer et maigre (P22).
Principes de Pat : P22</t>
        </r>
      </text>
    </comment>
    <comment ref="AF53" authorId="0">
      <text>
        <r>
          <rPr>
            <sz val="10"/>
            <rFont val="Arial"/>
            <family val="2"/>
          </rPr>
          <t xml:space="preserve">1/5 — pas bon du tout
Vin sec face au sucre du dessert : il paraît amer et maigre (P22).
Principes de Pat : P22</t>
        </r>
      </text>
    </comment>
    <comment ref="AF54" authorId="0">
      <text>
        <r>
          <rPr>
            <sz val="10"/>
            <rFont val="Arial"/>
            <family val="2"/>
          </rPr>
          <t xml:space="preserve">1/5 — pas bon du tout
Vin sec face au sucre du dessert : il paraît amer et maigre (P22).
Principes de Pat : P22</t>
        </r>
      </text>
    </comment>
    <comment ref="AF55" authorId="0">
      <text>
        <r>
          <rPr>
            <sz val="10"/>
            <rFont val="Arial"/>
            <family val="2"/>
          </rPr>
          <t xml:space="preserve">1/5 — pas bon du tout
Vin sec face au sucre du dessert : il paraît amer et maigre (P22).
Principes de Pat : P22</t>
        </r>
      </text>
    </comment>
    <comment ref="AF56" authorId="0">
      <text>
        <r>
          <rPr>
            <sz val="10"/>
            <rFont val="Arial"/>
            <family val="2"/>
          </rPr>
          <t xml:space="preserve">1/5 — pas bon du tout
Vin sec face au sucre du dessert : il paraît amer et maigre (P22).
Principes de Pat : P22</t>
        </r>
      </text>
    </comment>
    <comment ref="AF57" authorId="0">
      <text>
        <r>
          <rPr>
            <sz val="10"/>
            <rFont val="Arial"/>
            <family val="2"/>
          </rPr>
          <t xml:space="preserve">1/5 — pas bon du tout
Vin sec face au sucre du dessert : il paraît amer et maigre (P22).
Principes de Pat : P22</t>
        </r>
      </text>
    </comment>
    <comment ref="AF58" authorId="0">
      <text>
        <r>
          <rPr>
            <sz val="10"/>
            <rFont val="Arial"/>
            <family val="2"/>
          </rPr>
          <t xml:space="preserve">1/5 — pas bon du tout
Vin sec face au sucre du dessert : il paraît amer et maigre (P22).
Principes de Pat : P22</t>
        </r>
      </text>
    </comment>
    <comment ref="AF59" authorId="0">
      <text>
        <r>
          <rPr>
            <sz val="10"/>
            <rFont val="Arial"/>
            <family val="2"/>
          </rPr>
          <t xml:space="preserve">1/5 — pas bon du tout
Vin sec face au sucre du dessert : il paraît amer et maigre (P22).
Principes de Pat : P22</t>
        </r>
      </text>
    </comment>
    <comment ref="AF60" authorId="0">
      <text>
        <r>
          <rPr>
            <sz val="10"/>
            <rFont val="Arial"/>
            <family val="2"/>
          </rPr>
          <t xml:space="preserve">1/5 — pas bon du tout
Vin sec face au sucre du dessert : il paraît amer et maigre (P22).
Principes de Pat : P22</t>
        </r>
      </text>
    </comment>
    <comment ref="AF61" authorId="0">
      <text>
        <r>
          <rPr>
            <sz val="10"/>
            <rFont val="Arial"/>
            <family val="2"/>
          </rPr>
          <t xml:space="preserve">1/5 — pas bon du tout
Vin sec face au sucre du dessert : il paraît amer et maigre (P22).
Principes de Pat : P22</t>
        </r>
      </text>
    </comment>
    <comment ref="AF62" authorId="0">
      <text>
        <r>
          <rPr>
            <sz val="10"/>
            <rFont val="Arial"/>
            <family val="2"/>
          </rPr>
          <t xml:space="preserve">1/5 — pas bon du tout
Vin sec face au sucre du dessert : il paraît amer et maigre (P22).
Principes de Pat : P22</t>
        </r>
      </text>
    </comment>
    <comment ref="AF63" authorId="0">
      <text>
        <r>
          <rPr>
            <sz val="10"/>
            <rFont val="Arial"/>
            <family val="2"/>
          </rPr>
          <t xml:space="preserve">1/5 — pas bon du tout
Vin sec face au sucre du dessert : il paraît amer et maigre (P22).
Principes de Pat : P22</t>
        </r>
      </text>
    </comment>
    <comment ref="AF64" authorId="0">
      <text>
        <r>
          <rPr>
            <sz val="10"/>
            <rFont val="Arial"/>
            <family val="2"/>
          </rPr>
          <t xml:space="preserve">1/5 — pas bon du tout
Vin sec face au sucre du dessert : il paraît amer et maigre (P22).
Principes de Pat : P22</t>
        </r>
      </text>
    </comment>
    <comment ref="AF65" authorId="0">
      <text>
        <r>
          <rPr>
            <sz val="10"/>
            <rFont val="Arial"/>
            <family val="2"/>
          </rPr>
          <t xml:space="preserve">1/5 — pas bon du tout
Vin sec face au sucre du dessert : il paraît amer et maigre (P22).
Principes de Pat : P22</t>
        </r>
      </text>
    </comment>
    <comment ref="AF66" authorId="0">
      <text>
        <r>
          <rPr>
            <sz val="10"/>
            <rFont val="Arial"/>
            <family val="2"/>
          </rPr>
          <t xml:space="preserve">1/5 — pas bon du tout
Vin sec face au sucre du dessert : il paraît amer et maigre (P22).
Principes de Pat : P22</t>
        </r>
      </text>
    </comment>
    <comment ref="AF67" authorId="0">
      <text>
        <r>
          <rPr>
            <sz val="10"/>
            <rFont val="Arial"/>
            <family val="2"/>
          </rPr>
          <t xml:space="preserve">1/5 — pas bon du tout
Vin sec face au sucre du dessert : il paraît amer et maigre (P22).
Principes de Pat : P22</t>
        </r>
      </text>
    </comment>
    <comment ref="AF68" authorId="0">
      <text>
        <r>
          <rPr>
            <sz val="10"/>
            <rFont val="Arial"/>
            <family val="2"/>
          </rPr>
          <t xml:space="preserve">1/5 — pas bon du tout
Vin sec face au sucre du dessert : il paraît amer et maigre (P22).
Principes de Pat : P22</t>
        </r>
      </text>
    </comment>
    <comment ref="AF70" authorId="0">
      <text>
        <r>
          <rPr>
            <sz val="10"/>
            <rFont val="Arial"/>
            <family val="2"/>
          </rPr>
          <t xml:space="preserve">1/5 — pas bon du tout
Vin sec face au sucre du dessert : il paraît amer et maigre (P22).
Principes de Pat : P22</t>
        </r>
      </text>
    </comment>
    <comment ref="AF71" authorId="0">
      <text>
        <r>
          <rPr>
            <sz val="10"/>
            <rFont val="Arial"/>
            <family val="2"/>
          </rPr>
          <t xml:space="preserve">1/5 — pas bon du tout
Vin sec face au sucre du dessert : il paraît amer et maigre (P22).
Principes de Pat : P22</t>
        </r>
      </text>
    </comment>
    <comment ref="AF73" authorId="0">
      <text>
        <r>
          <rPr>
            <sz val="10"/>
            <rFont val="Arial"/>
            <family val="2"/>
          </rPr>
          <t xml:space="preserve">1/5 — pas bon du tout
Vin sec face au sucre du dessert : il paraît amer et maigre (P22).
Principes de Pat : P22</t>
        </r>
      </text>
    </comment>
    <comment ref="AF74" authorId="0">
      <text>
        <r>
          <rPr>
            <sz val="10"/>
            <rFont val="Arial"/>
            <family val="2"/>
          </rPr>
          <t xml:space="preserve">1/5 — pas bon du tout
Vin sec face au sucre du dessert : il paraît amer et maigre (P22).
Principes de Pat : P22</t>
        </r>
      </text>
    </comment>
    <comment ref="AF75" authorId="0">
      <text>
        <r>
          <rPr>
            <sz val="10"/>
            <rFont val="Arial"/>
            <family val="2"/>
          </rPr>
          <t xml:space="preserve">1/5 — pas bon du tout
Vin sec face au sucre du dessert : il paraît amer et maigre (P22).
Principes de Pat : P22</t>
        </r>
      </text>
    </comment>
    <comment ref="AF76" authorId="0">
      <text>
        <r>
          <rPr>
            <sz val="10"/>
            <rFont val="Arial"/>
            <family val="2"/>
          </rPr>
          <t xml:space="preserve">1/5 — pas bon du tout
Vin sec face au sucre du dessert : il paraît amer et maigre (P22).
Principes de Pat : P22</t>
        </r>
      </text>
    </comment>
    <comment ref="AF77" authorId="0">
      <text>
        <r>
          <rPr>
            <sz val="10"/>
            <rFont val="Arial"/>
            <family val="2"/>
          </rPr>
          <t xml:space="preserve">1/5 — pas bon du tout
Vin sec face au sucre du dessert : il paraît amer et maigre (P22).
Principes de Pat : P22</t>
        </r>
      </text>
    </comment>
    <comment ref="AF78" authorId="0">
      <text>
        <r>
          <rPr>
            <sz val="10"/>
            <rFont val="Arial"/>
            <family val="2"/>
          </rPr>
          <t xml:space="preserve">1/5 — pas bon du tout
Vin sec face au sucre du dessert : il paraît amer et maigre (P22).
Principes de Pat : P22</t>
        </r>
      </text>
    </comment>
    <comment ref="AF79" authorId="0">
      <text>
        <r>
          <rPr>
            <sz val="10"/>
            <rFont val="Arial"/>
            <family val="2"/>
          </rPr>
          <t xml:space="preserve">1/5 — pas bon du tout
Vin sec face au sucre du dessert : il paraît amer et maigre (P22).
Principes de Pat : P22</t>
        </r>
      </text>
    </comment>
    <comment ref="AF81" authorId="0">
      <text>
        <r>
          <rPr>
            <sz val="10"/>
            <rFont val="Arial"/>
            <family val="2"/>
          </rPr>
          <t xml:space="preserve">5/5 — accord parfait
Liquoreux au moins aussi sucré que la crème ; l'élevage en fût fait miroir à la vanille, la richesse développe le caramel (P22, P25, P14).
Principes de Pat : P22, P25, P14</t>
        </r>
      </text>
    </comment>
    <comment ref="AG7" authorId="0">
      <text>
        <r>
          <rPr>
            <sz val="10"/>
            <rFont val="Arial"/>
            <family val="2"/>
          </rPr>
          <t xml:space="preserve">1/5 — pas bon du tout
Vin sec face au sucre du dessert : il paraît amer et maigre (P22, P15).
Principes de Pat : P22, P15</t>
        </r>
      </text>
    </comment>
    <comment ref="AG8" authorId="0">
      <text>
        <r>
          <rPr>
            <sz val="10"/>
            <rFont val="Arial"/>
            <family val="2"/>
          </rPr>
          <t xml:space="preserve">1/5 — pas bon du tout
Vin sec face au sucre du dessert : il paraît amer et maigre (P22, P15).
Principes de Pat : P22, P15</t>
        </r>
      </text>
    </comment>
    <comment ref="AG9" authorId="0">
      <text>
        <r>
          <rPr>
            <sz val="10"/>
            <rFont val="Arial"/>
            <family val="2"/>
          </rPr>
          <t xml:space="preserve">1/5 — pas bon du tout
Vin sec face au sucre du dessert : il paraît amer et maigre (P22, P15).
Principes de Pat : P22, P15</t>
        </r>
      </text>
    </comment>
    <comment ref="AG10" authorId="0">
      <text>
        <r>
          <rPr>
            <sz val="10"/>
            <rFont val="Arial"/>
            <family val="2"/>
          </rPr>
          <t xml:space="preserve">1/5 — pas bon du tout
Vin sec face au sucre du dessert : il paraît amer et maigre (P22, P15).
Principes de Pat : P22, P15</t>
        </r>
      </text>
    </comment>
    <comment ref="AG11" authorId="0">
      <text>
        <r>
          <rPr>
            <sz val="10"/>
            <rFont val="Arial"/>
            <family val="2"/>
          </rPr>
          <t xml:space="preserve">1/5 — pas bon du tout
Vin sec face au sucre du dessert : il paraît amer et maigre (P22, P15).
Principes de Pat : P22, P15</t>
        </r>
      </text>
    </comment>
    <comment ref="AG12" authorId="0">
      <text>
        <r>
          <rPr>
            <sz val="10"/>
            <rFont val="Arial"/>
            <family val="2"/>
          </rPr>
          <t xml:space="preserve">1/5 — pas bon du tout
Vin sec face au sucre du dessert : il paraît amer et maigre (P22, P15).
Principes de Pat : P22, P15</t>
        </r>
      </text>
    </comment>
    <comment ref="AG13" authorId="0">
      <text>
        <r>
          <rPr>
            <sz val="10"/>
            <rFont val="Arial"/>
            <family val="2"/>
          </rPr>
          <t xml:space="preserve">1/5 — pas bon du tout
Vin sec face au sucre du dessert : il paraît amer et maigre (P22, P15).
Principes de Pat : P22, P15</t>
        </r>
      </text>
    </comment>
    <comment ref="AG14" authorId="0">
      <text>
        <r>
          <rPr>
            <sz val="10"/>
            <rFont val="Arial"/>
            <family val="2"/>
          </rPr>
          <t xml:space="preserve">1/5 — pas bon du tout
Vin sec face au sucre du dessert : il paraît amer et maigre (P22, P15).
Principes de Pat : P22, P15</t>
        </r>
      </text>
    </comment>
    <comment ref="AG15" authorId="0">
      <text>
        <r>
          <rPr>
            <sz val="10"/>
            <rFont val="Arial"/>
            <family val="2"/>
          </rPr>
          <t xml:space="preserve">1/5 — pas bon du tout
Vin sec face au sucre du dessert : il paraît amer et maigre (P22, P15).
Principes de Pat : P22, P15</t>
        </r>
      </text>
    </comment>
    <comment ref="AG16" authorId="0">
      <text>
        <r>
          <rPr>
            <sz val="10"/>
            <rFont val="Arial"/>
            <family val="2"/>
          </rPr>
          <t xml:space="preserve">1/5 — pas bon du tout
Vin sec face au sucre du dessert : il paraît amer et maigre (P22, P15).
Principes de Pat : P22, P15</t>
        </r>
      </text>
    </comment>
    <comment ref="AG17" authorId="0">
      <text>
        <r>
          <rPr>
            <sz val="10"/>
            <rFont val="Arial"/>
            <family val="2"/>
          </rPr>
          <t xml:space="preserve">1/5 — pas bon du tout
Vin sec face au sucre du dessert : il paraît amer et maigre (P22, P15).
Principes de Pat : P22, P15</t>
        </r>
      </text>
    </comment>
    <comment ref="AG18" authorId="0">
      <text>
        <r>
          <rPr>
            <sz val="10"/>
            <rFont val="Arial"/>
            <family val="2"/>
          </rPr>
          <t xml:space="preserve">1/5 — pas bon du tout
Vin sec face au sucre du dessert : il paraît amer et maigre (P22, P15).
Principes de Pat : P22, P15</t>
        </r>
      </text>
    </comment>
    <comment ref="AG19" authorId="0">
      <text>
        <r>
          <rPr>
            <sz val="10"/>
            <rFont val="Arial"/>
            <family val="2"/>
          </rPr>
          <t xml:space="preserve">1/5 — pas bon du tout
Vin sec face au sucre du dessert : il paraît amer et maigre (P22, P15).
Principes de Pat : P22, P15</t>
        </r>
      </text>
    </comment>
    <comment ref="AG20" authorId="0">
      <text>
        <r>
          <rPr>
            <sz val="10"/>
            <rFont val="Arial"/>
            <family val="2"/>
          </rPr>
          <t xml:space="preserve">1/5 — pas bon du tout
Vin sec face au sucre du dessert : il paraît amer et maigre (P22, P15).
Principes de Pat : P22, P15</t>
        </r>
      </text>
    </comment>
    <comment ref="AG21" authorId="0">
      <text>
        <r>
          <rPr>
            <sz val="10"/>
            <rFont val="Arial"/>
            <family val="2"/>
          </rPr>
          <t xml:space="preserve">1/5 — pas bon du tout
Vin sec face au sucre du dessert : il paraît amer et maigre (P22, P15).
Principes de Pat : P22, P15</t>
        </r>
      </text>
    </comment>
    <comment ref="AG22" authorId="0">
      <text>
        <r>
          <rPr>
            <sz val="10"/>
            <rFont val="Arial"/>
            <family val="2"/>
          </rPr>
          <t xml:space="preserve">1/5 — pas bon du tout
Vin sec face au sucre du dessert : il paraît amer et maigre (P22, P15).
Principes de Pat : P22, P15</t>
        </r>
      </text>
    </comment>
    <comment ref="AG23" authorId="0">
      <text>
        <r>
          <rPr>
            <sz val="10"/>
            <rFont val="Arial"/>
            <family val="2"/>
          </rPr>
          <t xml:space="preserve">1/5 — pas bon du tout
Vin sec face au sucre du dessert : il paraît amer et maigre (P22, P15).
Principes de Pat : P22, P15</t>
        </r>
      </text>
    </comment>
    <comment ref="AG24" authorId="0">
      <text>
        <r>
          <rPr>
            <sz val="10"/>
            <rFont val="Arial"/>
            <family val="2"/>
          </rPr>
          <t xml:space="preserve">1/5 — pas bon du tout
Vin sec face au sucre du dessert : il paraît amer et maigre (P22, P15).
Principes de Pat : P22, P15</t>
        </r>
      </text>
    </comment>
    <comment ref="AG25" authorId="0">
      <text>
        <r>
          <rPr>
            <sz val="10"/>
            <rFont val="Arial"/>
            <family val="2"/>
          </rPr>
          <t xml:space="preserve">1/5 — pas bon du tout
Vin sec face au sucre du dessert : il paraît amer et maigre (P22, P15).
Principes de Pat : P22, P15</t>
        </r>
      </text>
    </comment>
    <comment ref="AG26" authorId="0">
      <text>
        <r>
          <rPr>
            <sz val="10"/>
            <rFont val="Arial"/>
            <family val="2"/>
          </rPr>
          <t xml:space="preserve">1/5 — pas bon du tout
Vin sec face au sucre du dessert : il paraît amer et maigre (P22, P15).
Principes de Pat : P22, P15</t>
        </r>
      </text>
    </comment>
    <comment ref="AG27" authorId="0">
      <text>
        <r>
          <rPr>
            <sz val="10"/>
            <rFont val="Arial"/>
            <family val="2"/>
          </rPr>
          <t xml:space="preserve">1/5 — pas bon du tout
Vin sec face au sucre du dessert : il paraît amer et maigre (P22, P15).
Principes de Pat : P22, P15</t>
        </r>
      </text>
    </comment>
    <comment ref="AG29" authorId="0">
      <text>
        <r>
          <rPr>
            <sz val="10"/>
            <rFont val="Arial"/>
            <family val="2"/>
          </rPr>
          <t xml:space="preserve">1/5 — pas bon du tout
Vin sec face au sucre du dessert : il paraît amer et maigre (P22, P15).
Principes de Pat : P22, P15</t>
        </r>
      </text>
    </comment>
    <comment ref="AG30" authorId="0">
      <text>
        <r>
          <rPr>
            <sz val="10"/>
            <rFont val="Arial"/>
            <family val="2"/>
          </rPr>
          <t xml:space="preserve">1/5 — pas bon du tout
Vin sec face au sucre du dessert : il paraît amer et maigre (P22, P15).
Principes de Pat : P22, P15</t>
        </r>
      </text>
    </comment>
    <comment ref="AG31" authorId="0">
      <text>
        <r>
          <rPr>
            <sz val="10"/>
            <rFont val="Arial"/>
            <family val="2"/>
          </rPr>
          <t xml:space="preserve">1/5 — pas bon du tout
Vin sec face au sucre du dessert : il paraît amer et maigre (P22, P15).
Principes de Pat : P22, P15</t>
        </r>
      </text>
    </comment>
    <comment ref="AG32" authorId="0">
      <text>
        <r>
          <rPr>
            <sz val="10"/>
            <rFont val="Arial"/>
            <family val="2"/>
          </rPr>
          <t xml:space="preserve">1/5 — pas bon du tout
Vin sec face au sucre du dessert : il paraît amer et maigre (P22, P15).
Principes de Pat : P22, P15</t>
        </r>
      </text>
    </comment>
    <comment ref="AG33" authorId="0">
      <text>
        <r>
          <rPr>
            <sz val="10"/>
            <rFont val="Arial"/>
            <family val="2"/>
          </rPr>
          <t xml:space="preserve">1/5 — pas bon du tout
Vin sec face au sucre du dessert : il paraît amer et maigre (P22, P15).
Principes de Pat : P22, P15</t>
        </r>
      </text>
    </comment>
    <comment ref="AG34" authorId="0">
      <text>
        <r>
          <rPr>
            <sz val="10"/>
            <rFont val="Arial"/>
            <family val="2"/>
          </rPr>
          <t xml:space="preserve">1/5 — pas bon du tout
Vin sec face au sucre du dessert : il paraît amer et maigre (P22, P15).
Principes de Pat : P22, P15</t>
        </r>
      </text>
    </comment>
    <comment ref="AG35" authorId="0">
      <text>
        <r>
          <rPr>
            <sz val="10"/>
            <rFont val="Arial"/>
            <family val="2"/>
          </rPr>
          <t xml:space="preserve">1/5 — pas bon du tout
Vin sec face au sucre du dessert : il paraît amer et maigre (P22, P15).
Principes de Pat : P22, P15</t>
        </r>
      </text>
    </comment>
    <comment ref="AG36" authorId="0">
      <text>
        <r>
          <rPr>
            <sz val="10"/>
            <rFont val="Arial"/>
            <family val="2"/>
          </rPr>
          <t xml:space="preserve">1/5 — pas bon du tout
Vin sec face au sucre du dessert : il paraît amer et maigre (P22, P15).
Principes de Pat : P22, P15</t>
        </r>
      </text>
    </comment>
    <comment ref="AG37" authorId="0">
      <text>
        <r>
          <rPr>
            <sz val="10"/>
            <rFont val="Arial"/>
            <family val="2"/>
          </rPr>
          <t xml:space="preserve">1/5 — pas bon du tout
Vin sec face au sucre du dessert : il paraît amer et maigre (P22, P15).
Principes de Pat : P22, P15</t>
        </r>
      </text>
    </comment>
    <comment ref="AG38" authorId="0">
      <text>
        <r>
          <rPr>
            <sz val="10"/>
            <rFont val="Arial"/>
            <family val="2"/>
          </rPr>
          <t xml:space="preserve">1/5 — pas bon du tout
Vin sec face au sucre du dessert : il paraît amer et maigre (P22, P15).
Principes de Pat : P22, P15</t>
        </r>
      </text>
    </comment>
    <comment ref="AG39" authorId="0">
      <text>
        <r>
          <rPr>
            <sz val="10"/>
            <rFont val="Arial"/>
            <family val="2"/>
          </rPr>
          <t xml:space="preserve">1/5 — pas bon du tout
Vin sec face au sucre du dessert : il paraît amer et maigre (P22, P15).
Principes de Pat : P22, P15</t>
        </r>
      </text>
    </comment>
    <comment ref="AG40" authorId="0">
      <text>
        <r>
          <rPr>
            <sz val="10"/>
            <rFont val="Arial"/>
            <family val="2"/>
          </rPr>
          <t xml:space="preserve">1/5 — pas bon du tout
Vin sec face au sucre du dessert : il paraît amer et maigre (P22, P15).
Principes de Pat : P22, P15</t>
        </r>
      </text>
    </comment>
    <comment ref="AG41" authorId="0">
      <text>
        <r>
          <rPr>
            <sz val="10"/>
            <rFont val="Arial"/>
            <family val="2"/>
          </rPr>
          <t xml:space="preserve">1/5 — pas bon du tout
Vin sec face au sucre du dessert : il paraît amer et maigre (P22, P15).
Principes de Pat : P22, P15</t>
        </r>
      </text>
    </comment>
    <comment ref="AG42" authorId="0">
      <text>
        <r>
          <rPr>
            <sz val="10"/>
            <rFont val="Arial"/>
            <family val="2"/>
          </rPr>
          <t xml:space="preserve">1/5 — pas bon du tout
Vin sec face au sucre du dessert : il paraît amer et maigre (P22, P15).
Principes de Pat : P22, P15</t>
        </r>
      </text>
    </comment>
    <comment ref="AG43" authorId="0">
      <text>
        <r>
          <rPr>
            <sz val="10"/>
            <rFont val="Arial"/>
            <family val="2"/>
          </rPr>
          <t xml:space="preserve">1/5 — pas bon du tout
Vin sec face au sucre du dessert : il paraît amer et maigre (P22, P15).
Principes de Pat : P22, P15</t>
        </r>
      </text>
    </comment>
    <comment ref="AG44" authorId="0">
      <text>
        <r>
          <rPr>
            <sz val="10"/>
            <rFont val="Arial"/>
            <family val="2"/>
          </rPr>
          <t xml:space="preserve">1/5 — pas bon du tout
Vin sec face au sucre du dessert : il paraît amer et maigre (P22, P15).
Principes de Pat : P22, P15</t>
        </r>
      </text>
    </comment>
    <comment ref="AG45" authorId="0">
      <text>
        <r>
          <rPr>
            <sz val="10"/>
            <rFont val="Arial"/>
            <family val="2"/>
          </rPr>
          <t xml:space="preserve">1/5 — pas bon du tout
Vin sec face au sucre du dessert : il paraît amer et maigre (P22, P15).
Principes de Pat : P22, P15</t>
        </r>
      </text>
    </comment>
    <comment ref="AG46" authorId="0">
      <text>
        <r>
          <rPr>
            <sz val="10"/>
            <rFont val="Arial"/>
            <family val="2"/>
          </rPr>
          <t xml:space="preserve">1/5 — pas bon du tout
Vin sec face au sucre du dessert : il paraît amer et maigre (P22, P15).
Principes de Pat : P22, P15</t>
        </r>
      </text>
    </comment>
    <comment ref="AG47" authorId="0">
      <text>
        <r>
          <rPr>
            <sz val="10"/>
            <rFont val="Arial"/>
            <family val="2"/>
          </rPr>
          <t xml:space="preserve">1/5 — pas bon du tout
Vin sec face au sucre du dessert : il paraît amer et maigre (P22, P15).
Principes de Pat : P22, P15</t>
        </r>
      </text>
    </comment>
    <comment ref="AG48" authorId="0">
      <text>
        <r>
          <rPr>
            <sz val="10"/>
            <rFont val="Arial"/>
            <family val="2"/>
          </rPr>
          <t xml:space="preserve">1/5 — pas bon du tout
Vin sec face au sucre du dessert : il paraît amer et maigre (P22, P15).
Principes de Pat : P22, P15</t>
        </r>
      </text>
    </comment>
    <comment ref="AG49" authorId="0">
      <text>
        <r>
          <rPr>
            <sz val="10"/>
            <rFont val="Arial"/>
            <family val="2"/>
          </rPr>
          <t xml:space="preserve">1/5 — pas bon du tout
Vin sec face au sucre du dessert : il paraît amer et maigre (P22, P15).
Principes de Pat : P22, P15</t>
        </r>
      </text>
    </comment>
    <comment ref="AG50" authorId="0">
      <text>
        <r>
          <rPr>
            <sz val="10"/>
            <rFont val="Arial"/>
            <family val="2"/>
          </rPr>
          <t xml:space="preserve">1/5 — pas bon du tout
Vin sec face au sucre du dessert : il paraît amer et maigre (P22, P15).
Principes de Pat : P22, P15</t>
        </r>
      </text>
    </comment>
    <comment ref="AG51" authorId="0">
      <text>
        <r>
          <rPr>
            <sz val="10"/>
            <rFont val="Arial"/>
            <family val="2"/>
          </rPr>
          <t xml:space="preserve">1/5 — pas bon du tout
Vin sec face au sucre du dessert : il paraît amer et maigre (P22, P15).
Principes de Pat : P22, P15</t>
        </r>
      </text>
    </comment>
    <comment ref="AG52" authorId="0">
      <text>
        <r>
          <rPr>
            <sz val="10"/>
            <rFont val="Arial"/>
            <family val="2"/>
          </rPr>
          <t xml:space="preserve">1/5 — pas bon du tout
Vin sec face au sucre du dessert : il paraît amer et maigre (P22, P15).
Principes de Pat : P22, P15</t>
        </r>
      </text>
    </comment>
    <comment ref="AG53" authorId="0">
      <text>
        <r>
          <rPr>
            <sz val="10"/>
            <rFont val="Arial"/>
            <family val="2"/>
          </rPr>
          <t xml:space="preserve">1/5 — pas bon du tout
Vin sec face au sucre du dessert : il paraît amer et maigre (P22, P15).
Principes de Pat : P22, P15</t>
        </r>
      </text>
    </comment>
    <comment ref="AG54" authorId="0">
      <text>
        <r>
          <rPr>
            <sz val="10"/>
            <rFont val="Arial"/>
            <family val="2"/>
          </rPr>
          <t xml:space="preserve">1/5 — pas bon du tout
Vin sec face au sucre du dessert : il paraît amer et maigre (P22, P15).
Principes de Pat : P22, P15</t>
        </r>
      </text>
    </comment>
    <comment ref="AG55" authorId="0">
      <text>
        <r>
          <rPr>
            <sz val="10"/>
            <rFont val="Arial"/>
            <family val="2"/>
          </rPr>
          <t xml:space="preserve">1/5 — pas bon du tout
Vin sec face au sucre du dessert : il paraît amer et maigre (P22, P15).
Principes de Pat : P22, P15</t>
        </r>
      </text>
    </comment>
    <comment ref="AG56" authorId="0">
      <text>
        <r>
          <rPr>
            <sz val="10"/>
            <rFont val="Arial"/>
            <family val="2"/>
          </rPr>
          <t xml:space="preserve">1/5 — pas bon du tout
Vin sec face au sucre du dessert : il paraît amer et maigre (P22, P15).
Principes de Pat : P22, P15</t>
        </r>
      </text>
    </comment>
    <comment ref="AG57" authorId="0">
      <text>
        <r>
          <rPr>
            <sz val="10"/>
            <rFont val="Arial"/>
            <family val="2"/>
          </rPr>
          <t xml:space="preserve">1/5 — pas bon du tout
Vin sec face au sucre du dessert : il paraît amer et maigre (P22, P15).
Principes de Pat : P22, P15</t>
        </r>
      </text>
    </comment>
    <comment ref="AG58" authorId="0">
      <text>
        <r>
          <rPr>
            <sz val="10"/>
            <rFont val="Arial"/>
            <family val="2"/>
          </rPr>
          <t xml:space="preserve">1/5 — pas bon du tout
Vin sec face au sucre du dessert : il paraît amer et maigre (P22, P15).
Principes de Pat : P22, P15</t>
        </r>
      </text>
    </comment>
    <comment ref="AG59" authorId="0">
      <text>
        <r>
          <rPr>
            <sz val="10"/>
            <rFont val="Arial"/>
            <family val="2"/>
          </rPr>
          <t xml:space="preserve">1/5 — pas bon du tout
Vin sec face au sucre du dessert : il paraît amer et maigre (P22, P15).
Principes de Pat : P22, P15</t>
        </r>
      </text>
    </comment>
    <comment ref="AG60" authorId="0">
      <text>
        <r>
          <rPr>
            <sz val="10"/>
            <rFont val="Arial"/>
            <family val="2"/>
          </rPr>
          <t xml:space="preserve">1/5 — pas bon du tout
Vin sec face au sucre du dessert : il paraît amer et maigre (P22, P15).
Principes de Pat : P22, P15</t>
        </r>
      </text>
    </comment>
    <comment ref="AG61" authorId="0">
      <text>
        <r>
          <rPr>
            <sz val="10"/>
            <rFont val="Arial"/>
            <family val="2"/>
          </rPr>
          <t xml:space="preserve">1/5 — pas bon du tout
Vin sec face au sucre du dessert : il paraît amer et maigre (P22, P15).
Principes de Pat : P22, P15</t>
        </r>
      </text>
    </comment>
    <comment ref="AG62" authorId="0">
      <text>
        <r>
          <rPr>
            <sz val="10"/>
            <rFont val="Arial"/>
            <family val="2"/>
          </rPr>
          <t xml:space="preserve">1/5 — pas bon du tout
Vin sec face au sucre du dessert : il paraît amer et maigre (P22, P15).
Principes de Pat : P22, P15</t>
        </r>
      </text>
    </comment>
    <comment ref="AG63" authorId="0">
      <text>
        <r>
          <rPr>
            <sz val="10"/>
            <rFont val="Arial"/>
            <family val="2"/>
          </rPr>
          <t xml:space="preserve">1/5 — pas bon du tout
Vin sec face au sucre du dessert : il paraît amer et maigre (P22, P15).
Principes de Pat : P22, P15</t>
        </r>
      </text>
    </comment>
    <comment ref="AG64" authorId="0">
      <text>
        <r>
          <rPr>
            <sz val="10"/>
            <rFont val="Arial"/>
            <family val="2"/>
          </rPr>
          <t xml:space="preserve">1/5 — pas bon du tout
Vin sec face au sucre du dessert : il paraît amer et maigre (P22, P15).
Principes de Pat : P22, P15</t>
        </r>
      </text>
    </comment>
    <comment ref="AG65" authorId="0">
      <text>
        <r>
          <rPr>
            <sz val="10"/>
            <rFont val="Arial"/>
            <family val="2"/>
          </rPr>
          <t xml:space="preserve">1/5 — pas bon du tout
Vin sec face au sucre du dessert : il paraît amer et maigre (P22, P15).
Principes de Pat : P22, P15</t>
        </r>
      </text>
    </comment>
    <comment ref="AG66" authorId="0">
      <text>
        <r>
          <rPr>
            <sz val="10"/>
            <rFont val="Arial"/>
            <family val="2"/>
          </rPr>
          <t xml:space="preserve">1/5 — pas bon du tout
Vin sec face au sucre du dessert : il paraît amer et maigre (P22, P15).
Principes de Pat : P22, P15</t>
        </r>
      </text>
    </comment>
    <comment ref="AG67" authorId="0">
      <text>
        <r>
          <rPr>
            <sz val="10"/>
            <rFont val="Arial"/>
            <family val="2"/>
          </rPr>
          <t xml:space="preserve">1/5 — pas bon du tout
Vin sec face au sucre du dessert : il paraît amer et maigre (P22, P15).
Principes de Pat : P22, P15</t>
        </r>
      </text>
    </comment>
    <comment ref="AG68" authorId="0">
      <text>
        <r>
          <rPr>
            <sz val="10"/>
            <rFont val="Arial"/>
            <family val="2"/>
          </rPr>
          <t xml:space="preserve">1/5 — pas bon du tout
Vin sec face au sucre du dessert : il paraît amer et maigre (P22, P15).
Principes de Pat : P22, P15</t>
        </r>
      </text>
    </comment>
    <comment ref="AG70" authorId="0">
      <text>
        <r>
          <rPr>
            <sz val="10"/>
            <rFont val="Arial"/>
            <family val="2"/>
          </rPr>
          <t xml:space="preserve">1/5 — pas bon du tout
Vin sec face au sucre du dessert : il paraît amer et maigre (P22, P15).
Principes de Pat : P22, P15</t>
        </r>
      </text>
    </comment>
    <comment ref="AG71" authorId="0">
      <text>
        <r>
          <rPr>
            <sz val="10"/>
            <rFont val="Arial"/>
            <family val="2"/>
          </rPr>
          <t xml:space="preserve">1/5 — pas bon du tout
Vin sec face au sucre du dessert : il paraît amer et maigre (P22, P15).
Principes de Pat : P22, P15</t>
        </r>
      </text>
    </comment>
    <comment ref="AG73" authorId="0">
      <text>
        <r>
          <rPr>
            <sz val="10"/>
            <rFont val="Arial"/>
            <family val="2"/>
          </rPr>
          <t xml:space="preserve">1/5 — pas bon du tout
Vin sec face au sucre du dessert : il paraît amer et maigre (P22, P15).
Principes de Pat : P22, P15</t>
        </r>
      </text>
    </comment>
    <comment ref="AG74" authorId="0">
      <text>
        <r>
          <rPr>
            <sz val="10"/>
            <rFont val="Arial"/>
            <family val="2"/>
          </rPr>
          <t xml:space="preserve">1/5 — pas bon du tout
Vin sec face au sucre du dessert : il paraît amer et maigre (P22, P15).
Principes de Pat : P22, P15</t>
        </r>
      </text>
    </comment>
    <comment ref="AG75" authorId="0">
      <text>
        <r>
          <rPr>
            <sz val="10"/>
            <rFont val="Arial"/>
            <family val="2"/>
          </rPr>
          <t xml:space="preserve">1/5 — pas bon du tout
Vin sec face au sucre du dessert : il paraît amer et maigre (P22, P15).
Principes de Pat : P22, P15</t>
        </r>
      </text>
    </comment>
    <comment ref="AG76" authorId="0">
      <text>
        <r>
          <rPr>
            <sz val="10"/>
            <rFont val="Arial"/>
            <family val="2"/>
          </rPr>
          <t xml:space="preserve">1/5 — pas bon du tout
Vin sec face au sucre du dessert : il paraît amer et maigre (P22, P15).
Principes de Pat : P22, P15</t>
        </r>
      </text>
    </comment>
    <comment ref="AG77" authorId="0">
      <text>
        <r>
          <rPr>
            <sz val="10"/>
            <rFont val="Arial"/>
            <family val="2"/>
          </rPr>
          <t xml:space="preserve">1/5 — pas bon du tout
Vin sec face au sucre du dessert : il paraît amer et maigre (P22, P15).
Principes de Pat : P22, P15</t>
        </r>
      </text>
    </comment>
    <comment ref="AG78" authorId="0">
      <text>
        <r>
          <rPr>
            <sz val="10"/>
            <rFont val="Arial"/>
            <family val="2"/>
          </rPr>
          <t xml:space="preserve">1/5 — pas bon du tout
Vin sec face au sucre du dessert : il paraît amer et maigre (P22, P15).
Principes de Pat : P22, P15</t>
        </r>
      </text>
    </comment>
    <comment ref="AG79" authorId="0">
      <text>
        <r>
          <rPr>
            <sz val="10"/>
            <rFont val="Arial"/>
            <family val="2"/>
          </rPr>
          <t xml:space="preserve">1/5 — pas bon du tout
Vin sec face au sucre du dessert : il paraît amer et maigre (P22, P15).
Principes de Pat : P22, P15</t>
        </r>
      </text>
    </comment>
    <comment ref="AG81" authorId="0">
      <text>
        <r>
          <rPr>
            <sz val="10"/>
            <rFont val="Arial"/>
            <family val="2"/>
          </rPr>
          <t xml:space="preserve">2/5 — médiocre
Sucre suffisant, mais le chocolat chaud appelle un muté ; aucun sur la carte (P15, P22).
Principes de Pat : P15, P22</t>
        </r>
      </text>
    </comment>
    <comment ref="AH7" authorId="0">
      <text>
        <r>
          <rPr>
            <sz val="10"/>
            <rFont val="Arial"/>
            <family val="2"/>
          </rPr>
          <t xml:space="preserve">1/5 — pas bon du tout
Vin sec face au sucre du dessert : il paraît amer et maigre (P22, P15).
Principes de Pat : P22, P15</t>
        </r>
      </text>
    </comment>
    <comment ref="AH8" authorId="0">
      <text>
        <r>
          <rPr>
            <sz val="10"/>
            <rFont val="Arial"/>
            <family val="2"/>
          </rPr>
          <t xml:space="preserve">1/5 — pas bon du tout
Vin sec face au sucre du dessert : il paraît amer et maigre (P22, P15).
Principes de Pat : P22, P15</t>
        </r>
      </text>
    </comment>
    <comment ref="AH9" authorId="0">
      <text>
        <r>
          <rPr>
            <sz val="10"/>
            <rFont val="Arial"/>
            <family val="2"/>
          </rPr>
          <t xml:space="preserve">1/5 — pas bon du tout
Vin sec face au sucre du dessert : il paraît amer et maigre (P22, P15).
Principes de Pat : P22, P15</t>
        </r>
      </text>
    </comment>
    <comment ref="AH10" authorId="0">
      <text>
        <r>
          <rPr>
            <sz val="10"/>
            <rFont val="Arial"/>
            <family val="2"/>
          </rPr>
          <t xml:space="preserve">1/5 — pas bon du tout
Vin sec face au sucre du dessert : il paraît amer et maigre (P22, P15).
Principes de Pat : P22, P15</t>
        </r>
      </text>
    </comment>
    <comment ref="AH11" authorId="0">
      <text>
        <r>
          <rPr>
            <sz val="10"/>
            <rFont val="Arial"/>
            <family val="2"/>
          </rPr>
          <t xml:space="preserve">1/5 — pas bon du tout
Vin sec face au sucre du dessert : il paraît amer et maigre (P22, P15).
Principes de Pat : P22, P15</t>
        </r>
      </text>
    </comment>
    <comment ref="AH12" authorId="0">
      <text>
        <r>
          <rPr>
            <sz val="10"/>
            <rFont val="Arial"/>
            <family val="2"/>
          </rPr>
          <t xml:space="preserve">1/5 — pas bon du tout
Vin sec face au sucre du dessert : il paraît amer et maigre (P22, P15).
Principes de Pat : P22, P15</t>
        </r>
      </text>
    </comment>
    <comment ref="AH13" authorId="0">
      <text>
        <r>
          <rPr>
            <sz val="10"/>
            <rFont val="Arial"/>
            <family val="2"/>
          </rPr>
          <t xml:space="preserve">1/5 — pas bon du tout
Vin sec face au sucre du dessert : il paraît amer et maigre (P22, P15).
Principes de Pat : P22, P15</t>
        </r>
      </text>
    </comment>
    <comment ref="AH14" authorId="0">
      <text>
        <r>
          <rPr>
            <sz val="10"/>
            <rFont val="Arial"/>
            <family val="2"/>
          </rPr>
          <t xml:space="preserve">1/5 — pas bon du tout
Vin sec face au sucre du dessert : il paraît amer et maigre (P22, P15).
Principes de Pat : P22, P15</t>
        </r>
      </text>
    </comment>
    <comment ref="AH15" authorId="0">
      <text>
        <r>
          <rPr>
            <sz val="10"/>
            <rFont val="Arial"/>
            <family val="2"/>
          </rPr>
          <t xml:space="preserve">1/5 — pas bon du tout
Vin sec face au sucre du dessert : il paraît amer et maigre (P22, P15).
Principes de Pat : P22, P15</t>
        </r>
      </text>
    </comment>
    <comment ref="AH16" authorId="0">
      <text>
        <r>
          <rPr>
            <sz val="10"/>
            <rFont val="Arial"/>
            <family val="2"/>
          </rPr>
          <t xml:space="preserve">1/5 — pas bon du tout
Vin sec face au sucre du dessert : il paraît amer et maigre (P22, P15).
Principes de Pat : P22, P15</t>
        </r>
      </text>
    </comment>
    <comment ref="AH17" authorId="0">
      <text>
        <r>
          <rPr>
            <sz val="10"/>
            <rFont val="Arial"/>
            <family val="2"/>
          </rPr>
          <t xml:space="preserve">1/5 — pas bon du tout
Vin sec face au sucre du dessert : il paraît amer et maigre (P22, P15).
Principes de Pat : P22, P15</t>
        </r>
      </text>
    </comment>
    <comment ref="AH18" authorId="0">
      <text>
        <r>
          <rPr>
            <sz val="10"/>
            <rFont val="Arial"/>
            <family val="2"/>
          </rPr>
          <t xml:space="preserve">1/5 — pas bon du tout
Vin sec face au sucre du dessert : il paraît amer et maigre (P22, P15).
Principes de Pat : P22, P15</t>
        </r>
      </text>
    </comment>
    <comment ref="AH19" authorId="0">
      <text>
        <r>
          <rPr>
            <sz val="10"/>
            <rFont val="Arial"/>
            <family val="2"/>
          </rPr>
          <t xml:space="preserve">1/5 — pas bon du tout
Vin sec face au sucre du dessert : il paraît amer et maigre (P22, P15).
Principes de Pat : P22, P15</t>
        </r>
      </text>
    </comment>
    <comment ref="AH20" authorId="0">
      <text>
        <r>
          <rPr>
            <sz val="10"/>
            <rFont val="Arial"/>
            <family val="2"/>
          </rPr>
          <t xml:space="preserve">1/5 — pas bon du tout
Vin sec face au sucre du dessert : il paraît amer et maigre (P22, P15).
Principes de Pat : P22, P15</t>
        </r>
      </text>
    </comment>
    <comment ref="AH21" authorId="0">
      <text>
        <r>
          <rPr>
            <sz val="10"/>
            <rFont val="Arial"/>
            <family val="2"/>
          </rPr>
          <t xml:space="preserve">1/5 — pas bon du tout
Vin sec face au sucre du dessert : il paraît amer et maigre (P22, P15).
Principes de Pat : P22, P15</t>
        </r>
      </text>
    </comment>
    <comment ref="AH22" authorId="0">
      <text>
        <r>
          <rPr>
            <sz val="10"/>
            <rFont val="Arial"/>
            <family val="2"/>
          </rPr>
          <t xml:space="preserve">1/5 — pas bon du tout
Vin sec face au sucre du dessert : il paraît amer et maigre (P22, P15).
Principes de Pat : P22, P15</t>
        </r>
      </text>
    </comment>
    <comment ref="AH23" authorId="0">
      <text>
        <r>
          <rPr>
            <sz val="10"/>
            <rFont val="Arial"/>
            <family val="2"/>
          </rPr>
          <t xml:space="preserve">1/5 — pas bon du tout
Vin sec face au sucre du dessert : il paraît amer et maigre (P22, P15).
Principes de Pat : P22, P15</t>
        </r>
      </text>
    </comment>
    <comment ref="AH24" authorId="0">
      <text>
        <r>
          <rPr>
            <sz val="10"/>
            <rFont val="Arial"/>
            <family val="2"/>
          </rPr>
          <t xml:space="preserve">1/5 — pas bon du tout
Vin sec face au sucre du dessert : il paraît amer et maigre (P22, P15).
Principes de Pat : P22, P15</t>
        </r>
      </text>
    </comment>
    <comment ref="AH25" authorId="0">
      <text>
        <r>
          <rPr>
            <sz val="10"/>
            <rFont val="Arial"/>
            <family val="2"/>
          </rPr>
          <t xml:space="preserve">1/5 — pas bon du tout
Vin sec face au sucre du dessert : il paraît amer et maigre (P22, P15).
Principes de Pat : P22, P15</t>
        </r>
      </text>
    </comment>
    <comment ref="AH26" authorId="0">
      <text>
        <r>
          <rPr>
            <sz val="10"/>
            <rFont val="Arial"/>
            <family val="2"/>
          </rPr>
          <t xml:space="preserve">1/5 — pas bon du tout
Vin sec face au sucre du dessert : il paraît amer et maigre (P22, P15).
Principes de Pat : P22, P15</t>
        </r>
      </text>
    </comment>
    <comment ref="AH27" authorId="0">
      <text>
        <r>
          <rPr>
            <sz val="10"/>
            <rFont val="Arial"/>
            <family val="2"/>
          </rPr>
          <t xml:space="preserve">1/5 — pas bon du tout
Vin sec face au sucre du dessert : il paraît amer et maigre (P22, P15).
Principes de Pat : P22, P15</t>
        </r>
      </text>
    </comment>
    <comment ref="AH29" authorId="0">
      <text>
        <r>
          <rPr>
            <sz val="10"/>
            <rFont val="Arial"/>
            <family val="2"/>
          </rPr>
          <t xml:space="preserve">1/5 — pas bon du tout
Vin sec face au sucre du dessert : il paraît amer et maigre (P22, P15).
Principes de Pat : P22, P15</t>
        </r>
      </text>
    </comment>
    <comment ref="AH30" authorId="0">
      <text>
        <r>
          <rPr>
            <sz val="10"/>
            <rFont val="Arial"/>
            <family val="2"/>
          </rPr>
          <t xml:space="preserve">1/5 — pas bon du tout
Vin sec face au sucre du dessert : il paraît amer et maigre (P22, P15).
Principes de Pat : P22, P15</t>
        </r>
      </text>
    </comment>
    <comment ref="AH31" authorId="0">
      <text>
        <r>
          <rPr>
            <sz val="10"/>
            <rFont val="Arial"/>
            <family val="2"/>
          </rPr>
          <t xml:space="preserve">1/5 — pas bon du tout
Vin sec face au sucre du dessert : il paraît amer et maigre (P22, P15).
Principes de Pat : P22, P15</t>
        </r>
      </text>
    </comment>
    <comment ref="AH32" authorId="0">
      <text>
        <r>
          <rPr>
            <sz val="10"/>
            <rFont val="Arial"/>
            <family val="2"/>
          </rPr>
          <t xml:space="preserve">1/5 — pas bon du tout
Vin sec face au sucre du dessert : il paraît amer et maigre (P22, P15).
Principes de Pat : P22, P15</t>
        </r>
      </text>
    </comment>
    <comment ref="AH33" authorId="0">
      <text>
        <r>
          <rPr>
            <sz val="10"/>
            <rFont val="Arial"/>
            <family val="2"/>
          </rPr>
          <t xml:space="preserve">1/5 — pas bon du tout
Vin sec face au sucre du dessert : il paraît amer et maigre (P22, P15).
Principes de Pat : P22, P15</t>
        </r>
      </text>
    </comment>
    <comment ref="AH34" authorId="0">
      <text>
        <r>
          <rPr>
            <sz val="10"/>
            <rFont val="Arial"/>
            <family val="2"/>
          </rPr>
          <t xml:space="preserve">1/5 — pas bon du tout
Vin sec face au sucre du dessert : il paraît amer et maigre (P22, P15).
Principes de Pat : P22, P15</t>
        </r>
      </text>
    </comment>
    <comment ref="AH35" authorId="0">
      <text>
        <r>
          <rPr>
            <sz val="10"/>
            <rFont val="Arial"/>
            <family val="2"/>
          </rPr>
          <t xml:space="preserve">1/5 — pas bon du tout
Vin sec face au sucre du dessert : il paraît amer et maigre (P22, P15).
Principes de Pat : P22, P15</t>
        </r>
      </text>
    </comment>
    <comment ref="AH36" authorId="0">
      <text>
        <r>
          <rPr>
            <sz val="10"/>
            <rFont val="Arial"/>
            <family val="2"/>
          </rPr>
          <t xml:space="preserve">1/5 — pas bon du tout
Vin sec face au sucre du dessert : il paraît amer et maigre (P22, P15).
Principes de Pat : P22, P15</t>
        </r>
      </text>
    </comment>
    <comment ref="AH37" authorId="0">
      <text>
        <r>
          <rPr>
            <sz val="10"/>
            <rFont val="Arial"/>
            <family val="2"/>
          </rPr>
          <t xml:space="preserve">1/5 — pas bon du tout
Vin sec face au sucre du dessert : il paraît amer et maigre (P22, P15).
Principes de Pat : P22, P15</t>
        </r>
      </text>
    </comment>
    <comment ref="AH38" authorId="0">
      <text>
        <r>
          <rPr>
            <sz val="10"/>
            <rFont val="Arial"/>
            <family val="2"/>
          </rPr>
          <t xml:space="preserve">1/5 — pas bon du tout
Vin sec face au sucre du dessert : il paraît amer et maigre (P22, P15).
Principes de Pat : P22, P15</t>
        </r>
      </text>
    </comment>
    <comment ref="AH39" authorId="0">
      <text>
        <r>
          <rPr>
            <sz val="10"/>
            <rFont val="Arial"/>
            <family val="2"/>
          </rPr>
          <t xml:space="preserve">1/5 — pas bon du tout
Vin sec face au sucre du dessert : il paraît amer et maigre (P22, P15).
Principes de Pat : P22, P15</t>
        </r>
      </text>
    </comment>
    <comment ref="AH40" authorId="0">
      <text>
        <r>
          <rPr>
            <sz val="10"/>
            <rFont val="Arial"/>
            <family val="2"/>
          </rPr>
          <t xml:space="preserve">1/5 — pas bon du tout
Vin sec face au sucre du dessert : il paraît amer et maigre (P22, P15).
Principes de Pat : P22, P15</t>
        </r>
      </text>
    </comment>
    <comment ref="AH41" authorId="0">
      <text>
        <r>
          <rPr>
            <sz val="10"/>
            <rFont val="Arial"/>
            <family val="2"/>
          </rPr>
          <t xml:space="preserve">1/5 — pas bon du tout
Vin sec face au sucre du dessert : il paraît amer et maigre (P22, P15).
Principes de Pat : P22, P15</t>
        </r>
      </text>
    </comment>
    <comment ref="AH42" authorId="0">
      <text>
        <r>
          <rPr>
            <sz val="10"/>
            <rFont val="Arial"/>
            <family val="2"/>
          </rPr>
          <t xml:space="preserve">1/5 — pas bon du tout
Vin sec face au sucre du dessert : il paraît amer et maigre (P22, P15).
Principes de Pat : P22, P15</t>
        </r>
      </text>
    </comment>
    <comment ref="AH43" authorId="0">
      <text>
        <r>
          <rPr>
            <sz val="10"/>
            <rFont val="Arial"/>
            <family val="2"/>
          </rPr>
          <t xml:space="preserve">1/5 — pas bon du tout
Vin sec face au sucre du dessert : il paraît amer et maigre (P22, P15).
Principes de Pat : P22, P15</t>
        </r>
      </text>
    </comment>
    <comment ref="AH44" authorId="0">
      <text>
        <r>
          <rPr>
            <sz val="10"/>
            <rFont val="Arial"/>
            <family val="2"/>
          </rPr>
          <t xml:space="preserve">1/5 — pas bon du tout
Vin sec face au sucre du dessert : il paraît amer et maigre (P22, P15).
Principes de Pat : P22, P15</t>
        </r>
      </text>
    </comment>
    <comment ref="AH45" authorId="0">
      <text>
        <r>
          <rPr>
            <sz val="10"/>
            <rFont val="Arial"/>
            <family val="2"/>
          </rPr>
          <t xml:space="preserve">1/5 — pas bon du tout
Vin sec face au sucre du dessert : il paraît amer et maigre (P22, P15).
Principes de Pat : P22, P15</t>
        </r>
      </text>
    </comment>
    <comment ref="AH46" authorId="0">
      <text>
        <r>
          <rPr>
            <sz val="10"/>
            <rFont val="Arial"/>
            <family val="2"/>
          </rPr>
          <t xml:space="preserve">1/5 — pas bon du tout
Vin sec face au sucre du dessert : il paraît amer et maigre (P22, P15).
Principes de Pat : P22, P15</t>
        </r>
      </text>
    </comment>
    <comment ref="AH47" authorId="0">
      <text>
        <r>
          <rPr>
            <sz val="10"/>
            <rFont val="Arial"/>
            <family val="2"/>
          </rPr>
          <t xml:space="preserve">1/5 — pas bon du tout
Vin sec face au sucre du dessert : il paraît amer et maigre (P22, P15).
Principes de Pat : P22, P15</t>
        </r>
      </text>
    </comment>
    <comment ref="AH48" authorId="0">
      <text>
        <r>
          <rPr>
            <sz val="10"/>
            <rFont val="Arial"/>
            <family val="2"/>
          </rPr>
          <t xml:space="preserve">1/5 — pas bon du tout
Vin sec face au sucre du dessert : il paraît amer et maigre (P22, P15).
Principes de Pat : P22, P15</t>
        </r>
      </text>
    </comment>
    <comment ref="AH49" authorId="0">
      <text>
        <r>
          <rPr>
            <sz val="10"/>
            <rFont val="Arial"/>
            <family val="2"/>
          </rPr>
          <t xml:space="preserve">1/5 — pas bon du tout
Vin sec face au sucre du dessert : il paraît amer et maigre (P22, P15).
Principes de Pat : P22, P15</t>
        </r>
      </text>
    </comment>
    <comment ref="AH50" authorId="0">
      <text>
        <r>
          <rPr>
            <sz val="10"/>
            <rFont val="Arial"/>
            <family val="2"/>
          </rPr>
          <t xml:space="preserve">1/5 — pas bon du tout
Vin sec face au sucre du dessert : il paraît amer et maigre (P22, P15).
Principes de Pat : P22, P15</t>
        </r>
      </text>
    </comment>
    <comment ref="AH51" authorId="0">
      <text>
        <r>
          <rPr>
            <sz val="10"/>
            <rFont val="Arial"/>
            <family val="2"/>
          </rPr>
          <t xml:space="preserve">1/5 — pas bon du tout
Vin sec face au sucre du dessert : il paraît amer et maigre (P22, P15).
Principes de Pat : P22, P15</t>
        </r>
      </text>
    </comment>
    <comment ref="AH52" authorId="0">
      <text>
        <r>
          <rPr>
            <sz val="10"/>
            <rFont val="Arial"/>
            <family val="2"/>
          </rPr>
          <t xml:space="preserve">1/5 — pas bon du tout
Vin sec face au sucre du dessert : il paraît amer et maigre (P22, P15).
Principes de Pat : P22, P15</t>
        </r>
      </text>
    </comment>
    <comment ref="AH53" authorId="0">
      <text>
        <r>
          <rPr>
            <sz val="10"/>
            <rFont val="Arial"/>
            <family val="2"/>
          </rPr>
          <t xml:space="preserve">1/5 — pas bon du tout
Vin sec face au sucre du dessert : il paraît amer et maigre (P22, P15).
Principes de Pat : P22, P15</t>
        </r>
      </text>
    </comment>
    <comment ref="AH54" authorId="0">
      <text>
        <r>
          <rPr>
            <sz val="10"/>
            <rFont val="Arial"/>
            <family val="2"/>
          </rPr>
          <t xml:space="preserve">1/5 — pas bon du tout
Vin sec face au sucre du dessert : il paraît amer et maigre (P22, P15).
Principes de Pat : P22, P15</t>
        </r>
      </text>
    </comment>
    <comment ref="AH55" authorId="0">
      <text>
        <r>
          <rPr>
            <sz val="10"/>
            <rFont val="Arial"/>
            <family val="2"/>
          </rPr>
          <t xml:space="preserve">1/5 — pas bon du tout
Vin sec face au sucre du dessert : il paraît amer et maigre (P22, P15).
Principes de Pat : P22, P15</t>
        </r>
      </text>
    </comment>
    <comment ref="AH56" authorId="0">
      <text>
        <r>
          <rPr>
            <sz val="10"/>
            <rFont val="Arial"/>
            <family val="2"/>
          </rPr>
          <t xml:space="preserve">1/5 — pas bon du tout
Vin sec face au sucre du dessert : il paraît amer et maigre (P22, P15).
Principes de Pat : P22, P15</t>
        </r>
      </text>
    </comment>
    <comment ref="AH57" authorId="0">
      <text>
        <r>
          <rPr>
            <sz val="10"/>
            <rFont val="Arial"/>
            <family val="2"/>
          </rPr>
          <t xml:space="preserve">1/5 — pas bon du tout
Vin sec face au sucre du dessert : il paraît amer et maigre (P22, P15).
Principes de Pat : P22, P15</t>
        </r>
      </text>
    </comment>
    <comment ref="AH58" authorId="0">
      <text>
        <r>
          <rPr>
            <sz val="10"/>
            <rFont val="Arial"/>
            <family val="2"/>
          </rPr>
          <t xml:space="preserve">1/5 — pas bon du tout
Vin sec face au sucre du dessert : il paraît amer et maigre (P22, P15).
Principes de Pat : P22, P15</t>
        </r>
      </text>
    </comment>
    <comment ref="AH59" authorId="0">
      <text>
        <r>
          <rPr>
            <sz val="10"/>
            <rFont val="Arial"/>
            <family val="2"/>
          </rPr>
          <t xml:space="preserve">1/5 — pas bon du tout
Vin sec face au sucre du dessert : il paraît amer et maigre (P22, P15).
Principes de Pat : P22, P15</t>
        </r>
      </text>
    </comment>
    <comment ref="AH60" authorId="0">
      <text>
        <r>
          <rPr>
            <sz val="10"/>
            <rFont val="Arial"/>
            <family val="2"/>
          </rPr>
          <t xml:space="preserve">1/5 — pas bon du tout
Vin sec face au sucre du dessert : il paraît amer et maigre (P22, P15).
Principes de Pat : P22, P15</t>
        </r>
      </text>
    </comment>
    <comment ref="AH61" authorId="0">
      <text>
        <r>
          <rPr>
            <sz val="10"/>
            <rFont val="Arial"/>
            <family val="2"/>
          </rPr>
          <t xml:space="preserve">1/5 — pas bon du tout
Vin sec face au sucre du dessert : il paraît amer et maigre (P22, P15).
Principes de Pat : P22, P15</t>
        </r>
      </text>
    </comment>
    <comment ref="AH62" authorId="0">
      <text>
        <r>
          <rPr>
            <sz val="10"/>
            <rFont val="Arial"/>
            <family val="2"/>
          </rPr>
          <t xml:space="preserve">1/5 — pas bon du tout
Vin sec face au sucre du dessert : il paraît amer et maigre (P22, P15).
Principes de Pat : P22, P15</t>
        </r>
      </text>
    </comment>
    <comment ref="AH63" authorId="0">
      <text>
        <r>
          <rPr>
            <sz val="10"/>
            <rFont val="Arial"/>
            <family val="2"/>
          </rPr>
          <t xml:space="preserve">1/5 — pas bon du tout
Vin sec face au sucre du dessert : il paraît amer et maigre (P22, P15).
Principes de Pat : P22, P15</t>
        </r>
      </text>
    </comment>
    <comment ref="AH64" authorId="0">
      <text>
        <r>
          <rPr>
            <sz val="10"/>
            <rFont val="Arial"/>
            <family val="2"/>
          </rPr>
          <t xml:space="preserve">1/5 — pas bon du tout
Vin sec face au sucre du dessert : il paraît amer et maigre (P22, P15).
Principes de Pat : P22, P15</t>
        </r>
      </text>
    </comment>
    <comment ref="AH65" authorId="0">
      <text>
        <r>
          <rPr>
            <sz val="10"/>
            <rFont val="Arial"/>
            <family val="2"/>
          </rPr>
          <t xml:space="preserve">1/5 — pas bon du tout
Vin sec face au sucre du dessert : il paraît amer et maigre (P22, P15).
Principes de Pat : P22, P15</t>
        </r>
      </text>
    </comment>
    <comment ref="AH66" authorId="0">
      <text>
        <r>
          <rPr>
            <sz val="10"/>
            <rFont val="Arial"/>
            <family val="2"/>
          </rPr>
          <t xml:space="preserve">1/5 — pas bon du tout
Vin sec face au sucre du dessert : il paraît amer et maigre (P22, P15).
Principes de Pat : P22, P15</t>
        </r>
      </text>
    </comment>
    <comment ref="AH67" authorId="0">
      <text>
        <r>
          <rPr>
            <sz val="10"/>
            <rFont val="Arial"/>
            <family val="2"/>
          </rPr>
          <t xml:space="preserve">1/5 — pas bon du tout
Vin sec face au sucre du dessert : il paraît amer et maigre (P22, P15).
Principes de Pat : P22, P15</t>
        </r>
      </text>
    </comment>
    <comment ref="AH68" authorId="0">
      <text>
        <r>
          <rPr>
            <sz val="10"/>
            <rFont val="Arial"/>
            <family val="2"/>
          </rPr>
          <t xml:space="preserve">1/5 — pas bon du tout
Vin sec face au sucre du dessert : il paraît amer et maigre (P22, P15).
Principes de Pat : P22, P15</t>
        </r>
      </text>
    </comment>
    <comment ref="AH70" authorId="0">
      <text>
        <r>
          <rPr>
            <sz val="10"/>
            <rFont val="Arial"/>
            <family val="2"/>
          </rPr>
          <t xml:space="preserve">1/5 — pas bon du tout
Vin sec face au sucre du dessert : il paraît amer et maigre (P22, P15).
Principes de Pat : P22, P15</t>
        </r>
      </text>
    </comment>
    <comment ref="AH71" authorId="0">
      <text>
        <r>
          <rPr>
            <sz val="10"/>
            <rFont val="Arial"/>
            <family val="2"/>
          </rPr>
          <t xml:space="preserve">1/5 — pas bon du tout
Vin sec face au sucre du dessert : il paraît amer et maigre (P22, P15).
Principes de Pat : P22, P15</t>
        </r>
      </text>
    </comment>
    <comment ref="AH73" authorId="0">
      <text>
        <r>
          <rPr>
            <sz val="10"/>
            <rFont val="Arial"/>
            <family val="2"/>
          </rPr>
          <t xml:space="preserve">1/5 — pas bon du tout
Vin sec face au sucre du dessert : il paraît amer et maigre (P22, P15).
Principes de Pat : P22, P15</t>
        </r>
      </text>
    </comment>
    <comment ref="AH74" authorId="0">
      <text>
        <r>
          <rPr>
            <sz val="10"/>
            <rFont val="Arial"/>
            <family val="2"/>
          </rPr>
          <t xml:space="preserve">1/5 — pas bon du tout
Vin sec face au sucre du dessert : il paraît amer et maigre (P22, P15).
Principes de Pat : P22, P15</t>
        </r>
      </text>
    </comment>
    <comment ref="AH75" authorId="0">
      <text>
        <r>
          <rPr>
            <sz val="10"/>
            <rFont val="Arial"/>
            <family val="2"/>
          </rPr>
          <t xml:space="preserve">1/5 — pas bon du tout
Vin sec face au sucre du dessert : il paraît amer et maigre (P22, P15).
Principes de Pat : P22, P15</t>
        </r>
      </text>
    </comment>
    <comment ref="AH76" authorId="0">
      <text>
        <r>
          <rPr>
            <sz val="10"/>
            <rFont val="Arial"/>
            <family val="2"/>
          </rPr>
          <t xml:space="preserve">1/5 — pas bon du tout
Vin sec face au sucre du dessert : il paraît amer et maigre (P22, P15).
Principes de Pat : P22, P15</t>
        </r>
      </text>
    </comment>
    <comment ref="AH77" authorId="0">
      <text>
        <r>
          <rPr>
            <sz val="10"/>
            <rFont val="Arial"/>
            <family val="2"/>
          </rPr>
          <t xml:space="preserve">1/5 — pas bon du tout
Vin sec face au sucre du dessert : il paraît amer et maigre (P22, P15).
Principes de Pat : P22, P15</t>
        </r>
      </text>
    </comment>
    <comment ref="AH78" authorId="0">
      <text>
        <r>
          <rPr>
            <sz val="10"/>
            <rFont val="Arial"/>
            <family val="2"/>
          </rPr>
          <t xml:space="preserve">1/5 — pas bon du tout
Vin sec face au sucre du dessert : il paraît amer et maigre (P22, P15).
Principes de Pat : P22, P15</t>
        </r>
      </text>
    </comment>
    <comment ref="AH79" authorId="0">
      <text>
        <r>
          <rPr>
            <sz val="10"/>
            <rFont val="Arial"/>
            <family val="2"/>
          </rPr>
          <t xml:space="preserve">1/5 — pas bon du tout
Vin sec face au sucre du dessert : il paraît amer et maigre (P22, P15).
Principes de Pat : P22, P15</t>
        </r>
      </text>
    </comment>
    <comment ref="AH81" authorId="0">
      <text>
        <r>
          <rPr>
            <sz val="10"/>
            <rFont val="Arial"/>
            <family val="2"/>
          </rPr>
          <t xml:space="preserve">2/5 — médiocre
Liquoreux blanc écrasé par le chocolat 70 % ; il faudrait un muté, absent de la carte (P15, P20).
Principes de Pat : P15, P20</t>
        </r>
      </text>
    </comment>
    <comment ref="AI7" authorId="0">
      <text>
        <r>
          <rPr>
            <sz val="10"/>
            <rFont val="Arial"/>
            <family val="2"/>
          </rPr>
          <t xml:space="preserve">1/5 — pas bon du tout
Vin sec face au sucre du dessert : il paraît amer et maigre (P22).
Principes de Pat : P22</t>
        </r>
      </text>
    </comment>
    <comment ref="AI8" authorId="0">
      <text>
        <r>
          <rPr>
            <sz val="10"/>
            <rFont val="Arial"/>
            <family val="2"/>
          </rPr>
          <t xml:space="preserve">1/5 — pas bon du tout
Vin sec face au sucre du dessert : il paraît amer et maigre (P22).
Principes de Pat : P22</t>
        </r>
      </text>
    </comment>
    <comment ref="AI9" authorId="0">
      <text>
        <r>
          <rPr>
            <sz val="10"/>
            <rFont val="Arial"/>
            <family val="2"/>
          </rPr>
          <t xml:space="preserve">1/5 — pas bon du tout
Vin sec face au sucre du dessert : il paraît amer et maigre (P22).
Principes de Pat : P22</t>
        </r>
      </text>
    </comment>
    <comment ref="AI10" authorId="0">
      <text>
        <r>
          <rPr>
            <sz val="10"/>
            <rFont val="Arial"/>
            <family val="2"/>
          </rPr>
          <t xml:space="preserve">1/5 — pas bon du tout
Vin sec face au sucre du dessert : il paraît amer et maigre (P22).
Principes de Pat : P22</t>
        </r>
      </text>
    </comment>
    <comment ref="AI11" authorId="0">
      <text>
        <r>
          <rPr>
            <sz val="10"/>
            <rFont val="Arial"/>
            <family val="2"/>
          </rPr>
          <t xml:space="preserve">1/5 — pas bon du tout
Vin sec face au sucre du dessert : il paraît amer et maigre (P22).
Principes de Pat : P22</t>
        </r>
      </text>
    </comment>
    <comment ref="AI12" authorId="0">
      <text>
        <r>
          <rPr>
            <sz val="10"/>
            <rFont val="Arial"/>
            <family val="2"/>
          </rPr>
          <t xml:space="preserve">1/5 — pas bon du tout
Vin sec face au sucre du dessert : il paraît amer et maigre (P22).
Principes de Pat : P22</t>
        </r>
      </text>
    </comment>
    <comment ref="AI13" authorId="0">
      <text>
        <r>
          <rPr>
            <sz val="10"/>
            <rFont val="Arial"/>
            <family val="2"/>
          </rPr>
          <t xml:space="preserve">1/5 — pas bon du tout
Vin sec face au sucre du dessert : il paraît amer et maigre (P22).
Principes de Pat : P22</t>
        </r>
      </text>
    </comment>
    <comment ref="AI14" authorId="0">
      <text>
        <r>
          <rPr>
            <sz val="10"/>
            <rFont val="Arial"/>
            <family val="2"/>
          </rPr>
          <t xml:space="preserve">1/5 — pas bon du tout
Vin sec face au sucre du dessert : il paraît amer et maigre (P22).
Principes de Pat : P22</t>
        </r>
      </text>
    </comment>
    <comment ref="AI15" authorId="0">
      <text>
        <r>
          <rPr>
            <sz val="10"/>
            <rFont val="Arial"/>
            <family val="2"/>
          </rPr>
          <t xml:space="preserve">1/5 — pas bon du tout
Vin sec face au sucre du dessert : il paraît amer et maigre (P22).
Principes de Pat : P22</t>
        </r>
      </text>
    </comment>
    <comment ref="AI16" authorId="0">
      <text>
        <r>
          <rPr>
            <sz val="10"/>
            <rFont val="Arial"/>
            <family val="2"/>
          </rPr>
          <t xml:space="preserve">1/5 — pas bon du tout
Vin sec face au sucre du dessert : il paraît amer et maigre (P22).
Principes de Pat : P22</t>
        </r>
      </text>
    </comment>
    <comment ref="AI17" authorId="0">
      <text>
        <r>
          <rPr>
            <sz val="10"/>
            <rFont val="Arial"/>
            <family val="2"/>
          </rPr>
          <t xml:space="preserve">1/5 — pas bon du tout
Vin sec face au sucre du dessert : il paraît amer et maigre (P22).
Principes de Pat : P22</t>
        </r>
      </text>
    </comment>
    <comment ref="AI18" authorId="0">
      <text>
        <r>
          <rPr>
            <sz val="10"/>
            <rFont val="Arial"/>
            <family val="2"/>
          </rPr>
          <t xml:space="preserve">1/5 — pas bon du tout
Vin sec face au sucre du dessert : il paraît amer et maigre (P22).
Principes de Pat : P22</t>
        </r>
      </text>
    </comment>
    <comment ref="AI19" authorId="0">
      <text>
        <r>
          <rPr>
            <sz val="10"/>
            <rFont val="Arial"/>
            <family val="2"/>
          </rPr>
          <t xml:space="preserve">1/5 — pas bon du tout
Vin sec face au sucre du dessert : il paraît amer et maigre (P22).
Principes de Pat : P22</t>
        </r>
      </text>
    </comment>
    <comment ref="AI20" authorId="0">
      <text>
        <r>
          <rPr>
            <sz val="10"/>
            <rFont val="Arial"/>
            <family val="2"/>
          </rPr>
          <t xml:space="preserve">1/5 — pas bon du tout
Vin sec face au sucre du dessert : il paraît amer et maigre (P22).
Principes de Pat : P22</t>
        </r>
      </text>
    </comment>
    <comment ref="AI21" authorId="0">
      <text>
        <r>
          <rPr>
            <sz val="10"/>
            <rFont val="Arial"/>
            <family val="2"/>
          </rPr>
          <t xml:space="preserve">1/5 — pas bon du tout
Vin sec face au sucre du dessert : il paraît amer et maigre (P22).
Principes de Pat : P22</t>
        </r>
      </text>
    </comment>
    <comment ref="AI22" authorId="0">
      <text>
        <r>
          <rPr>
            <sz val="10"/>
            <rFont val="Arial"/>
            <family val="2"/>
          </rPr>
          <t xml:space="preserve">1/5 — pas bon du tout
Vin sec face au sucre du dessert : il paraît amer et maigre (P22).
Principes de Pat : P22</t>
        </r>
      </text>
    </comment>
    <comment ref="AI23" authorId="0">
      <text>
        <r>
          <rPr>
            <sz val="10"/>
            <rFont val="Arial"/>
            <family val="2"/>
          </rPr>
          <t xml:space="preserve">1/5 — pas bon du tout
Vin sec face au sucre du dessert : il paraît amer et maigre (P22).
Principes de Pat : P22</t>
        </r>
      </text>
    </comment>
    <comment ref="AI24" authorId="0">
      <text>
        <r>
          <rPr>
            <sz val="10"/>
            <rFont val="Arial"/>
            <family val="2"/>
          </rPr>
          <t xml:space="preserve">1/5 — pas bon du tout
Vin sec face au sucre du dessert : il paraît amer et maigre (P22).
Principes de Pat : P22</t>
        </r>
      </text>
    </comment>
    <comment ref="AI25" authorId="0">
      <text>
        <r>
          <rPr>
            <sz val="10"/>
            <rFont val="Arial"/>
            <family val="2"/>
          </rPr>
          <t xml:space="preserve">1/5 — pas bon du tout
Vin sec face au sucre du dessert : il paraît amer et maigre (P22).
Principes de Pat : P22</t>
        </r>
      </text>
    </comment>
    <comment ref="AI26" authorId="0">
      <text>
        <r>
          <rPr>
            <sz val="10"/>
            <rFont val="Arial"/>
            <family val="2"/>
          </rPr>
          <t xml:space="preserve">1/5 — pas bon du tout
Vin sec face au sucre du dessert : il paraît amer et maigre (P22).
Principes de Pat : P22</t>
        </r>
      </text>
    </comment>
    <comment ref="AI27" authorId="0">
      <text>
        <r>
          <rPr>
            <sz val="10"/>
            <rFont val="Arial"/>
            <family val="2"/>
          </rPr>
          <t xml:space="preserve">1/5 — pas bon du tout
Vin sec face au sucre du dessert : il paraît amer et maigre (P22).
Principes de Pat : P22</t>
        </r>
      </text>
    </comment>
    <comment ref="AI29" authorId="0">
      <text>
        <r>
          <rPr>
            <sz val="10"/>
            <rFont val="Arial"/>
            <family val="2"/>
          </rPr>
          <t xml:space="preserve">1/5 — pas bon du tout
Vin sec face au sucre du dessert : il paraît amer et maigre (P22).
Principes de Pat : P22</t>
        </r>
      </text>
    </comment>
    <comment ref="AI30" authorId="0">
      <text>
        <r>
          <rPr>
            <sz val="10"/>
            <rFont val="Arial"/>
            <family val="2"/>
          </rPr>
          <t xml:space="preserve">1/5 — pas bon du tout
Vin sec face au sucre du dessert : il paraît amer et maigre (P22).
Principes de Pat : P22</t>
        </r>
      </text>
    </comment>
    <comment ref="AI31" authorId="0">
      <text>
        <r>
          <rPr>
            <sz val="10"/>
            <rFont val="Arial"/>
            <family val="2"/>
          </rPr>
          <t xml:space="preserve">1/5 — pas bon du tout
Vin sec face au sucre du dessert : il paraît amer et maigre (P22).
Principes de Pat : P22</t>
        </r>
      </text>
    </comment>
    <comment ref="AI32" authorId="0">
      <text>
        <r>
          <rPr>
            <sz val="10"/>
            <rFont val="Arial"/>
            <family val="2"/>
          </rPr>
          <t xml:space="preserve">1/5 — pas bon du tout
Vin sec face au sucre du dessert : il paraît amer et maigre (P22).
Principes de Pat : P22</t>
        </r>
      </text>
    </comment>
    <comment ref="AI33" authorId="0">
      <text>
        <r>
          <rPr>
            <sz val="10"/>
            <rFont val="Arial"/>
            <family val="2"/>
          </rPr>
          <t xml:space="preserve">1/5 — pas bon du tout
Vin sec face au sucre du dessert : il paraît amer et maigre (P22).
Principes de Pat : P22</t>
        </r>
      </text>
    </comment>
    <comment ref="AI34" authorId="0">
      <text>
        <r>
          <rPr>
            <sz val="10"/>
            <rFont val="Arial"/>
            <family val="2"/>
          </rPr>
          <t xml:space="preserve">1/5 — pas bon du tout
Vin sec face au sucre du dessert : il paraît amer et maigre (P22).
Principes de Pat : P22</t>
        </r>
      </text>
    </comment>
    <comment ref="AI35" authorId="0">
      <text>
        <r>
          <rPr>
            <sz val="10"/>
            <rFont val="Arial"/>
            <family val="2"/>
          </rPr>
          <t xml:space="preserve">1/5 — pas bon du tout
Vin sec face au sucre du dessert : il paraît amer et maigre (P22).
Principes de Pat : P22</t>
        </r>
      </text>
    </comment>
    <comment ref="AI36" authorId="0">
      <text>
        <r>
          <rPr>
            <sz val="10"/>
            <rFont val="Arial"/>
            <family val="2"/>
          </rPr>
          <t xml:space="preserve">1/5 — pas bon du tout
Vin sec face au sucre du dessert : il paraît amer et maigre (P22).
Principes de Pat : P22</t>
        </r>
      </text>
    </comment>
    <comment ref="AI37" authorId="0">
      <text>
        <r>
          <rPr>
            <sz val="10"/>
            <rFont val="Arial"/>
            <family val="2"/>
          </rPr>
          <t xml:space="preserve">1/5 — pas bon du tout
Vin sec face au sucre du dessert : il paraît amer et maigre (P22).
Principes de Pat : P22</t>
        </r>
      </text>
    </comment>
    <comment ref="AI38" authorId="0">
      <text>
        <r>
          <rPr>
            <sz val="10"/>
            <rFont val="Arial"/>
            <family val="2"/>
          </rPr>
          <t xml:space="preserve">1/5 — pas bon du tout
Vin sec face au sucre du dessert : il paraît amer et maigre (P22).
Principes de Pat : P22</t>
        </r>
      </text>
    </comment>
    <comment ref="AI39" authorId="0">
      <text>
        <r>
          <rPr>
            <sz val="10"/>
            <rFont val="Arial"/>
            <family val="2"/>
          </rPr>
          <t xml:space="preserve">1/5 — pas bon du tout
Vin sec face au sucre du dessert : il paraît amer et maigre (P22).
Principes de Pat : P22</t>
        </r>
      </text>
    </comment>
    <comment ref="AI40" authorId="0">
      <text>
        <r>
          <rPr>
            <sz val="10"/>
            <rFont val="Arial"/>
            <family val="2"/>
          </rPr>
          <t xml:space="preserve">1/5 — pas bon du tout
Vin sec face au sucre du dessert : il paraît amer et maigre (P22).
Principes de Pat : P22</t>
        </r>
      </text>
    </comment>
    <comment ref="AI41" authorId="0">
      <text>
        <r>
          <rPr>
            <sz val="10"/>
            <rFont val="Arial"/>
            <family val="2"/>
          </rPr>
          <t xml:space="preserve">1/5 — pas bon du tout
Vin sec face au sucre du dessert : il paraît amer et maigre (P22).
Principes de Pat : P22</t>
        </r>
      </text>
    </comment>
    <comment ref="AI42" authorId="0">
      <text>
        <r>
          <rPr>
            <sz val="10"/>
            <rFont val="Arial"/>
            <family val="2"/>
          </rPr>
          <t xml:space="preserve">1/5 — pas bon du tout
Vin sec face au sucre du dessert : il paraît amer et maigre (P22).
Principes de Pat : P22</t>
        </r>
      </text>
    </comment>
    <comment ref="AI43" authorId="0">
      <text>
        <r>
          <rPr>
            <sz val="10"/>
            <rFont val="Arial"/>
            <family val="2"/>
          </rPr>
          <t xml:space="preserve">1/5 — pas bon du tout
Vin sec face au sucre du dessert : il paraît amer et maigre (P22).
Principes de Pat : P22</t>
        </r>
      </text>
    </comment>
    <comment ref="AI44" authorId="0">
      <text>
        <r>
          <rPr>
            <sz val="10"/>
            <rFont val="Arial"/>
            <family val="2"/>
          </rPr>
          <t xml:space="preserve">1/5 — pas bon du tout
Vin sec face au sucre du dessert : il paraît amer et maigre (P22).
Principes de Pat : P22</t>
        </r>
      </text>
    </comment>
    <comment ref="AI45" authorId="0">
      <text>
        <r>
          <rPr>
            <sz val="10"/>
            <rFont val="Arial"/>
            <family val="2"/>
          </rPr>
          <t xml:space="preserve">1/5 — pas bon du tout
Vin sec face au sucre du dessert : il paraît amer et maigre (P22).
Principes de Pat : P22</t>
        </r>
      </text>
    </comment>
    <comment ref="AI46" authorId="0">
      <text>
        <r>
          <rPr>
            <sz val="10"/>
            <rFont val="Arial"/>
            <family val="2"/>
          </rPr>
          <t xml:space="preserve">1/5 — pas bon du tout
Vin sec face au sucre du dessert : il paraît amer et maigre (P22).
Principes de Pat : P22</t>
        </r>
      </text>
    </comment>
    <comment ref="AI47" authorId="0">
      <text>
        <r>
          <rPr>
            <sz val="10"/>
            <rFont val="Arial"/>
            <family val="2"/>
          </rPr>
          <t xml:space="preserve">1/5 — pas bon du tout
Vin sec face au sucre du dessert : il paraît amer et maigre (P22).
Principes de Pat : P22</t>
        </r>
      </text>
    </comment>
    <comment ref="AI48" authorId="0">
      <text>
        <r>
          <rPr>
            <sz val="10"/>
            <rFont val="Arial"/>
            <family val="2"/>
          </rPr>
          <t xml:space="preserve">1/5 — pas bon du tout
Vin sec face au sucre du dessert : il paraît amer et maigre (P22).
Principes de Pat : P22</t>
        </r>
      </text>
    </comment>
    <comment ref="AI49" authorId="0">
      <text>
        <r>
          <rPr>
            <sz val="10"/>
            <rFont val="Arial"/>
            <family val="2"/>
          </rPr>
          <t xml:space="preserve">1/5 — pas bon du tout
Vin sec face au sucre du dessert : il paraît amer et maigre (P22).
Principes de Pat : P22</t>
        </r>
      </text>
    </comment>
    <comment ref="AI50" authorId="0">
      <text>
        <r>
          <rPr>
            <sz val="10"/>
            <rFont val="Arial"/>
            <family val="2"/>
          </rPr>
          <t xml:space="preserve">1/5 — pas bon du tout
Vin sec face au sucre du dessert : il paraît amer et maigre (P22).
Principes de Pat : P22</t>
        </r>
      </text>
    </comment>
    <comment ref="AI51" authorId="0">
      <text>
        <r>
          <rPr>
            <sz val="10"/>
            <rFont val="Arial"/>
            <family val="2"/>
          </rPr>
          <t xml:space="preserve">1/5 — pas bon du tout
Vin sec face au sucre du dessert : il paraît amer et maigre (P22).
Principes de Pat : P22</t>
        </r>
      </text>
    </comment>
    <comment ref="AI52" authorId="0">
      <text>
        <r>
          <rPr>
            <sz val="10"/>
            <rFont val="Arial"/>
            <family val="2"/>
          </rPr>
          <t xml:space="preserve">1/5 — pas bon du tout
Vin sec face au sucre du dessert : il paraît amer et maigre (P22).
Principes de Pat : P22</t>
        </r>
      </text>
    </comment>
    <comment ref="AI53" authorId="0">
      <text>
        <r>
          <rPr>
            <sz val="10"/>
            <rFont val="Arial"/>
            <family val="2"/>
          </rPr>
          <t xml:space="preserve">1/5 — pas bon du tout
Vin sec face au sucre du dessert : il paraît amer et maigre (P22).
Principes de Pat : P22</t>
        </r>
      </text>
    </comment>
    <comment ref="AI54" authorId="0">
      <text>
        <r>
          <rPr>
            <sz val="10"/>
            <rFont val="Arial"/>
            <family val="2"/>
          </rPr>
          <t xml:space="preserve">1/5 — pas bon du tout
Vin sec face au sucre du dessert : il paraît amer et maigre (P22).
Principes de Pat : P22</t>
        </r>
      </text>
    </comment>
    <comment ref="AI55" authorId="0">
      <text>
        <r>
          <rPr>
            <sz val="10"/>
            <rFont val="Arial"/>
            <family val="2"/>
          </rPr>
          <t xml:space="preserve">1/5 — pas bon du tout
Vin sec face au sucre du dessert : il paraît amer et maigre (P22).
Principes de Pat : P22</t>
        </r>
      </text>
    </comment>
    <comment ref="AI56" authorId="0">
      <text>
        <r>
          <rPr>
            <sz val="10"/>
            <rFont val="Arial"/>
            <family val="2"/>
          </rPr>
          <t xml:space="preserve">1/5 — pas bon du tout
Vin sec face au sucre du dessert : il paraît amer et maigre (P22).
Principes de Pat : P22</t>
        </r>
      </text>
    </comment>
    <comment ref="AI57" authorId="0">
      <text>
        <r>
          <rPr>
            <sz val="10"/>
            <rFont val="Arial"/>
            <family val="2"/>
          </rPr>
          <t xml:space="preserve">1/5 — pas bon du tout
Vin sec face au sucre du dessert : il paraît amer et maigre (P22).
Principes de Pat : P22</t>
        </r>
      </text>
    </comment>
    <comment ref="AI58" authorId="0">
      <text>
        <r>
          <rPr>
            <sz val="10"/>
            <rFont val="Arial"/>
            <family val="2"/>
          </rPr>
          <t xml:space="preserve">1/5 — pas bon du tout
Vin sec face au sucre du dessert : il paraît amer et maigre (P22).
Principes de Pat : P22</t>
        </r>
      </text>
    </comment>
    <comment ref="AI59" authorId="0">
      <text>
        <r>
          <rPr>
            <sz val="10"/>
            <rFont val="Arial"/>
            <family val="2"/>
          </rPr>
          <t xml:space="preserve">1/5 — pas bon du tout
Vin sec face au sucre du dessert : il paraît amer et maigre (P22).
Principes de Pat : P22</t>
        </r>
      </text>
    </comment>
    <comment ref="AI60" authorId="0">
      <text>
        <r>
          <rPr>
            <sz val="10"/>
            <rFont val="Arial"/>
            <family val="2"/>
          </rPr>
          <t xml:space="preserve">1/5 — pas bon du tout
Vin sec face au sucre du dessert : il paraît amer et maigre (P22).
Principes de Pat : P22</t>
        </r>
      </text>
    </comment>
    <comment ref="AI61" authorId="0">
      <text>
        <r>
          <rPr>
            <sz val="10"/>
            <rFont val="Arial"/>
            <family val="2"/>
          </rPr>
          <t xml:space="preserve">1/5 — pas bon du tout
Vin sec face au sucre du dessert : il paraît amer et maigre (P22).
Principes de Pat : P22</t>
        </r>
      </text>
    </comment>
    <comment ref="AI62" authorId="0">
      <text>
        <r>
          <rPr>
            <sz val="10"/>
            <rFont val="Arial"/>
            <family val="2"/>
          </rPr>
          <t xml:space="preserve">1/5 — pas bon du tout
Vin sec face au sucre du dessert : il paraît amer et maigre (P22).
Principes de Pat : P22</t>
        </r>
      </text>
    </comment>
    <comment ref="AI63" authorId="0">
      <text>
        <r>
          <rPr>
            <sz val="10"/>
            <rFont val="Arial"/>
            <family val="2"/>
          </rPr>
          <t xml:space="preserve">1/5 — pas bon du tout
Vin sec face au sucre du dessert : il paraît amer et maigre (P22).
Principes de Pat : P22</t>
        </r>
      </text>
    </comment>
    <comment ref="AI64" authorId="0">
      <text>
        <r>
          <rPr>
            <sz val="10"/>
            <rFont val="Arial"/>
            <family val="2"/>
          </rPr>
          <t xml:space="preserve">1/5 — pas bon du tout
Vin sec face au sucre du dessert : il paraît amer et maigre (P22).
Principes de Pat : P22</t>
        </r>
      </text>
    </comment>
    <comment ref="AI65" authorId="0">
      <text>
        <r>
          <rPr>
            <sz val="10"/>
            <rFont val="Arial"/>
            <family val="2"/>
          </rPr>
          <t xml:space="preserve">1/5 — pas bon du tout
Vin sec face au sucre du dessert : il paraît amer et maigre (P22).
Principes de Pat : P22</t>
        </r>
      </text>
    </comment>
    <comment ref="AI66" authorId="0">
      <text>
        <r>
          <rPr>
            <sz val="10"/>
            <rFont val="Arial"/>
            <family val="2"/>
          </rPr>
          <t xml:space="preserve">1/5 — pas bon du tout
Vin sec face au sucre du dessert : il paraît amer et maigre (P22).
Principes de Pat : P22</t>
        </r>
      </text>
    </comment>
    <comment ref="AI67" authorId="0">
      <text>
        <r>
          <rPr>
            <sz val="10"/>
            <rFont val="Arial"/>
            <family val="2"/>
          </rPr>
          <t xml:space="preserve">1/5 — pas bon du tout
Vin sec face au sucre du dessert : il paraît amer et maigre (P22).
Principes de Pat : P22</t>
        </r>
      </text>
    </comment>
    <comment ref="AI68" authorId="0">
      <text>
        <r>
          <rPr>
            <sz val="10"/>
            <rFont val="Arial"/>
            <family val="2"/>
          </rPr>
          <t xml:space="preserve">1/5 — pas bon du tout
Vin sec face au sucre du dessert : il paraît amer et maigre (P22).
Principes de Pat : P22</t>
        </r>
      </text>
    </comment>
    <comment ref="AI70" authorId="0">
      <text>
        <r>
          <rPr>
            <sz val="10"/>
            <rFont val="Arial"/>
            <family val="2"/>
          </rPr>
          <t xml:space="preserve">1/5 — pas bon du tout
Vin sec face au sucre du dessert : il paraît amer et maigre (P22).
Principes de Pat : P22</t>
        </r>
      </text>
    </comment>
    <comment ref="AI71" authorId="0">
      <text>
        <r>
          <rPr>
            <sz val="10"/>
            <rFont val="Arial"/>
            <family val="2"/>
          </rPr>
          <t xml:space="preserve">1/5 — pas bon du tout
Vin sec face au sucre du dessert : il paraît amer et maigre (P22).
Principes de Pat : P22</t>
        </r>
      </text>
    </comment>
    <comment ref="AI73" authorId="0">
      <text>
        <r>
          <rPr>
            <sz val="10"/>
            <rFont val="Arial"/>
            <family val="2"/>
          </rPr>
          <t xml:space="preserve">1/5 — pas bon du tout
Vin sec face au sucre du dessert : il paraît amer et maigre (P22).
Principes de Pat : P22</t>
        </r>
      </text>
    </comment>
    <comment ref="AI74" authorId="0">
      <text>
        <r>
          <rPr>
            <sz val="10"/>
            <rFont val="Arial"/>
            <family val="2"/>
          </rPr>
          <t xml:space="preserve">1/5 — pas bon du tout
Vin sec face au sucre du dessert : il paraît amer et maigre (P22).
Principes de Pat : P22</t>
        </r>
      </text>
    </comment>
    <comment ref="AI75" authorId="0">
      <text>
        <r>
          <rPr>
            <sz val="10"/>
            <rFont val="Arial"/>
            <family val="2"/>
          </rPr>
          <t xml:space="preserve">1/5 — pas bon du tout
Vin sec face au sucre du dessert : il paraît amer et maigre (P22).
Principes de Pat : P22</t>
        </r>
      </text>
    </comment>
    <comment ref="AI76" authorId="0">
      <text>
        <r>
          <rPr>
            <sz val="10"/>
            <rFont val="Arial"/>
            <family val="2"/>
          </rPr>
          <t xml:space="preserve">1/5 — pas bon du tout
Vin sec face au sucre du dessert : il paraît amer et maigre (P22).
Principes de Pat : P22</t>
        </r>
      </text>
    </comment>
    <comment ref="AI77" authorId="0">
      <text>
        <r>
          <rPr>
            <sz val="10"/>
            <rFont val="Arial"/>
            <family val="2"/>
          </rPr>
          <t xml:space="preserve">1/5 — pas bon du tout
Vin sec face au sucre du dessert : il paraît amer et maigre (P22).
Principes de Pat : P22</t>
        </r>
      </text>
    </comment>
    <comment ref="AI78" authorId="0">
      <text>
        <r>
          <rPr>
            <sz val="10"/>
            <rFont val="Arial"/>
            <family val="2"/>
          </rPr>
          <t xml:space="preserve">1/5 — pas bon du tout
Vin sec face au sucre du dessert : il paraît amer et maigre (P22).
Principes de Pat : P22</t>
        </r>
      </text>
    </comment>
    <comment ref="AI79" authorId="0">
      <text>
        <r>
          <rPr>
            <sz val="10"/>
            <rFont val="Arial"/>
            <family val="2"/>
          </rPr>
          <t xml:space="preserve">1/5 — pas bon du tout
Vin sec face au sucre du dessert : il paraît amer et maigre (P22).
Principes de Pat : P22</t>
        </r>
      </text>
    </comment>
    <comment ref="AI81" authorId="0">
      <text>
        <r>
          <rPr>
            <sz val="10"/>
            <rFont val="Arial"/>
            <family val="2"/>
          </rPr>
          <t xml:space="preserve">2/5 — médiocre
Sucre suffisant, mais pas les notes torréfiées d'un vin oxydatif (P22, P25).
Principes de Pat : P22, P25</t>
        </r>
      </text>
    </comment>
    <comment ref="AJ7" authorId="0">
      <text>
        <r>
          <rPr>
            <sz val="10"/>
            <rFont val="Arial"/>
            <family val="2"/>
          </rPr>
          <t xml:space="preserve">1/5 — pas bon du tout
Vin sec face au sucre du dessert : il paraît amer et maigre (P22).
Principes de Pat : P22</t>
        </r>
      </text>
    </comment>
    <comment ref="AJ8" authorId="0">
      <text>
        <r>
          <rPr>
            <sz val="10"/>
            <rFont val="Arial"/>
            <family val="2"/>
          </rPr>
          <t xml:space="preserve">1/5 — pas bon du tout
Vin sec face au sucre du dessert : il paraît amer et maigre (P22).
Principes de Pat : P22</t>
        </r>
      </text>
    </comment>
    <comment ref="AJ9" authorId="0">
      <text>
        <r>
          <rPr>
            <sz val="10"/>
            <rFont val="Arial"/>
            <family val="2"/>
          </rPr>
          <t xml:space="preserve">1/5 — pas bon du tout
Vin sec face au sucre du dessert : il paraît amer et maigre (P22).
Principes de Pat : P22</t>
        </r>
      </text>
    </comment>
    <comment ref="AJ10" authorId="0">
      <text>
        <r>
          <rPr>
            <sz val="10"/>
            <rFont val="Arial"/>
            <family val="2"/>
          </rPr>
          <t xml:space="preserve">1/5 — pas bon du tout
Vin sec face au sucre du dessert : il paraît amer et maigre (P22).
Principes de Pat : P22</t>
        </r>
      </text>
    </comment>
    <comment ref="AJ11" authorId="0">
      <text>
        <r>
          <rPr>
            <sz val="10"/>
            <rFont val="Arial"/>
            <family val="2"/>
          </rPr>
          <t xml:space="preserve">1/5 — pas bon du tout
Vin sec face au sucre du dessert : il paraît amer et maigre (P22).
Principes de Pat : P22</t>
        </r>
      </text>
    </comment>
    <comment ref="AJ12" authorId="0">
      <text>
        <r>
          <rPr>
            <sz val="10"/>
            <rFont val="Arial"/>
            <family val="2"/>
          </rPr>
          <t xml:space="preserve">1/5 — pas bon du tout
Vin sec face au sucre du dessert : il paraît amer et maigre (P22).
Principes de Pat : P22</t>
        </r>
      </text>
    </comment>
    <comment ref="AJ13" authorId="0">
      <text>
        <r>
          <rPr>
            <sz val="10"/>
            <rFont val="Arial"/>
            <family val="2"/>
          </rPr>
          <t xml:space="preserve">1/5 — pas bon du tout
Vin sec face au sucre du dessert : il paraît amer et maigre (P22).
Principes de Pat : P22</t>
        </r>
      </text>
    </comment>
    <comment ref="AJ14" authorId="0">
      <text>
        <r>
          <rPr>
            <sz val="10"/>
            <rFont val="Arial"/>
            <family val="2"/>
          </rPr>
          <t xml:space="preserve">1/5 — pas bon du tout
Vin sec face au sucre du dessert : il paraît amer et maigre (P22).
Principes de Pat : P22</t>
        </r>
      </text>
    </comment>
    <comment ref="AJ15" authorId="0">
      <text>
        <r>
          <rPr>
            <sz val="10"/>
            <rFont val="Arial"/>
            <family val="2"/>
          </rPr>
          <t xml:space="preserve">1/5 — pas bon du tout
Vin sec face au sucre du dessert : il paraît amer et maigre (P22).
Principes de Pat : P22</t>
        </r>
      </text>
    </comment>
    <comment ref="AJ16" authorId="0">
      <text>
        <r>
          <rPr>
            <sz val="10"/>
            <rFont val="Arial"/>
            <family val="2"/>
          </rPr>
          <t xml:space="preserve">1/5 — pas bon du tout
Vin sec face au sucre du dessert : il paraît amer et maigre (P22).
Principes de Pat : P22</t>
        </r>
      </text>
    </comment>
    <comment ref="AJ17" authorId="0">
      <text>
        <r>
          <rPr>
            <sz val="10"/>
            <rFont val="Arial"/>
            <family val="2"/>
          </rPr>
          <t xml:space="preserve">1/5 — pas bon du tout
Vin sec face au sucre du dessert : il paraît amer et maigre (P22).
Principes de Pat : P22</t>
        </r>
      </text>
    </comment>
    <comment ref="AJ18" authorId="0">
      <text>
        <r>
          <rPr>
            <sz val="10"/>
            <rFont val="Arial"/>
            <family val="2"/>
          </rPr>
          <t xml:space="preserve">1/5 — pas bon du tout
Vin sec face au sucre du dessert : il paraît amer et maigre (P22).
Principes de Pat : P22</t>
        </r>
      </text>
    </comment>
    <comment ref="AJ19" authorId="0">
      <text>
        <r>
          <rPr>
            <sz val="10"/>
            <rFont val="Arial"/>
            <family val="2"/>
          </rPr>
          <t xml:space="preserve">1/5 — pas bon du tout
Vin sec face au sucre du dessert : il paraît amer et maigre (P22).
Principes de Pat : P22</t>
        </r>
      </text>
    </comment>
    <comment ref="AJ20" authorId="0">
      <text>
        <r>
          <rPr>
            <sz val="10"/>
            <rFont val="Arial"/>
            <family val="2"/>
          </rPr>
          <t xml:space="preserve">1/5 — pas bon du tout
Vin sec face au sucre du dessert : il paraît amer et maigre (P22).
Principes de Pat : P22</t>
        </r>
      </text>
    </comment>
    <comment ref="AJ21" authorId="0">
      <text>
        <r>
          <rPr>
            <sz val="10"/>
            <rFont val="Arial"/>
            <family val="2"/>
          </rPr>
          <t xml:space="preserve">1/5 — pas bon du tout
Vin sec face au sucre du dessert : il paraît amer et maigre (P22).
Principes de Pat : P22</t>
        </r>
      </text>
    </comment>
    <comment ref="AJ22" authorId="0">
      <text>
        <r>
          <rPr>
            <sz val="10"/>
            <rFont val="Arial"/>
            <family val="2"/>
          </rPr>
          <t xml:space="preserve">1/5 — pas bon du tout
Vin sec face au sucre du dessert : il paraît amer et maigre (P22).
Principes de Pat : P22</t>
        </r>
      </text>
    </comment>
    <comment ref="AJ23" authorId="0">
      <text>
        <r>
          <rPr>
            <sz val="10"/>
            <rFont val="Arial"/>
            <family val="2"/>
          </rPr>
          <t xml:space="preserve">1/5 — pas bon du tout
Vin sec face au sucre du dessert : il paraît amer et maigre (P22).
Principes de Pat : P22</t>
        </r>
      </text>
    </comment>
    <comment ref="AJ24" authorId="0">
      <text>
        <r>
          <rPr>
            <sz val="10"/>
            <rFont val="Arial"/>
            <family val="2"/>
          </rPr>
          <t xml:space="preserve">1/5 — pas bon du tout
Vin sec face au sucre du dessert : il paraît amer et maigre (P22).
Principes de Pat : P22</t>
        </r>
      </text>
    </comment>
    <comment ref="AJ25" authorId="0">
      <text>
        <r>
          <rPr>
            <sz val="10"/>
            <rFont val="Arial"/>
            <family val="2"/>
          </rPr>
          <t xml:space="preserve">1/5 — pas bon du tout
Vin sec face au sucre du dessert : il paraît amer et maigre (P22).
Principes de Pat : P22</t>
        </r>
      </text>
    </comment>
    <comment ref="AJ26" authorId="0">
      <text>
        <r>
          <rPr>
            <sz val="10"/>
            <rFont val="Arial"/>
            <family val="2"/>
          </rPr>
          <t xml:space="preserve">1/5 — pas bon du tout
Vin sec face au sucre du dessert : il paraît amer et maigre (P22).
Principes de Pat : P22</t>
        </r>
      </text>
    </comment>
    <comment ref="AJ27" authorId="0">
      <text>
        <r>
          <rPr>
            <sz val="10"/>
            <rFont val="Arial"/>
            <family val="2"/>
          </rPr>
          <t xml:space="preserve">1/5 — pas bon du tout
Vin sec face au sucre du dessert : il paraît amer et maigre (P22).
Principes de Pat : P22</t>
        </r>
      </text>
    </comment>
    <comment ref="AJ29" authorId="0">
      <text>
        <r>
          <rPr>
            <sz val="10"/>
            <rFont val="Arial"/>
            <family val="2"/>
          </rPr>
          <t xml:space="preserve">1/5 — pas bon du tout
Vin sec face au sucre du dessert : il paraît amer et maigre (P22).
Principes de Pat : P22</t>
        </r>
      </text>
    </comment>
    <comment ref="AJ30" authorId="0">
      <text>
        <r>
          <rPr>
            <sz val="10"/>
            <rFont val="Arial"/>
            <family val="2"/>
          </rPr>
          <t xml:space="preserve">1/5 — pas bon du tout
Vin sec face au sucre du dessert : il paraît amer et maigre (P22).
Principes de Pat : P22</t>
        </r>
      </text>
    </comment>
    <comment ref="AJ31" authorId="0">
      <text>
        <r>
          <rPr>
            <sz val="10"/>
            <rFont val="Arial"/>
            <family val="2"/>
          </rPr>
          <t xml:space="preserve">1/5 — pas bon du tout
Vin sec face au sucre du dessert : il paraît amer et maigre (P22).
Principes de Pat : P22</t>
        </r>
      </text>
    </comment>
    <comment ref="AJ32" authorId="0">
      <text>
        <r>
          <rPr>
            <sz val="10"/>
            <rFont val="Arial"/>
            <family val="2"/>
          </rPr>
          <t xml:space="preserve">1/5 — pas bon du tout
Vin sec face au sucre du dessert : il paraît amer et maigre (P22).
Principes de Pat : P22</t>
        </r>
      </text>
    </comment>
    <comment ref="AJ33" authorId="0">
      <text>
        <r>
          <rPr>
            <sz val="10"/>
            <rFont val="Arial"/>
            <family val="2"/>
          </rPr>
          <t xml:space="preserve">1/5 — pas bon du tout
Vin sec face au sucre du dessert : il paraît amer et maigre (P22).
Principes de Pat : P22</t>
        </r>
      </text>
    </comment>
    <comment ref="AJ34" authorId="0">
      <text>
        <r>
          <rPr>
            <sz val="10"/>
            <rFont val="Arial"/>
            <family val="2"/>
          </rPr>
          <t xml:space="preserve">1/5 — pas bon du tout
Vin sec face au sucre du dessert : il paraît amer et maigre (P22).
Principes de Pat : P22</t>
        </r>
      </text>
    </comment>
    <comment ref="AJ35" authorId="0">
      <text>
        <r>
          <rPr>
            <sz val="10"/>
            <rFont val="Arial"/>
            <family val="2"/>
          </rPr>
          <t xml:space="preserve">1/5 — pas bon du tout
Vin sec face au sucre du dessert : il paraît amer et maigre (P22).
Principes de Pat : P22</t>
        </r>
      </text>
    </comment>
    <comment ref="AJ36" authorId="0">
      <text>
        <r>
          <rPr>
            <sz val="10"/>
            <rFont val="Arial"/>
            <family val="2"/>
          </rPr>
          <t xml:space="preserve">1/5 — pas bon du tout
Vin sec face au sucre du dessert : il paraît amer et maigre (P22).
Principes de Pat : P22</t>
        </r>
      </text>
    </comment>
    <comment ref="AJ37" authorId="0">
      <text>
        <r>
          <rPr>
            <sz val="10"/>
            <rFont val="Arial"/>
            <family val="2"/>
          </rPr>
          <t xml:space="preserve">1/5 — pas bon du tout
Vin sec face au sucre du dessert : il paraît amer et maigre (P22).
Principes de Pat : P22</t>
        </r>
      </text>
    </comment>
    <comment ref="AJ38" authorId="0">
      <text>
        <r>
          <rPr>
            <sz val="10"/>
            <rFont val="Arial"/>
            <family val="2"/>
          </rPr>
          <t xml:space="preserve">1/5 — pas bon du tout
Vin sec face au sucre du dessert : il paraît amer et maigre (P22).
Principes de Pat : P22</t>
        </r>
      </text>
    </comment>
    <comment ref="AJ39" authorId="0">
      <text>
        <r>
          <rPr>
            <sz val="10"/>
            <rFont val="Arial"/>
            <family val="2"/>
          </rPr>
          <t xml:space="preserve">1/5 — pas bon du tout
Vin sec face au sucre du dessert : il paraît amer et maigre (P22).
Principes de Pat : P22</t>
        </r>
      </text>
    </comment>
    <comment ref="AJ40" authorId="0">
      <text>
        <r>
          <rPr>
            <sz val="10"/>
            <rFont val="Arial"/>
            <family val="2"/>
          </rPr>
          <t xml:space="preserve">1/5 — pas bon du tout
Vin sec face au sucre du dessert : il paraît amer et maigre (P22).
Principes de Pat : P22</t>
        </r>
      </text>
    </comment>
    <comment ref="AJ41" authorId="0">
      <text>
        <r>
          <rPr>
            <sz val="10"/>
            <rFont val="Arial"/>
            <family val="2"/>
          </rPr>
          <t xml:space="preserve">1/5 — pas bon du tout
Vin sec face au sucre du dessert : il paraît amer et maigre (P22).
Principes de Pat : P22</t>
        </r>
      </text>
    </comment>
    <comment ref="AJ42" authorId="0">
      <text>
        <r>
          <rPr>
            <sz val="10"/>
            <rFont val="Arial"/>
            <family val="2"/>
          </rPr>
          <t xml:space="preserve">1/5 — pas bon du tout
Vin sec face au sucre du dessert : il paraît amer et maigre (P22).
Principes de Pat : P22</t>
        </r>
      </text>
    </comment>
    <comment ref="AJ43" authorId="0">
      <text>
        <r>
          <rPr>
            <sz val="10"/>
            <rFont val="Arial"/>
            <family val="2"/>
          </rPr>
          <t xml:space="preserve">1/5 — pas bon du tout
Vin sec face au sucre du dessert : il paraît amer et maigre (P22).
Principes de Pat : P22</t>
        </r>
      </text>
    </comment>
    <comment ref="AJ44" authorId="0">
      <text>
        <r>
          <rPr>
            <sz val="10"/>
            <rFont val="Arial"/>
            <family val="2"/>
          </rPr>
          <t xml:space="preserve">1/5 — pas bon du tout
Vin sec face au sucre du dessert : il paraît amer et maigre (P22).
Principes de Pat : P22</t>
        </r>
      </text>
    </comment>
    <comment ref="AJ45" authorId="0">
      <text>
        <r>
          <rPr>
            <sz val="10"/>
            <rFont val="Arial"/>
            <family val="2"/>
          </rPr>
          <t xml:space="preserve">1/5 — pas bon du tout
Vin sec face au sucre du dessert : il paraît amer et maigre (P22).
Principes de Pat : P22</t>
        </r>
      </text>
    </comment>
    <comment ref="AJ46" authorId="0">
      <text>
        <r>
          <rPr>
            <sz val="10"/>
            <rFont val="Arial"/>
            <family val="2"/>
          </rPr>
          <t xml:space="preserve">1/5 — pas bon du tout
Vin sec face au sucre du dessert : il paraît amer et maigre (P22).
Principes de Pat : P22</t>
        </r>
      </text>
    </comment>
    <comment ref="AJ47" authorId="0">
      <text>
        <r>
          <rPr>
            <sz val="10"/>
            <rFont val="Arial"/>
            <family val="2"/>
          </rPr>
          <t xml:space="preserve">1/5 — pas bon du tout
Vin sec face au sucre du dessert : il paraît amer et maigre (P22).
Principes de Pat : P22</t>
        </r>
      </text>
    </comment>
    <comment ref="AJ48" authorId="0">
      <text>
        <r>
          <rPr>
            <sz val="10"/>
            <rFont val="Arial"/>
            <family val="2"/>
          </rPr>
          <t xml:space="preserve">1/5 — pas bon du tout
Vin sec face au sucre du dessert : il paraît amer et maigre (P22).
Principes de Pat : P22</t>
        </r>
      </text>
    </comment>
    <comment ref="AJ49" authorId="0">
      <text>
        <r>
          <rPr>
            <sz val="10"/>
            <rFont val="Arial"/>
            <family val="2"/>
          </rPr>
          <t xml:space="preserve">1/5 — pas bon du tout
Vin sec face au sucre du dessert : il paraît amer et maigre (P22).
Principes de Pat : P22</t>
        </r>
      </text>
    </comment>
    <comment ref="AJ50" authorId="0">
      <text>
        <r>
          <rPr>
            <sz val="10"/>
            <rFont val="Arial"/>
            <family val="2"/>
          </rPr>
          <t xml:space="preserve">1/5 — pas bon du tout
Vin sec face au sucre du dessert : il paraît amer et maigre (P22).
Principes de Pat : P22</t>
        </r>
      </text>
    </comment>
    <comment ref="AJ51" authorId="0">
      <text>
        <r>
          <rPr>
            <sz val="10"/>
            <rFont val="Arial"/>
            <family val="2"/>
          </rPr>
          <t xml:space="preserve">1/5 — pas bon du tout
Vin sec face au sucre du dessert : il paraît amer et maigre (P22).
Principes de Pat : P22</t>
        </r>
      </text>
    </comment>
    <comment ref="AJ52" authorId="0">
      <text>
        <r>
          <rPr>
            <sz val="10"/>
            <rFont val="Arial"/>
            <family val="2"/>
          </rPr>
          <t xml:space="preserve">1/5 — pas bon du tout
Vin sec face au sucre du dessert : il paraît amer et maigre (P22).
Principes de Pat : P22</t>
        </r>
      </text>
    </comment>
    <comment ref="AJ53" authorId="0">
      <text>
        <r>
          <rPr>
            <sz val="10"/>
            <rFont val="Arial"/>
            <family val="2"/>
          </rPr>
          <t xml:space="preserve">1/5 — pas bon du tout
Vin sec face au sucre du dessert : il paraît amer et maigre (P22).
Principes de Pat : P22</t>
        </r>
      </text>
    </comment>
    <comment ref="AJ54" authorId="0">
      <text>
        <r>
          <rPr>
            <sz val="10"/>
            <rFont val="Arial"/>
            <family val="2"/>
          </rPr>
          <t xml:space="preserve">1/5 — pas bon du tout
Vin sec face au sucre du dessert : il paraît amer et maigre (P22).
Principes de Pat : P22</t>
        </r>
      </text>
    </comment>
    <comment ref="AJ55" authorId="0">
      <text>
        <r>
          <rPr>
            <sz val="10"/>
            <rFont val="Arial"/>
            <family val="2"/>
          </rPr>
          <t xml:space="preserve">1/5 — pas bon du tout
Vin sec face au sucre du dessert : il paraît amer et maigre (P22).
Principes de Pat : P22</t>
        </r>
      </text>
    </comment>
    <comment ref="AJ56" authorId="0">
      <text>
        <r>
          <rPr>
            <sz val="10"/>
            <rFont val="Arial"/>
            <family val="2"/>
          </rPr>
          <t xml:space="preserve">1/5 — pas bon du tout
Vin sec face au sucre du dessert : il paraît amer et maigre (P22).
Principes de Pat : P22</t>
        </r>
      </text>
    </comment>
    <comment ref="AJ57" authorId="0">
      <text>
        <r>
          <rPr>
            <sz val="10"/>
            <rFont val="Arial"/>
            <family val="2"/>
          </rPr>
          <t xml:space="preserve">1/5 — pas bon du tout
Vin sec face au sucre du dessert : il paraît amer et maigre (P22).
Principes de Pat : P22</t>
        </r>
      </text>
    </comment>
    <comment ref="AJ58" authorId="0">
      <text>
        <r>
          <rPr>
            <sz val="10"/>
            <rFont val="Arial"/>
            <family val="2"/>
          </rPr>
          <t xml:space="preserve">1/5 — pas bon du tout
Vin sec face au sucre du dessert : il paraît amer et maigre (P22).
Principes de Pat : P22</t>
        </r>
      </text>
    </comment>
    <comment ref="AJ59" authorId="0">
      <text>
        <r>
          <rPr>
            <sz val="10"/>
            <rFont val="Arial"/>
            <family val="2"/>
          </rPr>
          <t xml:space="preserve">1/5 — pas bon du tout
Vin sec face au sucre du dessert : il paraît amer et maigre (P22).
Principes de Pat : P22</t>
        </r>
      </text>
    </comment>
    <comment ref="AJ60" authorId="0">
      <text>
        <r>
          <rPr>
            <sz val="10"/>
            <rFont val="Arial"/>
            <family val="2"/>
          </rPr>
          <t xml:space="preserve">1/5 — pas bon du tout
Vin sec face au sucre du dessert : il paraît amer et maigre (P22).
Principes de Pat : P22</t>
        </r>
      </text>
    </comment>
    <comment ref="AJ61" authorId="0">
      <text>
        <r>
          <rPr>
            <sz val="10"/>
            <rFont val="Arial"/>
            <family val="2"/>
          </rPr>
          <t xml:space="preserve">1/5 — pas bon du tout
Vin sec face au sucre du dessert : il paraît amer et maigre (P22).
Principes de Pat : P22</t>
        </r>
      </text>
    </comment>
    <comment ref="AJ62" authorId="0">
      <text>
        <r>
          <rPr>
            <sz val="10"/>
            <rFont val="Arial"/>
            <family val="2"/>
          </rPr>
          <t xml:space="preserve">1/5 — pas bon du tout
Vin sec face au sucre du dessert : il paraît amer et maigre (P22).
Principes de Pat : P22</t>
        </r>
      </text>
    </comment>
    <comment ref="AJ63" authorId="0">
      <text>
        <r>
          <rPr>
            <sz val="10"/>
            <rFont val="Arial"/>
            <family val="2"/>
          </rPr>
          <t xml:space="preserve">1/5 — pas bon du tout
Vin sec face au sucre du dessert : il paraît amer et maigre (P22).
Principes de Pat : P22</t>
        </r>
      </text>
    </comment>
    <comment ref="AJ64" authorId="0">
      <text>
        <r>
          <rPr>
            <sz val="10"/>
            <rFont val="Arial"/>
            <family val="2"/>
          </rPr>
          <t xml:space="preserve">1/5 — pas bon du tout
Vin sec face au sucre du dessert : il paraît amer et maigre (P22).
Principes de Pat : P22</t>
        </r>
      </text>
    </comment>
    <comment ref="AJ65" authorId="0">
      <text>
        <r>
          <rPr>
            <sz val="10"/>
            <rFont val="Arial"/>
            <family val="2"/>
          </rPr>
          <t xml:space="preserve">1/5 — pas bon du tout
Vin sec face au sucre du dessert : il paraît amer et maigre (P22).
Principes de Pat : P22</t>
        </r>
      </text>
    </comment>
    <comment ref="AJ66" authorId="0">
      <text>
        <r>
          <rPr>
            <sz val="10"/>
            <rFont val="Arial"/>
            <family val="2"/>
          </rPr>
          <t xml:space="preserve">1/5 — pas bon du tout
Vin sec face au sucre du dessert : il paraît amer et maigre (P22).
Principes de Pat : P22</t>
        </r>
      </text>
    </comment>
    <comment ref="AJ67" authorId="0">
      <text>
        <r>
          <rPr>
            <sz val="10"/>
            <rFont val="Arial"/>
            <family val="2"/>
          </rPr>
          <t xml:space="preserve">1/5 — pas bon du tout
Vin sec face au sucre du dessert : il paraît amer et maigre (P22).
Principes de Pat : P22</t>
        </r>
      </text>
    </comment>
    <comment ref="AJ68" authorId="0">
      <text>
        <r>
          <rPr>
            <sz val="10"/>
            <rFont val="Arial"/>
            <family val="2"/>
          </rPr>
          <t xml:space="preserve">1/5 — pas bon du tout
Vin sec face au sucre du dessert : il paraît amer et maigre (P22).
Principes de Pat : P22</t>
        </r>
      </text>
    </comment>
    <comment ref="AJ70" authorId="0">
      <text>
        <r>
          <rPr>
            <sz val="10"/>
            <rFont val="Arial"/>
            <family val="2"/>
          </rPr>
          <t xml:space="preserve">1/5 — pas bon du tout
Vin sec face au sucre du dessert : il paraît amer et maigre (P22).
Principes de Pat : P22</t>
        </r>
      </text>
    </comment>
    <comment ref="AJ71" authorId="0">
      <text>
        <r>
          <rPr>
            <sz val="10"/>
            <rFont val="Arial"/>
            <family val="2"/>
          </rPr>
          <t xml:space="preserve">1/5 — pas bon du tout
Vin sec face au sucre du dessert : il paraît amer et maigre (P22).
Principes de Pat : P22</t>
        </r>
      </text>
    </comment>
    <comment ref="AJ73" authorId="0">
      <text>
        <r>
          <rPr>
            <sz val="10"/>
            <rFont val="Arial"/>
            <family val="2"/>
          </rPr>
          <t xml:space="preserve">2/5 — médiocre
Bulle légère et peu alcoolisée, mais moins sucrée que le sorbet (P22, P20).
Principes de Pat : P22, P20</t>
        </r>
      </text>
    </comment>
    <comment ref="AJ74" authorId="0">
      <text>
        <r>
          <rPr>
            <sz val="10"/>
            <rFont val="Arial"/>
            <family val="2"/>
          </rPr>
          <t xml:space="preserve">1/5 — pas bon du tout
Vin sec face au sucre du dessert : il paraît amer et maigre (P22).
Principes de Pat : P22</t>
        </r>
      </text>
    </comment>
    <comment ref="AJ75" authorId="0">
      <text>
        <r>
          <rPr>
            <sz val="10"/>
            <rFont val="Arial"/>
            <family val="2"/>
          </rPr>
          <t xml:space="preserve">1/5 — pas bon du tout
Vin sec face au sucre du dessert : il paraît amer et maigre (P22).
Principes de Pat : P22</t>
        </r>
      </text>
    </comment>
    <comment ref="AJ76" authorId="0">
      <text>
        <r>
          <rPr>
            <sz val="10"/>
            <rFont val="Arial"/>
            <family val="2"/>
          </rPr>
          <t xml:space="preserve">1/5 — pas bon du tout
Vin sec face au sucre du dessert : il paraît amer et maigre (P22).
Principes de Pat : P22</t>
        </r>
      </text>
    </comment>
    <comment ref="AJ77" authorId="0">
      <text>
        <r>
          <rPr>
            <sz val="10"/>
            <rFont val="Arial"/>
            <family val="2"/>
          </rPr>
          <t xml:space="preserve">1/5 — pas bon du tout
Vin sec face au sucre du dessert : il paraît amer et maigre (P22).
Principes de Pat : P22</t>
        </r>
      </text>
    </comment>
    <comment ref="AJ78" authorId="0">
      <text>
        <r>
          <rPr>
            <sz val="10"/>
            <rFont val="Arial"/>
            <family val="2"/>
          </rPr>
          <t xml:space="preserve">1/5 — pas bon du tout
Vin sec face au sucre du dessert : il paraît amer et maigre (P22).
Principes de Pat : P22</t>
        </r>
      </text>
    </comment>
    <comment ref="AJ79" authorId="0">
      <text>
        <r>
          <rPr>
            <sz val="10"/>
            <rFont val="Arial"/>
            <family val="2"/>
          </rPr>
          <t xml:space="preserve">1/5 — pas bon du tout
Vin sec face au sucre du dessert : il paraît amer et maigre (P22).
Principes de Pat : P22</t>
        </r>
      </text>
    </comment>
    <comment ref="AJ81" authorId="0">
      <text>
        <r>
          <rPr>
            <sz val="10"/>
            <rFont val="Arial"/>
            <family val="2"/>
          </rPr>
          <t xml:space="preserve">3/5 — correct
Assez sucré pour le sorbet, mais trop lourd pour un dessert léger et froid (P22, P20).
Principes de Pat : P22, P20</t>
        </r>
      </text>
    </comment>
    <comment ref="AK7" authorId="0">
      <text>
        <r>
          <rPr>
            <sz val="10"/>
            <rFont val="Arial"/>
            <family val="2"/>
          </rPr>
          <t xml:space="preserve">1/5 — pas bon du tout
Vin sec face au sucre du dessert : il paraît amer et maigre (P22).
Principes de Pat : P22</t>
        </r>
      </text>
    </comment>
    <comment ref="AK8" authorId="0">
      <text>
        <r>
          <rPr>
            <sz val="10"/>
            <rFont val="Arial"/>
            <family val="2"/>
          </rPr>
          <t xml:space="preserve">1/5 — pas bon du tout
Vin sec face au sucre du dessert : il paraît amer et maigre (P22).
Principes de Pat : P22</t>
        </r>
      </text>
    </comment>
    <comment ref="AK9" authorId="0">
      <text>
        <r>
          <rPr>
            <sz val="10"/>
            <rFont val="Arial"/>
            <family val="2"/>
          </rPr>
          <t xml:space="preserve">1/5 — pas bon du tout
Vin sec face au sucre du dessert : il paraît amer et maigre (P22).
Principes de Pat : P22</t>
        </r>
      </text>
    </comment>
    <comment ref="AK10" authorId="0">
      <text>
        <r>
          <rPr>
            <sz val="10"/>
            <rFont val="Arial"/>
            <family val="2"/>
          </rPr>
          <t xml:space="preserve">1/5 — pas bon du tout
Vin sec face au sucre du dessert : il paraît amer et maigre (P22).
Principes de Pat : P22</t>
        </r>
      </text>
    </comment>
    <comment ref="AK11" authorId="0">
      <text>
        <r>
          <rPr>
            <sz val="10"/>
            <rFont val="Arial"/>
            <family val="2"/>
          </rPr>
          <t xml:space="preserve">1/5 — pas bon du tout
Vin sec face au sucre du dessert : il paraît amer et maigre (P22).
Principes de Pat : P22</t>
        </r>
      </text>
    </comment>
    <comment ref="AK12" authorId="0">
      <text>
        <r>
          <rPr>
            <sz val="10"/>
            <rFont val="Arial"/>
            <family val="2"/>
          </rPr>
          <t xml:space="preserve">1/5 — pas bon du tout
Vin sec face au sucre du dessert : il paraît amer et maigre (P22).
Principes de Pat : P22</t>
        </r>
      </text>
    </comment>
    <comment ref="AK13" authorId="0">
      <text>
        <r>
          <rPr>
            <sz val="10"/>
            <rFont val="Arial"/>
            <family val="2"/>
          </rPr>
          <t xml:space="preserve">1/5 — pas bon du tout
Vin sec face au sucre du dessert : il paraît amer et maigre (P22).
Principes de Pat : P22</t>
        </r>
      </text>
    </comment>
    <comment ref="AK14" authorId="0">
      <text>
        <r>
          <rPr>
            <sz val="10"/>
            <rFont val="Arial"/>
            <family val="2"/>
          </rPr>
          <t xml:space="preserve">1/5 — pas bon du tout
Vin sec face au sucre du dessert : il paraît amer et maigre (P22).
Principes de Pat : P22</t>
        </r>
      </text>
    </comment>
    <comment ref="AK15" authorId="0">
      <text>
        <r>
          <rPr>
            <sz val="10"/>
            <rFont val="Arial"/>
            <family val="2"/>
          </rPr>
          <t xml:space="preserve">1/5 — pas bon du tout
Vin sec face au sucre du dessert : il paraît amer et maigre (P22).
Principes de Pat : P22</t>
        </r>
      </text>
    </comment>
    <comment ref="AK16" authorId="0">
      <text>
        <r>
          <rPr>
            <sz val="10"/>
            <rFont val="Arial"/>
            <family val="2"/>
          </rPr>
          <t xml:space="preserve">1/5 — pas bon du tout
Vin sec face au sucre du dessert : il paraît amer et maigre (P22).
Principes de Pat : P22</t>
        </r>
      </text>
    </comment>
    <comment ref="AK17" authorId="0">
      <text>
        <r>
          <rPr>
            <sz val="10"/>
            <rFont val="Arial"/>
            <family val="2"/>
          </rPr>
          <t xml:space="preserve">1/5 — pas bon du tout
Vin sec face au sucre du dessert : il paraît amer et maigre (P22).
Principes de Pat : P22</t>
        </r>
      </text>
    </comment>
    <comment ref="AK18" authorId="0">
      <text>
        <r>
          <rPr>
            <sz val="10"/>
            <rFont val="Arial"/>
            <family val="2"/>
          </rPr>
          <t xml:space="preserve">1/5 — pas bon du tout
Vin sec face au sucre du dessert : il paraît amer et maigre (P22).
Principes de Pat : P22</t>
        </r>
      </text>
    </comment>
    <comment ref="AK19" authorId="0">
      <text>
        <r>
          <rPr>
            <sz val="10"/>
            <rFont val="Arial"/>
            <family val="2"/>
          </rPr>
          <t xml:space="preserve">1/5 — pas bon du tout
Vin sec face au sucre du dessert : il paraît amer et maigre (P22).
Principes de Pat : P22</t>
        </r>
      </text>
    </comment>
    <comment ref="AK20" authorId="0">
      <text>
        <r>
          <rPr>
            <sz val="10"/>
            <rFont val="Arial"/>
            <family val="2"/>
          </rPr>
          <t xml:space="preserve">1/5 — pas bon du tout
Vin sec face au sucre du dessert : il paraît amer et maigre (P22).
Principes de Pat : P22</t>
        </r>
      </text>
    </comment>
    <comment ref="AK21" authorId="0">
      <text>
        <r>
          <rPr>
            <sz val="10"/>
            <rFont val="Arial"/>
            <family val="2"/>
          </rPr>
          <t xml:space="preserve">1/5 — pas bon du tout
Vin sec face au sucre du dessert : il paraît amer et maigre (P22).
Principes de Pat : P22</t>
        </r>
      </text>
    </comment>
    <comment ref="AK22" authorId="0">
      <text>
        <r>
          <rPr>
            <sz val="10"/>
            <rFont val="Arial"/>
            <family val="2"/>
          </rPr>
          <t xml:space="preserve">1/5 — pas bon du tout
Vin sec face au sucre du dessert : il paraît amer et maigre (P22).
Principes de Pat : P22</t>
        </r>
      </text>
    </comment>
    <comment ref="AK23" authorId="0">
      <text>
        <r>
          <rPr>
            <sz val="10"/>
            <rFont val="Arial"/>
            <family val="2"/>
          </rPr>
          <t xml:space="preserve">1/5 — pas bon du tout
Vin sec face au sucre du dessert : il paraît amer et maigre (P22).
Principes de Pat : P22</t>
        </r>
      </text>
    </comment>
    <comment ref="AK24" authorId="0">
      <text>
        <r>
          <rPr>
            <sz val="10"/>
            <rFont val="Arial"/>
            <family val="2"/>
          </rPr>
          <t xml:space="preserve">1/5 — pas bon du tout
Vin sec face au sucre du dessert : il paraît amer et maigre (P22).
Principes de Pat : P22</t>
        </r>
      </text>
    </comment>
    <comment ref="AK25" authorId="0">
      <text>
        <r>
          <rPr>
            <sz val="10"/>
            <rFont val="Arial"/>
            <family val="2"/>
          </rPr>
          <t xml:space="preserve">1/5 — pas bon du tout
Vin sec face au sucre du dessert : il paraît amer et maigre (P22).
Principes de Pat : P22</t>
        </r>
      </text>
    </comment>
    <comment ref="AK26" authorId="0">
      <text>
        <r>
          <rPr>
            <sz val="10"/>
            <rFont val="Arial"/>
            <family val="2"/>
          </rPr>
          <t xml:space="preserve">1/5 — pas bon du tout
Vin sec face au sucre du dessert : il paraît amer et maigre (P22).
Principes de Pat : P22</t>
        </r>
      </text>
    </comment>
    <comment ref="AK27" authorId="0">
      <text>
        <r>
          <rPr>
            <sz val="10"/>
            <rFont val="Arial"/>
            <family val="2"/>
          </rPr>
          <t xml:space="preserve">1/5 — pas bon du tout
Vin sec face au sucre du dessert : il paraît amer et maigre (P22).
Principes de Pat : P22</t>
        </r>
      </text>
    </comment>
    <comment ref="AK29" authorId="0">
      <text>
        <r>
          <rPr>
            <sz val="10"/>
            <rFont val="Arial"/>
            <family val="2"/>
          </rPr>
          <t xml:space="preserve">1/5 — pas bon du tout
Vin sec face au sucre du dessert : il paraît amer et maigre (P22).
Principes de Pat : P22</t>
        </r>
      </text>
    </comment>
    <comment ref="AK30" authorId="0">
      <text>
        <r>
          <rPr>
            <sz val="10"/>
            <rFont val="Arial"/>
            <family val="2"/>
          </rPr>
          <t xml:space="preserve">1/5 — pas bon du tout
Vin sec face au sucre du dessert : il paraît amer et maigre (P22).
Principes de Pat : P22</t>
        </r>
      </text>
    </comment>
    <comment ref="AK31" authorId="0">
      <text>
        <r>
          <rPr>
            <sz val="10"/>
            <rFont val="Arial"/>
            <family val="2"/>
          </rPr>
          <t xml:space="preserve">1/5 — pas bon du tout
Vin sec face au sucre du dessert : il paraît amer et maigre (P22).
Principes de Pat : P22</t>
        </r>
      </text>
    </comment>
    <comment ref="AK32" authorId="0">
      <text>
        <r>
          <rPr>
            <sz val="10"/>
            <rFont val="Arial"/>
            <family val="2"/>
          </rPr>
          <t xml:space="preserve">1/5 — pas bon du tout
Vin sec face au sucre du dessert : il paraît amer et maigre (P22).
Principes de Pat : P22</t>
        </r>
      </text>
    </comment>
    <comment ref="AK33" authorId="0">
      <text>
        <r>
          <rPr>
            <sz val="10"/>
            <rFont val="Arial"/>
            <family val="2"/>
          </rPr>
          <t xml:space="preserve">1/5 — pas bon du tout
Vin sec face au sucre du dessert : il paraît amer et maigre (P22).
Principes de Pat : P22</t>
        </r>
      </text>
    </comment>
    <comment ref="AK34" authorId="0">
      <text>
        <r>
          <rPr>
            <sz val="10"/>
            <rFont val="Arial"/>
            <family val="2"/>
          </rPr>
          <t xml:space="preserve">1/5 — pas bon du tout
Vin sec face au sucre du dessert : il paraît amer et maigre (P22).
Principes de Pat : P22</t>
        </r>
      </text>
    </comment>
    <comment ref="AK35" authorId="0">
      <text>
        <r>
          <rPr>
            <sz val="10"/>
            <rFont val="Arial"/>
            <family val="2"/>
          </rPr>
          <t xml:space="preserve">1/5 — pas bon du tout
Vin sec face au sucre du dessert : il paraît amer et maigre (P22).
Principes de Pat : P22</t>
        </r>
      </text>
    </comment>
    <comment ref="AK36" authorId="0">
      <text>
        <r>
          <rPr>
            <sz val="10"/>
            <rFont val="Arial"/>
            <family val="2"/>
          </rPr>
          <t xml:space="preserve">1/5 — pas bon du tout
Vin sec face au sucre du dessert : il paraît amer et maigre (P22).
Principes de Pat : P22</t>
        </r>
      </text>
    </comment>
    <comment ref="AK37" authorId="0">
      <text>
        <r>
          <rPr>
            <sz val="10"/>
            <rFont val="Arial"/>
            <family val="2"/>
          </rPr>
          <t xml:space="preserve">1/5 — pas bon du tout
Vin sec face au sucre du dessert : il paraît amer et maigre (P22).
Principes de Pat : P22</t>
        </r>
      </text>
    </comment>
    <comment ref="AK38" authorId="0">
      <text>
        <r>
          <rPr>
            <sz val="10"/>
            <rFont val="Arial"/>
            <family val="2"/>
          </rPr>
          <t xml:space="preserve">1/5 — pas bon du tout
Vin sec face au sucre du dessert : il paraît amer et maigre (P22).
Principes de Pat : P22</t>
        </r>
      </text>
    </comment>
    <comment ref="AK39" authorId="0">
      <text>
        <r>
          <rPr>
            <sz val="10"/>
            <rFont val="Arial"/>
            <family val="2"/>
          </rPr>
          <t xml:space="preserve">1/5 — pas bon du tout
Vin sec face au sucre du dessert : il paraît amer et maigre (P22).
Principes de Pat : P22</t>
        </r>
      </text>
    </comment>
    <comment ref="AK40" authorId="0">
      <text>
        <r>
          <rPr>
            <sz val="10"/>
            <rFont val="Arial"/>
            <family val="2"/>
          </rPr>
          <t xml:space="preserve">1/5 — pas bon du tout
Vin sec face au sucre du dessert : il paraît amer et maigre (P22).
Principes de Pat : P22</t>
        </r>
      </text>
    </comment>
    <comment ref="AK41" authorId="0">
      <text>
        <r>
          <rPr>
            <sz val="10"/>
            <rFont val="Arial"/>
            <family val="2"/>
          </rPr>
          <t xml:space="preserve">1/5 — pas bon du tout
Vin sec face au sucre du dessert : il paraît amer et maigre (P22).
Principes de Pat : P22</t>
        </r>
      </text>
    </comment>
    <comment ref="AK42" authorId="0">
      <text>
        <r>
          <rPr>
            <sz val="10"/>
            <rFont val="Arial"/>
            <family val="2"/>
          </rPr>
          <t xml:space="preserve">1/5 — pas bon du tout
Vin sec face au sucre du dessert : il paraît amer et maigre (P22).
Principes de Pat : P22</t>
        </r>
      </text>
    </comment>
    <comment ref="AK43" authorId="0">
      <text>
        <r>
          <rPr>
            <sz val="10"/>
            <rFont val="Arial"/>
            <family val="2"/>
          </rPr>
          <t xml:space="preserve">1/5 — pas bon du tout
Vin sec face au sucre du dessert : il paraît amer et maigre (P22).
Principes de Pat : P22</t>
        </r>
      </text>
    </comment>
    <comment ref="AK44" authorId="0">
      <text>
        <r>
          <rPr>
            <sz val="10"/>
            <rFont val="Arial"/>
            <family val="2"/>
          </rPr>
          <t xml:space="preserve">1/5 — pas bon du tout
Vin sec face au sucre du dessert : il paraît amer et maigre (P22).
Principes de Pat : P22</t>
        </r>
      </text>
    </comment>
    <comment ref="AK45" authorId="0">
      <text>
        <r>
          <rPr>
            <sz val="10"/>
            <rFont val="Arial"/>
            <family val="2"/>
          </rPr>
          <t xml:space="preserve">1/5 — pas bon du tout
Vin sec face au sucre du dessert : il paraît amer et maigre (P22).
Principes de Pat : P22</t>
        </r>
      </text>
    </comment>
    <comment ref="AK46" authorId="0">
      <text>
        <r>
          <rPr>
            <sz val="10"/>
            <rFont val="Arial"/>
            <family val="2"/>
          </rPr>
          <t xml:space="preserve">1/5 — pas bon du tout
Vin sec face au sucre du dessert : il paraît amer et maigre (P22).
Principes de Pat : P22</t>
        </r>
      </text>
    </comment>
    <comment ref="AK47" authorId="0">
      <text>
        <r>
          <rPr>
            <sz val="10"/>
            <rFont val="Arial"/>
            <family val="2"/>
          </rPr>
          <t xml:space="preserve">1/5 — pas bon du tout
Vin sec face au sucre du dessert : il paraît amer et maigre (P22).
Principes de Pat : P22</t>
        </r>
      </text>
    </comment>
    <comment ref="AK48" authorId="0">
      <text>
        <r>
          <rPr>
            <sz val="10"/>
            <rFont val="Arial"/>
            <family val="2"/>
          </rPr>
          <t xml:space="preserve">1/5 — pas bon du tout
Vin sec face au sucre du dessert : il paraît amer et maigre (P22).
Principes de Pat : P22</t>
        </r>
      </text>
    </comment>
    <comment ref="AK49" authorId="0">
      <text>
        <r>
          <rPr>
            <sz val="10"/>
            <rFont val="Arial"/>
            <family val="2"/>
          </rPr>
          <t xml:space="preserve">1/5 — pas bon du tout
Vin sec face au sucre du dessert : il paraît amer et maigre (P22).
Principes de Pat : P22</t>
        </r>
      </text>
    </comment>
    <comment ref="AK50" authorId="0">
      <text>
        <r>
          <rPr>
            <sz val="10"/>
            <rFont val="Arial"/>
            <family val="2"/>
          </rPr>
          <t xml:space="preserve">1/5 — pas bon du tout
Vin sec face au sucre du dessert : il paraît amer et maigre (P22).
Principes de Pat : P22</t>
        </r>
      </text>
    </comment>
    <comment ref="AK51" authorId="0">
      <text>
        <r>
          <rPr>
            <sz val="10"/>
            <rFont val="Arial"/>
            <family val="2"/>
          </rPr>
          <t xml:space="preserve">1/5 — pas bon du tout
Vin sec face au sucre du dessert : il paraît amer et maigre (P22).
Principes de Pat : P22</t>
        </r>
      </text>
    </comment>
    <comment ref="AK52" authorId="0">
      <text>
        <r>
          <rPr>
            <sz val="10"/>
            <rFont val="Arial"/>
            <family val="2"/>
          </rPr>
          <t xml:space="preserve">1/5 — pas bon du tout
Vin sec face au sucre du dessert : il paraît amer et maigre (P22).
Principes de Pat : P22</t>
        </r>
      </text>
    </comment>
    <comment ref="AK53" authorId="0">
      <text>
        <r>
          <rPr>
            <sz val="10"/>
            <rFont val="Arial"/>
            <family val="2"/>
          </rPr>
          <t xml:space="preserve">1/5 — pas bon du tout
Vin sec face au sucre du dessert : il paraît amer et maigre (P22).
Principes de Pat : P22</t>
        </r>
      </text>
    </comment>
    <comment ref="AK54" authorId="0">
      <text>
        <r>
          <rPr>
            <sz val="10"/>
            <rFont val="Arial"/>
            <family val="2"/>
          </rPr>
          <t xml:space="preserve">1/5 — pas bon du tout
Vin sec face au sucre du dessert : il paraît amer et maigre (P22).
Principes de Pat : P22</t>
        </r>
      </text>
    </comment>
    <comment ref="AK55" authorId="0">
      <text>
        <r>
          <rPr>
            <sz val="10"/>
            <rFont val="Arial"/>
            <family val="2"/>
          </rPr>
          <t xml:space="preserve">1/5 — pas bon du tout
Vin sec face au sucre du dessert : il paraît amer et maigre (P22).
Principes de Pat : P22</t>
        </r>
      </text>
    </comment>
    <comment ref="AK56" authorId="0">
      <text>
        <r>
          <rPr>
            <sz val="10"/>
            <rFont val="Arial"/>
            <family val="2"/>
          </rPr>
          <t xml:space="preserve">1/5 — pas bon du tout
Vin sec face au sucre du dessert : il paraît amer et maigre (P22).
Principes de Pat : P22</t>
        </r>
      </text>
    </comment>
    <comment ref="AK57" authorId="0">
      <text>
        <r>
          <rPr>
            <sz val="10"/>
            <rFont val="Arial"/>
            <family val="2"/>
          </rPr>
          <t xml:space="preserve">1/5 — pas bon du tout
Vin sec face au sucre du dessert : il paraît amer et maigre (P22).
Principes de Pat : P22</t>
        </r>
      </text>
    </comment>
    <comment ref="AK58" authorId="0">
      <text>
        <r>
          <rPr>
            <sz val="10"/>
            <rFont val="Arial"/>
            <family val="2"/>
          </rPr>
          <t xml:space="preserve">1/5 — pas bon du tout
Vin sec face au sucre du dessert : il paraît amer et maigre (P22).
Principes de Pat : P22</t>
        </r>
      </text>
    </comment>
    <comment ref="AK59" authorId="0">
      <text>
        <r>
          <rPr>
            <sz val="10"/>
            <rFont val="Arial"/>
            <family val="2"/>
          </rPr>
          <t xml:space="preserve">1/5 — pas bon du tout
Vin sec face au sucre du dessert : il paraît amer et maigre (P22).
Principes de Pat : P22</t>
        </r>
      </text>
    </comment>
    <comment ref="AK60" authorId="0">
      <text>
        <r>
          <rPr>
            <sz val="10"/>
            <rFont val="Arial"/>
            <family val="2"/>
          </rPr>
          <t xml:space="preserve">1/5 — pas bon du tout
Vin sec face au sucre du dessert : il paraît amer et maigre (P22).
Principes de Pat : P22</t>
        </r>
      </text>
    </comment>
    <comment ref="AK61" authorId="0">
      <text>
        <r>
          <rPr>
            <sz val="10"/>
            <rFont val="Arial"/>
            <family val="2"/>
          </rPr>
          <t xml:space="preserve">1/5 — pas bon du tout
Vin sec face au sucre du dessert : il paraît amer et maigre (P22).
Principes de Pat : P22</t>
        </r>
      </text>
    </comment>
    <comment ref="AK62" authorId="0">
      <text>
        <r>
          <rPr>
            <sz val="10"/>
            <rFont val="Arial"/>
            <family val="2"/>
          </rPr>
          <t xml:space="preserve">1/5 — pas bon du tout
Vin sec face au sucre du dessert : il paraît amer et maigre (P22).
Principes de Pat : P22</t>
        </r>
      </text>
    </comment>
    <comment ref="AK63" authorId="0">
      <text>
        <r>
          <rPr>
            <sz val="10"/>
            <rFont val="Arial"/>
            <family val="2"/>
          </rPr>
          <t xml:space="preserve">1/5 — pas bon du tout
Vin sec face au sucre du dessert : il paraît amer et maigre (P22).
Principes de Pat : P22</t>
        </r>
      </text>
    </comment>
    <comment ref="AK64" authorId="0">
      <text>
        <r>
          <rPr>
            <sz val="10"/>
            <rFont val="Arial"/>
            <family val="2"/>
          </rPr>
          <t xml:space="preserve">1/5 — pas bon du tout
Vin sec face au sucre du dessert : il paraît amer et maigre (P22).
Principes de Pat : P22</t>
        </r>
      </text>
    </comment>
    <comment ref="AK65" authorId="0">
      <text>
        <r>
          <rPr>
            <sz val="10"/>
            <rFont val="Arial"/>
            <family val="2"/>
          </rPr>
          <t xml:space="preserve">1/5 — pas bon du tout
Vin sec face au sucre du dessert : il paraît amer et maigre (P22).
Principes de Pat : P22</t>
        </r>
      </text>
    </comment>
    <comment ref="AK66" authorId="0">
      <text>
        <r>
          <rPr>
            <sz val="10"/>
            <rFont val="Arial"/>
            <family val="2"/>
          </rPr>
          <t xml:space="preserve">1/5 — pas bon du tout
Vin sec face au sucre du dessert : il paraît amer et maigre (P22).
Principes de Pat : P22</t>
        </r>
      </text>
    </comment>
    <comment ref="AK67" authorId="0">
      <text>
        <r>
          <rPr>
            <sz val="10"/>
            <rFont val="Arial"/>
            <family val="2"/>
          </rPr>
          <t xml:space="preserve">1/5 — pas bon du tout
Vin sec face au sucre du dessert : il paraît amer et maigre (P22).
Principes de Pat : P22</t>
        </r>
      </text>
    </comment>
    <comment ref="AK68" authorId="0">
      <text>
        <r>
          <rPr>
            <sz val="10"/>
            <rFont val="Arial"/>
            <family val="2"/>
          </rPr>
          <t xml:space="preserve">1/5 — pas bon du tout
Vin sec face au sucre du dessert : il paraît amer et maigre (P22).
Principes de Pat : P22</t>
        </r>
      </text>
    </comment>
    <comment ref="AK70" authorId="0">
      <text>
        <r>
          <rPr>
            <sz val="10"/>
            <rFont val="Arial"/>
            <family val="2"/>
          </rPr>
          <t xml:space="preserve">1/5 — pas bon du tout
Vin sec face au sucre du dessert : il paraît amer et maigre (P22).
Principes de Pat : P22</t>
        </r>
      </text>
    </comment>
    <comment ref="AK71" authorId="0">
      <text>
        <r>
          <rPr>
            <sz val="10"/>
            <rFont val="Arial"/>
            <family val="2"/>
          </rPr>
          <t xml:space="preserve">1/5 — pas bon du tout
Vin sec face au sucre du dessert : il paraît amer et maigre (P22).
Principes de Pat : P22</t>
        </r>
      </text>
    </comment>
    <comment ref="AK73" authorId="0">
      <text>
        <r>
          <rPr>
            <sz val="10"/>
            <rFont val="Arial"/>
            <family val="2"/>
          </rPr>
          <t xml:space="preserve">1/5 — pas bon du tout
Vin sec face au sucre du dessert : il paraît amer et maigre (P22).
Principes de Pat : P22</t>
        </r>
      </text>
    </comment>
    <comment ref="AK74" authorId="0">
      <text>
        <r>
          <rPr>
            <sz val="10"/>
            <rFont val="Arial"/>
            <family val="2"/>
          </rPr>
          <t xml:space="preserve">1/5 — pas bon du tout
Vin sec face au sucre du dessert : il paraît amer et maigre (P22).
Principes de Pat : P22</t>
        </r>
      </text>
    </comment>
    <comment ref="AK75" authorId="0">
      <text>
        <r>
          <rPr>
            <sz val="10"/>
            <rFont val="Arial"/>
            <family val="2"/>
          </rPr>
          <t xml:space="preserve">1/5 — pas bon du tout
Vin sec face au sucre du dessert : il paraît amer et maigre (P22).
Principes de Pat : P22</t>
        </r>
      </text>
    </comment>
    <comment ref="AK76" authorId="0">
      <text>
        <r>
          <rPr>
            <sz val="10"/>
            <rFont val="Arial"/>
            <family val="2"/>
          </rPr>
          <t xml:space="preserve">1/5 — pas bon du tout
Vin sec face au sucre du dessert : il paraît amer et maigre (P22).
Principes de Pat : P22</t>
        </r>
      </text>
    </comment>
    <comment ref="AK77" authorId="0">
      <text>
        <r>
          <rPr>
            <sz val="10"/>
            <rFont val="Arial"/>
            <family val="2"/>
          </rPr>
          <t xml:space="preserve">1/5 — pas bon du tout
Vin sec face au sucre du dessert : il paraît amer et maigre (P22).
Principes de Pat : P22</t>
        </r>
      </text>
    </comment>
    <comment ref="AK78" authorId="0">
      <text>
        <r>
          <rPr>
            <sz val="10"/>
            <rFont val="Arial"/>
            <family val="2"/>
          </rPr>
          <t xml:space="preserve">1/5 — pas bon du tout
Vin sec face au sucre du dessert : il paraît amer et maigre (P22).
Principes de Pat : P22</t>
        </r>
      </text>
    </comment>
    <comment ref="AK79" authorId="0">
      <text>
        <r>
          <rPr>
            <sz val="10"/>
            <rFont val="Arial"/>
            <family val="2"/>
          </rPr>
          <t xml:space="preserve">1/5 — pas bon du tout
Vin sec face au sucre du dessert : il paraît amer et maigre (P22).
Principes de Pat : P22</t>
        </r>
      </text>
    </comment>
    <comment ref="AK81" authorId="0">
      <text>
        <r>
          <rPr>
            <sz val="10"/>
            <rFont val="Arial"/>
            <family val="2"/>
          </rPr>
          <t xml:space="preserve">4/5 — très bon
Sucre au niveau de la crème anglaise, notes de miel proches des amandes caramélisées ; un peu riche pour la meringue (P22, P25, P20).
Principes de Pat : P22, P25, P20</t>
        </r>
      </text>
    </comment>
    <comment ref="AL7" authorId="0">
      <text>
        <r>
          <rPr>
            <sz val="10"/>
            <rFont val="Arial"/>
            <family val="2"/>
          </rPr>
          <t xml:space="preserve">1/5 — pas bon du tout
Vin sec face au sucre du dessert : il paraît amer et maigre (P22).
Principes de Pat : P22</t>
        </r>
      </text>
    </comment>
    <comment ref="AL8" authorId="0">
      <text>
        <r>
          <rPr>
            <sz val="10"/>
            <rFont val="Arial"/>
            <family val="2"/>
          </rPr>
          <t xml:space="preserve">1/5 — pas bon du tout
Vin sec face au sucre du dessert : il paraît amer et maigre (P22).
Principes de Pat : P22</t>
        </r>
      </text>
    </comment>
    <comment ref="AL9" authorId="0">
      <text>
        <r>
          <rPr>
            <sz val="10"/>
            <rFont val="Arial"/>
            <family val="2"/>
          </rPr>
          <t xml:space="preserve">1/5 — pas bon du tout
Vin sec face au sucre du dessert : il paraît amer et maigre (P22).
Principes de Pat : P22</t>
        </r>
      </text>
    </comment>
    <comment ref="AL10" authorId="0">
      <text>
        <r>
          <rPr>
            <sz val="10"/>
            <rFont val="Arial"/>
            <family val="2"/>
          </rPr>
          <t xml:space="preserve">1/5 — pas bon du tout
Vin sec face au sucre du dessert : il paraît amer et maigre (P22).
Principes de Pat : P22</t>
        </r>
      </text>
    </comment>
    <comment ref="AL11" authorId="0">
      <text>
        <r>
          <rPr>
            <sz val="10"/>
            <rFont val="Arial"/>
            <family val="2"/>
          </rPr>
          <t xml:space="preserve">1/5 — pas bon du tout
Vin sec face au sucre du dessert : il paraît amer et maigre (P22).
Principes de Pat : P22</t>
        </r>
      </text>
    </comment>
    <comment ref="AL12" authorId="0">
      <text>
        <r>
          <rPr>
            <sz val="10"/>
            <rFont val="Arial"/>
            <family val="2"/>
          </rPr>
          <t xml:space="preserve">1/5 — pas bon du tout
Vin sec face au sucre du dessert : il paraît amer et maigre (P22).
Principes de Pat : P22</t>
        </r>
      </text>
    </comment>
    <comment ref="AL13" authorId="0">
      <text>
        <r>
          <rPr>
            <sz val="10"/>
            <rFont val="Arial"/>
            <family val="2"/>
          </rPr>
          <t xml:space="preserve">1/5 — pas bon du tout
Vin sec face au sucre du dessert : il paraît amer et maigre (P22).
Principes de Pat : P22</t>
        </r>
      </text>
    </comment>
    <comment ref="AL14" authorId="0">
      <text>
        <r>
          <rPr>
            <sz val="10"/>
            <rFont val="Arial"/>
            <family val="2"/>
          </rPr>
          <t xml:space="preserve">1/5 — pas bon du tout
Vin sec face au sucre du dessert : il paraît amer et maigre (P22).
Principes de Pat : P22</t>
        </r>
      </text>
    </comment>
    <comment ref="AL15" authorId="0">
      <text>
        <r>
          <rPr>
            <sz val="10"/>
            <rFont val="Arial"/>
            <family val="2"/>
          </rPr>
          <t xml:space="preserve">1/5 — pas bon du tout
Vin sec face au sucre du dessert : il paraît amer et maigre (P22).
Principes de Pat : P22</t>
        </r>
      </text>
    </comment>
    <comment ref="AL16" authorId="0">
      <text>
        <r>
          <rPr>
            <sz val="10"/>
            <rFont val="Arial"/>
            <family val="2"/>
          </rPr>
          <t xml:space="preserve">1/5 — pas bon du tout
Vin sec face au sucre du dessert : il paraît amer et maigre (P22).
Principes de Pat : P22</t>
        </r>
      </text>
    </comment>
    <comment ref="AL17" authorId="0">
      <text>
        <r>
          <rPr>
            <sz val="10"/>
            <rFont val="Arial"/>
            <family val="2"/>
          </rPr>
          <t xml:space="preserve">1/5 — pas bon du tout
Vin sec face au sucre du dessert : il paraît amer et maigre (P22).
Principes de Pat : P22</t>
        </r>
      </text>
    </comment>
    <comment ref="AL18" authorId="0">
      <text>
        <r>
          <rPr>
            <sz val="10"/>
            <rFont val="Arial"/>
            <family val="2"/>
          </rPr>
          <t xml:space="preserve">1/5 — pas bon du tout
Vin sec face au sucre du dessert : il paraît amer et maigre (P22).
Principes de Pat : P22</t>
        </r>
      </text>
    </comment>
    <comment ref="AL19" authorId="0">
      <text>
        <r>
          <rPr>
            <sz val="10"/>
            <rFont val="Arial"/>
            <family val="2"/>
          </rPr>
          <t xml:space="preserve">1/5 — pas bon du tout
Vin sec face au sucre du dessert : il paraît amer et maigre (P22).
Principes de Pat : P22</t>
        </r>
      </text>
    </comment>
    <comment ref="AL20" authorId="0">
      <text>
        <r>
          <rPr>
            <sz val="10"/>
            <rFont val="Arial"/>
            <family val="2"/>
          </rPr>
          <t xml:space="preserve">1/5 — pas bon du tout
Vin sec face au sucre du dessert : il paraît amer et maigre (P22).
Principes de Pat : P22</t>
        </r>
      </text>
    </comment>
    <comment ref="AL21" authorId="0">
      <text>
        <r>
          <rPr>
            <sz val="10"/>
            <rFont val="Arial"/>
            <family val="2"/>
          </rPr>
          <t xml:space="preserve">1/5 — pas bon du tout
Vin sec face au sucre du dessert : il paraît amer et maigre (P22).
Principes de Pat : P22</t>
        </r>
      </text>
    </comment>
    <comment ref="AL22" authorId="0">
      <text>
        <r>
          <rPr>
            <sz val="10"/>
            <rFont val="Arial"/>
            <family val="2"/>
          </rPr>
          <t xml:space="preserve">1/5 — pas bon du tout
Vin sec face au sucre du dessert : il paraît amer et maigre (P22).
Principes de Pat : P22</t>
        </r>
      </text>
    </comment>
    <comment ref="AL23" authorId="0">
      <text>
        <r>
          <rPr>
            <sz val="10"/>
            <rFont val="Arial"/>
            <family val="2"/>
          </rPr>
          <t xml:space="preserve">1/5 — pas bon du tout
Vin sec face au sucre du dessert : il paraît amer et maigre (P22).
Principes de Pat : P22</t>
        </r>
      </text>
    </comment>
    <comment ref="AL24" authorId="0">
      <text>
        <r>
          <rPr>
            <sz val="10"/>
            <rFont val="Arial"/>
            <family val="2"/>
          </rPr>
          <t xml:space="preserve">1/5 — pas bon du tout
Vin sec face au sucre du dessert : il paraît amer et maigre (P22).
Principes de Pat : P22</t>
        </r>
      </text>
    </comment>
    <comment ref="AL25" authorId="0">
      <text>
        <r>
          <rPr>
            <sz val="10"/>
            <rFont val="Arial"/>
            <family val="2"/>
          </rPr>
          <t xml:space="preserve">1/5 — pas bon du tout
Vin sec face au sucre du dessert : il paraît amer et maigre (P22).
Principes de Pat : P22</t>
        </r>
      </text>
    </comment>
    <comment ref="AL26" authorId="0">
      <text>
        <r>
          <rPr>
            <sz val="10"/>
            <rFont val="Arial"/>
            <family val="2"/>
          </rPr>
          <t xml:space="preserve">1/5 — pas bon du tout
Vin sec face au sucre du dessert : il paraît amer et maigre (P22).
Principes de Pat : P22</t>
        </r>
      </text>
    </comment>
    <comment ref="AL27" authorId="0">
      <text>
        <r>
          <rPr>
            <sz val="10"/>
            <rFont val="Arial"/>
            <family val="2"/>
          </rPr>
          <t xml:space="preserve">1/5 — pas bon du tout
Vin sec face au sucre du dessert : il paraît amer et maigre (P22).
Principes de Pat : P22</t>
        </r>
      </text>
    </comment>
    <comment ref="AL29" authorId="0">
      <text>
        <r>
          <rPr>
            <sz val="10"/>
            <rFont val="Arial"/>
            <family val="2"/>
          </rPr>
          <t xml:space="preserve">1/5 — pas bon du tout
Vin sec face au sucre du dessert : il paraît amer et maigre (P22).
Principes de Pat : P22</t>
        </r>
      </text>
    </comment>
    <comment ref="AL30" authorId="0">
      <text>
        <r>
          <rPr>
            <sz val="10"/>
            <rFont val="Arial"/>
            <family val="2"/>
          </rPr>
          <t xml:space="preserve">1/5 — pas bon du tout
Vin sec face au sucre du dessert : il paraît amer et maigre (P22).
Principes de Pat : P22</t>
        </r>
      </text>
    </comment>
    <comment ref="AL31" authorId="0">
      <text>
        <r>
          <rPr>
            <sz val="10"/>
            <rFont val="Arial"/>
            <family val="2"/>
          </rPr>
          <t xml:space="preserve">1/5 — pas bon du tout
Vin sec face au sucre du dessert : il paraît amer et maigre (P22).
Principes de Pat : P22</t>
        </r>
      </text>
    </comment>
    <comment ref="AL32" authorId="0">
      <text>
        <r>
          <rPr>
            <sz val="10"/>
            <rFont val="Arial"/>
            <family val="2"/>
          </rPr>
          <t xml:space="preserve">1/5 — pas bon du tout
Vin sec face au sucre du dessert : il paraît amer et maigre (P22).
Principes de Pat : P22</t>
        </r>
      </text>
    </comment>
    <comment ref="AL33" authorId="0">
      <text>
        <r>
          <rPr>
            <sz val="10"/>
            <rFont val="Arial"/>
            <family val="2"/>
          </rPr>
          <t xml:space="preserve">1/5 — pas bon du tout
Vin sec face au sucre du dessert : il paraît amer et maigre (P22).
Principes de Pat : P22</t>
        </r>
      </text>
    </comment>
    <comment ref="AL34" authorId="0">
      <text>
        <r>
          <rPr>
            <sz val="10"/>
            <rFont val="Arial"/>
            <family val="2"/>
          </rPr>
          <t xml:space="preserve">1/5 — pas bon du tout
Vin sec face au sucre du dessert : il paraît amer et maigre (P22).
Principes de Pat : P22</t>
        </r>
      </text>
    </comment>
    <comment ref="AL35" authorId="0">
      <text>
        <r>
          <rPr>
            <sz val="10"/>
            <rFont val="Arial"/>
            <family val="2"/>
          </rPr>
          <t xml:space="preserve">1/5 — pas bon du tout
Vin sec face au sucre du dessert : il paraît amer et maigre (P22).
Principes de Pat : P22</t>
        </r>
      </text>
    </comment>
    <comment ref="AL36" authorId="0">
      <text>
        <r>
          <rPr>
            <sz val="10"/>
            <rFont val="Arial"/>
            <family val="2"/>
          </rPr>
          <t xml:space="preserve">1/5 — pas bon du tout
Vin sec face au sucre du dessert : il paraît amer et maigre (P22).
Principes de Pat : P22</t>
        </r>
      </text>
    </comment>
    <comment ref="AL37" authorId="0">
      <text>
        <r>
          <rPr>
            <sz val="10"/>
            <rFont val="Arial"/>
            <family val="2"/>
          </rPr>
          <t xml:space="preserve">1/5 — pas bon du tout
Vin sec face au sucre du dessert : il paraît amer et maigre (P22).
Principes de Pat : P22</t>
        </r>
      </text>
    </comment>
    <comment ref="AL38" authorId="0">
      <text>
        <r>
          <rPr>
            <sz val="10"/>
            <rFont val="Arial"/>
            <family val="2"/>
          </rPr>
          <t xml:space="preserve">1/5 — pas bon du tout
Vin sec face au sucre du dessert : il paraît amer et maigre (P22).
Principes de Pat : P22</t>
        </r>
      </text>
    </comment>
    <comment ref="AL39" authorId="0">
      <text>
        <r>
          <rPr>
            <sz val="10"/>
            <rFont val="Arial"/>
            <family val="2"/>
          </rPr>
          <t xml:space="preserve">1/5 — pas bon du tout
Vin sec face au sucre du dessert : il paraît amer et maigre (P22).
Principes de Pat : P22</t>
        </r>
      </text>
    </comment>
    <comment ref="AL40" authorId="0">
      <text>
        <r>
          <rPr>
            <sz val="10"/>
            <rFont val="Arial"/>
            <family val="2"/>
          </rPr>
          <t xml:space="preserve">1/5 — pas bon du tout
Vin sec face au sucre du dessert : il paraît amer et maigre (P22).
Principes de Pat : P22</t>
        </r>
      </text>
    </comment>
    <comment ref="AL41" authorId="0">
      <text>
        <r>
          <rPr>
            <sz val="10"/>
            <rFont val="Arial"/>
            <family val="2"/>
          </rPr>
          <t xml:space="preserve">1/5 — pas bon du tout
Vin sec face au sucre du dessert : il paraît amer et maigre (P22).
Principes de Pat : P22</t>
        </r>
      </text>
    </comment>
    <comment ref="AL42" authorId="0">
      <text>
        <r>
          <rPr>
            <sz val="10"/>
            <rFont val="Arial"/>
            <family val="2"/>
          </rPr>
          <t xml:space="preserve">1/5 — pas bon du tout
Vin sec face au sucre du dessert : il paraît amer et maigre (P22).
Principes de Pat : P22</t>
        </r>
      </text>
    </comment>
    <comment ref="AL43" authorId="0">
      <text>
        <r>
          <rPr>
            <sz val="10"/>
            <rFont val="Arial"/>
            <family val="2"/>
          </rPr>
          <t xml:space="preserve">1/5 — pas bon du tout
Vin sec face au sucre du dessert : il paraît amer et maigre (P22).
Principes de Pat : P22</t>
        </r>
      </text>
    </comment>
    <comment ref="AL44" authorId="0">
      <text>
        <r>
          <rPr>
            <sz val="10"/>
            <rFont val="Arial"/>
            <family val="2"/>
          </rPr>
          <t xml:space="preserve">1/5 — pas bon du tout
Vin sec face au sucre du dessert : il paraît amer et maigre (P22).
Principes de Pat : P22</t>
        </r>
      </text>
    </comment>
    <comment ref="AL45" authorId="0">
      <text>
        <r>
          <rPr>
            <sz val="10"/>
            <rFont val="Arial"/>
            <family val="2"/>
          </rPr>
          <t xml:space="preserve">1/5 — pas bon du tout
Vin sec face au sucre du dessert : il paraît amer et maigre (P22).
Principes de Pat : P22</t>
        </r>
      </text>
    </comment>
    <comment ref="AL46" authorId="0">
      <text>
        <r>
          <rPr>
            <sz val="10"/>
            <rFont val="Arial"/>
            <family val="2"/>
          </rPr>
          <t xml:space="preserve">1/5 — pas bon du tout
Vin sec face au sucre du dessert : il paraît amer et maigre (P22).
Principes de Pat : P22</t>
        </r>
      </text>
    </comment>
    <comment ref="AL47" authorId="0">
      <text>
        <r>
          <rPr>
            <sz val="10"/>
            <rFont val="Arial"/>
            <family val="2"/>
          </rPr>
          <t xml:space="preserve">1/5 — pas bon du tout
Vin sec face au sucre du dessert : il paraît amer et maigre (P22).
Principes de Pat : P22</t>
        </r>
      </text>
    </comment>
    <comment ref="AL48" authorId="0">
      <text>
        <r>
          <rPr>
            <sz val="10"/>
            <rFont val="Arial"/>
            <family val="2"/>
          </rPr>
          <t xml:space="preserve">1/5 — pas bon du tout
Vin sec face au sucre du dessert : il paraît amer et maigre (P22).
Principes de Pat : P22</t>
        </r>
      </text>
    </comment>
    <comment ref="AL49" authorId="0">
      <text>
        <r>
          <rPr>
            <sz val="10"/>
            <rFont val="Arial"/>
            <family val="2"/>
          </rPr>
          <t xml:space="preserve">1/5 — pas bon du tout
Vin sec face au sucre du dessert : il paraît amer et maigre (P22).
Principes de Pat : P22</t>
        </r>
      </text>
    </comment>
    <comment ref="AL50" authorId="0">
      <text>
        <r>
          <rPr>
            <sz val="10"/>
            <rFont val="Arial"/>
            <family val="2"/>
          </rPr>
          <t xml:space="preserve">1/5 — pas bon du tout
Vin sec face au sucre du dessert : il paraît amer et maigre (P22).
Principes de Pat : P22</t>
        </r>
      </text>
    </comment>
    <comment ref="AL51" authorId="0">
      <text>
        <r>
          <rPr>
            <sz val="10"/>
            <rFont val="Arial"/>
            <family val="2"/>
          </rPr>
          <t xml:space="preserve">1/5 — pas bon du tout
Vin sec face au sucre du dessert : il paraît amer et maigre (P22).
Principes de Pat : P22</t>
        </r>
      </text>
    </comment>
    <comment ref="AL52" authorId="0">
      <text>
        <r>
          <rPr>
            <sz val="10"/>
            <rFont val="Arial"/>
            <family val="2"/>
          </rPr>
          <t xml:space="preserve">1/5 — pas bon du tout
Vin sec face au sucre du dessert : il paraît amer et maigre (P22).
Principes de Pat : P22</t>
        </r>
      </text>
    </comment>
    <comment ref="AL53" authorId="0">
      <text>
        <r>
          <rPr>
            <sz val="10"/>
            <rFont val="Arial"/>
            <family val="2"/>
          </rPr>
          <t xml:space="preserve">1/5 — pas bon du tout
Vin sec face au sucre du dessert : il paraît amer et maigre (P22).
Principes de Pat : P22</t>
        </r>
      </text>
    </comment>
    <comment ref="AL54" authorId="0">
      <text>
        <r>
          <rPr>
            <sz val="10"/>
            <rFont val="Arial"/>
            <family val="2"/>
          </rPr>
          <t xml:space="preserve">1/5 — pas bon du tout
Vin sec face au sucre du dessert : il paraît amer et maigre (P22).
Principes de Pat : P22</t>
        </r>
      </text>
    </comment>
    <comment ref="AL55" authorId="0">
      <text>
        <r>
          <rPr>
            <sz val="10"/>
            <rFont val="Arial"/>
            <family val="2"/>
          </rPr>
          <t xml:space="preserve">1/5 — pas bon du tout
Vin sec face au sucre du dessert : il paraît amer et maigre (P22).
Principes de Pat : P22</t>
        </r>
      </text>
    </comment>
    <comment ref="AL56" authorId="0">
      <text>
        <r>
          <rPr>
            <sz val="10"/>
            <rFont val="Arial"/>
            <family val="2"/>
          </rPr>
          <t xml:space="preserve">1/5 — pas bon du tout
Vin sec face au sucre du dessert : il paraît amer et maigre (P22).
Principes de Pat : P22</t>
        </r>
      </text>
    </comment>
    <comment ref="AL57" authorId="0">
      <text>
        <r>
          <rPr>
            <sz val="10"/>
            <rFont val="Arial"/>
            <family val="2"/>
          </rPr>
          <t xml:space="preserve">1/5 — pas bon du tout
Vin sec face au sucre du dessert : il paraît amer et maigre (P22).
Principes de Pat : P22</t>
        </r>
      </text>
    </comment>
    <comment ref="AL58" authorId="0">
      <text>
        <r>
          <rPr>
            <sz val="10"/>
            <rFont val="Arial"/>
            <family val="2"/>
          </rPr>
          <t xml:space="preserve">1/5 — pas bon du tout
Vin sec face au sucre du dessert : il paraît amer et maigre (P22).
Principes de Pat : P22</t>
        </r>
      </text>
    </comment>
    <comment ref="AL59" authorId="0">
      <text>
        <r>
          <rPr>
            <sz val="10"/>
            <rFont val="Arial"/>
            <family val="2"/>
          </rPr>
          <t xml:space="preserve">1/5 — pas bon du tout
Vin sec face au sucre du dessert : il paraît amer et maigre (P22).
Principes de Pat : P22</t>
        </r>
      </text>
    </comment>
    <comment ref="AL60" authorId="0">
      <text>
        <r>
          <rPr>
            <sz val="10"/>
            <rFont val="Arial"/>
            <family val="2"/>
          </rPr>
          <t xml:space="preserve">1/5 — pas bon du tout
Vin sec face au sucre du dessert : il paraît amer et maigre (P22).
Principes de Pat : P22</t>
        </r>
      </text>
    </comment>
    <comment ref="AL61" authorId="0">
      <text>
        <r>
          <rPr>
            <sz val="10"/>
            <rFont val="Arial"/>
            <family val="2"/>
          </rPr>
          <t xml:space="preserve">1/5 — pas bon du tout
Vin sec face au sucre du dessert : il paraît amer et maigre (P22).
Principes de Pat : P22</t>
        </r>
      </text>
    </comment>
    <comment ref="AL62" authorId="0">
      <text>
        <r>
          <rPr>
            <sz val="10"/>
            <rFont val="Arial"/>
            <family val="2"/>
          </rPr>
          <t xml:space="preserve">1/5 — pas bon du tout
Vin sec face au sucre du dessert : il paraît amer et maigre (P22).
Principes de Pat : P22</t>
        </r>
      </text>
    </comment>
    <comment ref="AL63" authorId="0">
      <text>
        <r>
          <rPr>
            <sz val="10"/>
            <rFont val="Arial"/>
            <family val="2"/>
          </rPr>
          <t xml:space="preserve">1/5 — pas bon du tout
Vin sec face au sucre du dessert : il paraît amer et maigre (P22).
Principes de Pat : P22</t>
        </r>
      </text>
    </comment>
    <comment ref="AL64" authorId="0">
      <text>
        <r>
          <rPr>
            <sz val="10"/>
            <rFont val="Arial"/>
            <family val="2"/>
          </rPr>
          <t xml:space="preserve">1/5 — pas bon du tout
Vin sec face au sucre du dessert : il paraît amer et maigre (P22).
Principes de Pat : P22</t>
        </r>
      </text>
    </comment>
    <comment ref="AL65" authorId="0">
      <text>
        <r>
          <rPr>
            <sz val="10"/>
            <rFont val="Arial"/>
            <family val="2"/>
          </rPr>
          <t xml:space="preserve">1/5 — pas bon du tout
Vin sec face au sucre du dessert : il paraît amer et maigre (P22).
Principes de Pat : P22</t>
        </r>
      </text>
    </comment>
    <comment ref="AL66" authorId="0">
      <text>
        <r>
          <rPr>
            <sz val="10"/>
            <rFont val="Arial"/>
            <family val="2"/>
          </rPr>
          <t xml:space="preserve">1/5 — pas bon du tout
Vin sec face au sucre du dessert : il paraît amer et maigre (P22).
Principes de Pat : P22</t>
        </r>
      </text>
    </comment>
    <comment ref="AL67" authorId="0">
      <text>
        <r>
          <rPr>
            <sz val="10"/>
            <rFont val="Arial"/>
            <family val="2"/>
          </rPr>
          <t xml:space="preserve">1/5 — pas bon du tout
Vin sec face au sucre du dessert : il paraît amer et maigre (P22).
Principes de Pat : P22</t>
        </r>
      </text>
    </comment>
    <comment ref="AL68" authorId="0">
      <text>
        <r>
          <rPr>
            <sz val="10"/>
            <rFont val="Arial"/>
            <family val="2"/>
          </rPr>
          <t xml:space="preserve">1/5 — pas bon du tout
Vin sec face au sucre du dessert : il paraît amer et maigre (P22).
Principes de Pat : P22</t>
        </r>
      </text>
    </comment>
    <comment ref="AL70" authorId="0">
      <text>
        <r>
          <rPr>
            <sz val="10"/>
            <rFont val="Arial"/>
            <family val="2"/>
          </rPr>
          <t xml:space="preserve">1/5 — pas bon du tout
Vin sec face au sucre du dessert : il paraît amer et maigre (P22).
Principes de Pat : P22</t>
        </r>
      </text>
    </comment>
    <comment ref="AL71" authorId="0">
      <text>
        <r>
          <rPr>
            <sz val="10"/>
            <rFont val="Arial"/>
            <family val="2"/>
          </rPr>
          <t xml:space="preserve">1/5 — pas bon du tout
Vin sec face au sucre du dessert : il paraît amer et maigre (P22).
Principes de Pat : P22</t>
        </r>
      </text>
    </comment>
    <comment ref="AL73" authorId="0">
      <text>
        <r>
          <rPr>
            <sz val="10"/>
            <rFont val="Arial"/>
            <family val="2"/>
          </rPr>
          <t xml:space="preserve">1/5 — pas bon du tout
Vin sec face au sucre du dessert : il paraît amer et maigre (P22).
Principes de Pat : P22</t>
        </r>
      </text>
    </comment>
    <comment ref="AL74" authorId="0">
      <text>
        <r>
          <rPr>
            <sz val="10"/>
            <rFont val="Arial"/>
            <family val="2"/>
          </rPr>
          <t xml:space="preserve">1/5 — pas bon du tout
Vin sec face au sucre du dessert : il paraît amer et maigre (P22).
Principes de Pat : P22</t>
        </r>
      </text>
    </comment>
    <comment ref="AL75" authorId="0">
      <text>
        <r>
          <rPr>
            <sz val="10"/>
            <rFont val="Arial"/>
            <family val="2"/>
          </rPr>
          <t xml:space="preserve">1/5 — pas bon du tout
Vin sec face au sucre du dessert : il paraît amer et maigre (P22).
Principes de Pat : P22</t>
        </r>
      </text>
    </comment>
    <comment ref="AL76" authorId="0">
      <text>
        <r>
          <rPr>
            <sz val="10"/>
            <rFont val="Arial"/>
            <family val="2"/>
          </rPr>
          <t xml:space="preserve">1/5 — pas bon du tout
Vin sec face au sucre du dessert : il paraît amer et maigre (P22).
Principes de Pat : P22</t>
        </r>
      </text>
    </comment>
    <comment ref="AL77" authorId="0">
      <text>
        <r>
          <rPr>
            <sz val="10"/>
            <rFont val="Arial"/>
            <family val="2"/>
          </rPr>
          <t xml:space="preserve">1/5 — pas bon du tout
Vin sec face au sucre du dessert : il paraît amer et maigre (P22).
Principes de Pat : P22</t>
        </r>
      </text>
    </comment>
    <comment ref="AL78" authorId="0">
      <text>
        <r>
          <rPr>
            <sz val="10"/>
            <rFont val="Arial"/>
            <family val="2"/>
          </rPr>
          <t xml:space="preserve">1/5 — pas bon du tout
Vin sec face au sucre du dessert : il paraît amer et maigre (P22).
Principes de Pat : P22</t>
        </r>
      </text>
    </comment>
    <comment ref="AL79" authorId="0">
      <text>
        <r>
          <rPr>
            <sz val="10"/>
            <rFont val="Arial"/>
            <family val="2"/>
          </rPr>
          <t xml:space="preserve">1/5 — pas bon du tout
Vin sec face au sucre du dessert : il paraît amer et maigre (P22).
Principes de Pat : P22</t>
        </r>
      </text>
    </comment>
    <comment ref="AL81" authorId="0">
      <text>
        <r>
          <rPr>
            <sz val="10"/>
            <rFont val="Arial"/>
            <family val="2"/>
          </rPr>
          <t xml:space="preserve">4/5 — très bon
Sucre et richesse pour la pomme caramélisée ; acidité un peu juste face au fruit (P22, P14, P23).
Principes de Pat : P22, P14, P23</t>
        </r>
      </text>
    </comment>
    <comment ref="AM7" authorId="0">
      <text>
        <r>
          <rPr>
            <sz val="10"/>
            <rFont val="Arial"/>
            <family val="2"/>
          </rPr>
          <t xml:space="preserve">1/5 — pas bon du tout
Vin sec face au sucre du dessert : il paraît amer et maigre (P22, P15).
Principes de Pat : P22, P15</t>
        </r>
      </text>
    </comment>
    <comment ref="AM8" authorId="0">
      <text>
        <r>
          <rPr>
            <sz val="10"/>
            <rFont val="Arial"/>
            <family val="2"/>
          </rPr>
          <t xml:space="preserve">1/5 — pas bon du tout
Vin sec face au sucre du dessert : il paraît amer et maigre (P22, P15).
Principes de Pat : P22, P15</t>
        </r>
      </text>
    </comment>
    <comment ref="AM9" authorId="0">
      <text>
        <r>
          <rPr>
            <sz val="10"/>
            <rFont val="Arial"/>
            <family val="2"/>
          </rPr>
          <t xml:space="preserve">1/5 — pas bon du tout
Vin sec face au sucre du dessert : il paraît amer et maigre (P22, P15).
Principes de Pat : P22, P15</t>
        </r>
      </text>
    </comment>
    <comment ref="AM10" authorId="0">
      <text>
        <r>
          <rPr>
            <sz val="10"/>
            <rFont val="Arial"/>
            <family val="2"/>
          </rPr>
          <t xml:space="preserve">1/5 — pas bon du tout
Vin sec face au sucre du dessert : il paraît amer et maigre (P22, P15).
Principes de Pat : P22, P15</t>
        </r>
      </text>
    </comment>
    <comment ref="AM11" authorId="0">
      <text>
        <r>
          <rPr>
            <sz val="10"/>
            <rFont val="Arial"/>
            <family val="2"/>
          </rPr>
          <t xml:space="preserve">1/5 — pas bon du tout
Vin sec face au sucre du dessert : il paraît amer et maigre (P22, P15).
Principes de Pat : P22, P15</t>
        </r>
      </text>
    </comment>
    <comment ref="AM12" authorId="0">
      <text>
        <r>
          <rPr>
            <sz val="10"/>
            <rFont val="Arial"/>
            <family val="2"/>
          </rPr>
          <t xml:space="preserve">1/5 — pas bon du tout
Vin sec face au sucre du dessert : il paraît amer et maigre (P22, P15).
Principes de Pat : P22, P15</t>
        </r>
      </text>
    </comment>
    <comment ref="AM13" authorId="0">
      <text>
        <r>
          <rPr>
            <sz val="10"/>
            <rFont val="Arial"/>
            <family val="2"/>
          </rPr>
          <t xml:space="preserve">1/5 — pas bon du tout
Vin sec face au sucre du dessert : il paraît amer et maigre (P22, P15).
Principes de Pat : P22, P15</t>
        </r>
      </text>
    </comment>
    <comment ref="AM14" authorId="0">
      <text>
        <r>
          <rPr>
            <sz val="10"/>
            <rFont val="Arial"/>
            <family val="2"/>
          </rPr>
          <t xml:space="preserve">1/5 — pas bon du tout
Vin sec face au sucre du dessert : il paraît amer et maigre (P22, P15).
Principes de Pat : P22, P15</t>
        </r>
      </text>
    </comment>
    <comment ref="AM15" authorId="0">
      <text>
        <r>
          <rPr>
            <sz val="10"/>
            <rFont val="Arial"/>
            <family val="2"/>
          </rPr>
          <t xml:space="preserve">1/5 — pas bon du tout
Vin sec face au sucre du dessert : il paraît amer et maigre (P22, P15).
Principes de Pat : P22, P15</t>
        </r>
      </text>
    </comment>
    <comment ref="AM16" authorId="0">
      <text>
        <r>
          <rPr>
            <sz val="10"/>
            <rFont val="Arial"/>
            <family val="2"/>
          </rPr>
          <t xml:space="preserve">1/5 — pas bon du tout
Vin sec face au sucre du dessert : il paraît amer et maigre (P22, P15).
Principes de Pat : P22, P15</t>
        </r>
      </text>
    </comment>
    <comment ref="AM17" authorId="0">
      <text>
        <r>
          <rPr>
            <sz val="10"/>
            <rFont val="Arial"/>
            <family val="2"/>
          </rPr>
          <t xml:space="preserve">1/5 — pas bon du tout
Vin sec face au sucre du dessert : il paraît amer et maigre (P22, P15).
Principes de Pat : P22, P15</t>
        </r>
      </text>
    </comment>
    <comment ref="AM18" authorId="0">
      <text>
        <r>
          <rPr>
            <sz val="10"/>
            <rFont val="Arial"/>
            <family val="2"/>
          </rPr>
          <t xml:space="preserve">1/5 — pas bon du tout
Vin sec face au sucre du dessert : il paraît amer et maigre (P22, P15).
Principes de Pat : P22, P15</t>
        </r>
      </text>
    </comment>
    <comment ref="AM19" authorId="0">
      <text>
        <r>
          <rPr>
            <sz val="10"/>
            <rFont val="Arial"/>
            <family val="2"/>
          </rPr>
          <t xml:space="preserve">1/5 — pas bon du tout
Vin sec face au sucre du dessert : il paraît amer et maigre (P22, P15).
Principes de Pat : P22, P15</t>
        </r>
      </text>
    </comment>
    <comment ref="AM20" authorId="0">
      <text>
        <r>
          <rPr>
            <sz val="10"/>
            <rFont val="Arial"/>
            <family val="2"/>
          </rPr>
          <t xml:space="preserve">1/5 — pas bon du tout
Vin sec face au sucre du dessert : il paraît amer et maigre (P22, P15).
Principes de Pat : P22, P15</t>
        </r>
      </text>
    </comment>
    <comment ref="AM21" authorId="0">
      <text>
        <r>
          <rPr>
            <sz val="10"/>
            <rFont val="Arial"/>
            <family val="2"/>
          </rPr>
          <t xml:space="preserve">1/5 — pas bon du tout
Vin sec face au sucre du dessert : il paraît amer et maigre (P22, P15).
Principes de Pat : P22, P15</t>
        </r>
      </text>
    </comment>
    <comment ref="AM22" authorId="0">
      <text>
        <r>
          <rPr>
            <sz val="10"/>
            <rFont val="Arial"/>
            <family val="2"/>
          </rPr>
          <t xml:space="preserve">1/5 — pas bon du tout
Vin sec face au sucre du dessert : il paraît amer et maigre (P22, P15).
Principes de Pat : P22, P15</t>
        </r>
      </text>
    </comment>
    <comment ref="AM23" authorId="0">
      <text>
        <r>
          <rPr>
            <sz val="10"/>
            <rFont val="Arial"/>
            <family val="2"/>
          </rPr>
          <t xml:space="preserve">1/5 — pas bon du tout
Vin sec face au sucre du dessert : il paraît amer et maigre (P22, P15).
Principes de Pat : P22, P15</t>
        </r>
      </text>
    </comment>
    <comment ref="AM24" authorId="0">
      <text>
        <r>
          <rPr>
            <sz val="10"/>
            <rFont val="Arial"/>
            <family val="2"/>
          </rPr>
          <t xml:space="preserve">1/5 — pas bon du tout
Vin sec face au sucre du dessert : il paraît amer et maigre (P22, P15).
Principes de Pat : P22, P15</t>
        </r>
      </text>
    </comment>
    <comment ref="AM25" authorId="0">
      <text>
        <r>
          <rPr>
            <sz val="10"/>
            <rFont val="Arial"/>
            <family val="2"/>
          </rPr>
          <t xml:space="preserve">1/5 — pas bon du tout
Vin sec face au sucre du dessert : il paraît amer et maigre (P22, P15).
Principes de Pat : P22, P15</t>
        </r>
      </text>
    </comment>
    <comment ref="AM26" authorId="0">
      <text>
        <r>
          <rPr>
            <sz val="10"/>
            <rFont val="Arial"/>
            <family val="2"/>
          </rPr>
          <t xml:space="preserve">1/5 — pas bon du tout
Vin sec face au sucre du dessert : il paraît amer et maigre (P22, P15).
Principes de Pat : P22, P15</t>
        </r>
      </text>
    </comment>
    <comment ref="AM27" authorId="0">
      <text>
        <r>
          <rPr>
            <sz val="10"/>
            <rFont val="Arial"/>
            <family val="2"/>
          </rPr>
          <t xml:space="preserve">1/5 — pas bon du tout
Vin sec face au sucre du dessert : il paraît amer et maigre (P22, P15).
Principes de Pat : P22, P15</t>
        </r>
      </text>
    </comment>
    <comment ref="AM29" authorId="0">
      <text>
        <r>
          <rPr>
            <sz val="10"/>
            <rFont val="Arial"/>
            <family val="2"/>
          </rPr>
          <t xml:space="preserve">1/5 — pas bon du tout
Vin sec face au sucre du dessert : il paraît amer et maigre (P22, P15).
Principes de Pat : P22, P15</t>
        </r>
      </text>
    </comment>
    <comment ref="AM30" authorId="0">
      <text>
        <r>
          <rPr>
            <sz val="10"/>
            <rFont val="Arial"/>
            <family val="2"/>
          </rPr>
          <t xml:space="preserve">1/5 — pas bon du tout
Vin sec face au sucre du dessert : il paraît amer et maigre (P22, P15).
Principes de Pat : P22, P15</t>
        </r>
      </text>
    </comment>
    <comment ref="AM31" authorId="0">
      <text>
        <r>
          <rPr>
            <sz val="10"/>
            <rFont val="Arial"/>
            <family val="2"/>
          </rPr>
          <t xml:space="preserve">1/5 — pas bon du tout
Vin sec face au sucre du dessert : il paraît amer et maigre (P22, P15).
Principes de Pat : P22, P15</t>
        </r>
      </text>
    </comment>
    <comment ref="AM32" authorId="0">
      <text>
        <r>
          <rPr>
            <sz val="10"/>
            <rFont val="Arial"/>
            <family val="2"/>
          </rPr>
          <t xml:space="preserve">1/5 — pas bon du tout
Vin sec face au sucre du dessert : il paraît amer et maigre (P22, P15).
Principes de Pat : P22, P15</t>
        </r>
      </text>
    </comment>
    <comment ref="AM33" authorId="0">
      <text>
        <r>
          <rPr>
            <sz val="10"/>
            <rFont val="Arial"/>
            <family val="2"/>
          </rPr>
          <t xml:space="preserve">1/5 — pas bon du tout
Vin sec face au sucre du dessert : il paraît amer et maigre (P22, P15).
Principes de Pat : P22, P15</t>
        </r>
      </text>
    </comment>
    <comment ref="AM34" authorId="0">
      <text>
        <r>
          <rPr>
            <sz val="10"/>
            <rFont val="Arial"/>
            <family val="2"/>
          </rPr>
          <t xml:space="preserve">1/5 — pas bon du tout
Vin sec face au sucre du dessert : il paraît amer et maigre (P22, P15).
Principes de Pat : P22, P15</t>
        </r>
      </text>
    </comment>
    <comment ref="AM35" authorId="0">
      <text>
        <r>
          <rPr>
            <sz val="10"/>
            <rFont val="Arial"/>
            <family val="2"/>
          </rPr>
          <t xml:space="preserve">1/5 — pas bon du tout
Vin sec face au sucre du dessert : il paraît amer et maigre (P22, P15).
Principes de Pat : P22, P15</t>
        </r>
      </text>
    </comment>
    <comment ref="AM36" authorId="0">
      <text>
        <r>
          <rPr>
            <sz val="10"/>
            <rFont val="Arial"/>
            <family val="2"/>
          </rPr>
          <t xml:space="preserve">1/5 — pas bon du tout
Vin sec face au sucre du dessert : il paraît amer et maigre (P22, P15).
Principes de Pat : P22, P15</t>
        </r>
      </text>
    </comment>
    <comment ref="AM37" authorId="0">
      <text>
        <r>
          <rPr>
            <sz val="10"/>
            <rFont val="Arial"/>
            <family val="2"/>
          </rPr>
          <t xml:space="preserve">1/5 — pas bon du tout
Vin sec face au sucre du dessert : il paraît amer et maigre (P22, P15).
Principes de Pat : P22, P15</t>
        </r>
      </text>
    </comment>
    <comment ref="AM38" authorId="0">
      <text>
        <r>
          <rPr>
            <sz val="10"/>
            <rFont val="Arial"/>
            <family val="2"/>
          </rPr>
          <t xml:space="preserve">1/5 — pas bon du tout
Vin sec face au sucre du dessert : il paraît amer et maigre (P22, P15).
Principes de Pat : P22, P15</t>
        </r>
      </text>
    </comment>
    <comment ref="AM39" authorId="0">
      <text>
        <r>
          <rPr>
            <sz val="10"/>
            <rFont val="Arial"/>
            <family val="2"/>
          </rPr>
          <t xml:space="preserve">1/5 — pas bon du tout
Vin sec face au sucre du dessert : il paraît amer et maigre (P22, P15).
Principes de Pat : P22, P15</t>
        </r>
      </text>
    </comment>
    <comment ref="AM40" authorId="0">
      <text>
        <r>
          <rPr>
            <sz val="10"/>
            <rFont val="Arial"/>
            <family val="2"/>
          </rPr>
          <t xml:space="preserve">1/5 — pas bon du tout
Vin sec face au sucre du dessert : il paraît amer et maigre (P22, P15).
Principes de Pat : P22, P15</t>
        </r>
      </text>
    </comment>
    <comment ref="AM41" authorId="0">
      <text>
        <r>
          <rPr>
            <sz val="10"/>
            <rFont val="Arial"/>
            <family val="2"/>
          </rPr>
          <t xml:space="preserve">1/5 — pas bon du tout
Vin sec face au sucre du dessert : il paraît amer et maigre (P22, P15).
Principes de Pat : P22, P15</t>
        </r>
      </text>
    </comment>
    <comment ref="AM42" authorId="0">
      <text>
        <r>
          <rPr>
            <sz val="10"/>
            <rFont val="Arial"/>
            <family val="2"/>
          </rPr>
          <t xml:space="preserve">1/5 — pas bon du tout
Vin sec face au sucre du dessert : il paraît amer et maigre (P22, P15).
Principes de Pat : P22, P15</t>
        </r>
      </text>
    </comment>
    <comment ref="AM43" authorId="0">
      <text>
        <r>
          <rPr>
            <sz val="10"/>
            <rFont val="Arial"/>
            <family val="2"/>
          </rPr>
          <t xml:space="preserve">1/5 — pas bon du tout
Vin sec face au sucre du dessert : il paraît amer et maigre (P22, P15).
Principes de Pat : P22, P15</t>
        </r>
      </text>
    </comment>
    <comment ref="AM44" authorId="0">
      <text>
        <r>
          <rPr>
            <sz val="10"/>
            <rFont val="Arial"/>
            <family val="2"/>
          </rPr>
          <t xml:space="preserve">1/5 — pas bon du tout
Vin sec face au sucre du dessert : il paraît amer et maigre (P22, P15).
Principes de Pat : P22, P15</t>
        </r>
      </text>
    </comment>
    <comment ref="AM45" authorId="0">
      <text>
        <r>
          <rPr>
            <sz val="10"/>
            <rFont val="Arial"/>
            <family val="2"/>
          </rPr>
          <t xml:space="preserve">1/5 — pas bon du tout
Vin sec face au sucre du dessert : il paraît amer et maigre (P22, P15).
Principes de Pat : P22, P15</t>
        </r>
      </text>
    </comment>
    <comment ref="AM46" authorId="0">
      <text>
        <r>
          <rPr>
            <sz val="10"/>
            <rFont val="Arial"/>
            <family val="2"/>
          </rPr>
          <t xml:space="preserve">1/5 — pas bon du tout
Vin sec face au sucre du dessert : il paraît amer et maigre (P22, P15).
Principes de Pat : P22, P15</t>
        </r>
      </text>
    </comment>
    <comment ref="AM47" authorId="0">
      <text>
        <r>
          <rPr>
            <sz val="10"/>
            <rFont val="Arial"/>
            <family val="2"/>
          </rPr>
          <t xml:space="preserve">1/5 — pas bon du tout
Vin sec face au sucre du dessert : il paraît amer et maigre (P22, P15).
Principes de Pat : P22, P15</t>
        </r>
      </text>
    </comment>
    <comment ref="AM48" authorId="0">
      <text>
        <r>
          <rPr>
            <sz val="10"/>
            <rFont val="Arial"/>
            <family val="2"/>
          </rPr>
          <t xml:space="preserve">1/5 — pas bon du tout
Vin sec face au sucre du dessert : il paraît amer et maigre (P22, P15).
Principes de Pat : P22, P15</t>
        </r>
      </text>
    </comment>
    <comment ref="AM49" authorId="0">
      <text>
        <r>
          <rPr>
            <sz val="10"/>
            <rFont val="Arial"/>
            <family val="2"/>
          </rPr>
          <t xml:space="preserve">1/5 — pas bon du tout
Vin sec face au sucre du dessert : il paraît amer et maigre (P22, P15).
Principes de Pat : P22, P15</t>
        </r>
      </text>
    </comment>
    <comment ref="AM50" authorId="0">
      <text>
        <r>
          <rPr>
            <sz val="10"/>
            <rFont val="Arial"/>
            <family val="2"/>
          </rPr>
          <t xml:space="preserve">1/5 — pas bon du tout
Vin sec face au sucre du dessert : il paraît amer et maigre (P22, P15).
Principes de Pat : P22, P15</t>
        </r>
      </text>
    </comment>
    <comment ref="AM51" authorId="0">
      <text>
        <r>
          <rPr>
            <sz val="10"/>
            <rFont val="Arial"/>
            <family val="2"/>
          </rPr>
          <t xml:space="preserve">1/5 — pas bon du tout
Vin sec face au sucre du dessert : il paraît amer et maigre (P22, P15).
Principes de Pat : P22, P15</t>
        </r>
      </text>
    </comment>
    <comment ref="AM52" authorId="0">
      <text>
        <r>
          <rPr>
            <sz val="10"/>
            <rFont val="Arial"/>
            <family val="2"/>
          </rPr>
          <t xml:space="preserve">1/5 — pas bon du tout
Vin sec face au sucre du dessert : il paraît amer et maigre (P22, P15).
Principes de Pat : P22, P15</t>
        </r>
      </text>
    </comment>
    <comment ref="AM53" authorId="0">
      <text>
        <r>
          <rPr>
            <sz val="10"/>
            <rFont val="Arial"/>
            <family val="2"/>
          </rPr>
          <t xml:space="preserve">1/5 — pas bon du tout
Vin sec face au sucre du dessert : il paraît amer et maigre (P22, P15).
Principes de Pat : P22, P15</t>
        </r>
      </text>
    </comment>
    <comment ref="AM54" authorId="0">
      <text>
        <r>
          <rPr>
            <sz val="10"/>
            <rFont val="Arial"/>
            <family val="2"/>
          </rPr>
          <t xml:space="preserve">1/5 — pas bon du tout
Vin sec face au sucre du dessert : il paraît amer et maigre (P22, P15).
Principes de Pat : P22, P15</t>
        </r>
      </text>
    </comment>
    <comment ref="AM55" authorId="0">
      <text>
        <r>
          <rPr>
            <sz val="10"/>
            <rFont val="Arial"/>
            <family val="2"/>
          </rPr>
          <t xml:space="preserve">1/5 — pas bon du tout
Vin sec face au sucre du dessert : il paraît amer et maigre (P22, P15).
Principes de Pat : P22, P15</t>
        </r>
      </text>
    </comment>
    <comment ref="AM56" authorId="0">
      <text>
        <r>
          <rPr>
            <sz val="10"/>
            <rFont val="Arial"/>
            <family val="2"/>
          </rPr>
          <t xml:space="preserve">1/5 — pas bon du tout
Vin sec face au sucre du dessert : il paraît amer et maigre (P22, P15).
Principes de Pat : P22, P15</t>
        </r>
      </text>
    </comment>
    <comment ref="AM57" authorId="0">
      <text>
        <r>
          <rPr>
            <sz val="10"/>
            <rFont val="Arial"/>
            <family val="2"/>
          </rPr>
          <t xml:space="preserve">1/5 — pas bon du tout
Vin sec face au sucre du dessert : il paraît amer et maigre (P22, P15).
Principes de Pat : P22, P15</t>
        </r>
      </text>
    </comment>
    <comment ref="AM58" authorId="0">
      <text>
        <r>
          <rPr>
            <sz val="10"/>
            <rFont val="Arial"/>
            <family val="2"/>
          </rPr>
          <t xml:space="preserve">1/5 — pas bon du tout
Vin sec face au sucre du dessert : il paraît amer et maigre (P22, P15).
Principes de Pat : P22, P15</t>
        </r>
      </text>
    </comment>
    <comment ref="AM59" authorId="0">
      <text>
        <r>
          <rPr>
            <sz val="10"/>
            <rFont val="Arial"/>
            <family val="2"/>
          </rPr>
          <t xml:space="preserve">1/5 — pas bon du tout
Vin sec face au sucre du dessert : il paraît amer et maigre (P22, P15).
Principes de Pat : P22, P15</t>
        </r>
      </text>
    </comment>
    <comment ref="AM60" authorId="0">
      <text>
        <r>
          <rPr>
            <sz val="10"/>
            <rFont val="Arial"/>
            <family val="2"/>
          </rPr>
          <t xml:space="preserve">1/5 — pas bon du tout
Vin sec face au sucre du dessert : il paraît amer et maigre (P22, P15).
Principes de Pat : P22, P15</t>
        </r>
      </text>
    </comment>
    <comment ref="AM61" authorId="0">
      <text>
        <r>
          <rPr>
            <sz val="10"/>
            <rFont val="Arial"/>
            <family val="2"/>
          </rPr>
          <t xml:space="preserve">1/5 — pas bon du tout
Vin sec face au sucre du dessert : il paraît amer et maigre (P22, P15).
Principes de Pat : P22, P15</t>
        </r>
      </text>
    </comment>
    <comment ref="AM62" authorId="0">
      <text>
        <r>
          <rPr>
            <sz val="10"/>
            <rFont val="Arial"/>
            <family val="2"/>
          </rPr>
          <t xml:space="preserve">1/5 — pas bon du tout
Vin sec face au sucre du dessert : il paraît amer et maigre (P22, P15).
Principes de Pat : P22, P15</t>
        </r>
      </text>
    </comment>
    <comment ref="AM63" authorId="0">
      <text>
        <r>
          <rPr>
            <sz val="10"/>
            <rFont val="Arial"/>
            <family val="2"/>
          </rPr>
          <t xml:space="preserve">1/5 — pas bon du tout
Vin sec face au sucre du dessert : il paraît amer et maigre (P22, P15).
Principes de Pat : P22, P15</t>
        </r>
      </text>
    </comment>
    <comment ref="AM64" authorId="0">
      <text>
        <r>
          <rPr>
            <sz val="10"/>
            <rFont val="Arial"/>
            <family val="2"/>
          </rPr>
          <t xml:space="preserve">1/5 — pas bon du tout
Vin sec face au sucre du dessert : il paraît amer et maigre (P22, P15).
Principes de Pat : P22, P15</t>
        </r>
      </text>
    </comment>
    <comment ref="AM65" authorId="0">
      <text>
        <r>
          <rPr>
            <sz val="10"/>
            <rFont val="Arial"/>
            <family val="2"/>
          </rPr>
          <t xml:space="preserve">1/5 — pas bon du tout
Vin sec face au sucre du dessert : il paraît amer et maigre (P22, P15).
Principes de Pat : P22, P15</t>
        </r>
      </text>
    </comment>
    <comment ref="AM66" authorId="0">
      <text>
        <r>
          <rPr>
            <sz val="10"/>
            <rFont val="Arial"/>
            <family val="2"/>
          </rPr>
          <t xml:space="preserve">1/5 — pas bon du tout
Vin sec face au sucre du dessert : il paraît amer et maigre (P22, P15).
Principes de Pat : P22, P15</t>
        </r>
      </text>
    </comment>
    <comment ref="AM67" authorId="0">
      <text>
        <r>
          <rPr>
            <sz val="10"/>
            <rFont val="Arial"/>
            <family val="2"/>
          </rPr>
          <t xml:space="preserve">1/5 — pas bon du tout
Vin sec face au sucre du dessert : il paraît amer et maigre (P22, P15).
Principes de Pat : P22, P15</t>
        </r>
      </text>
    </comment>
    <comment ref="AM68" authorId="0">
      <text>
        <r>
          <rPr>
            <sz val="10"/>
            <rFont val="Arial"/>
            <family val="2"/>
          </rPr>
          <t xml:space="preserve">1/5 — pas bon du tout
Vin sec face au sucre du dessert : il paraît amer et maigre (P22, P15).
Principes de Pat : P22, P15</t>
        </r>
      </text>
    </comment>
    <comment ref="AM70" authorId="0">
      <text>
        <r>
          <rPr>
            <sz val="10"/>
            <rFont val="Arial"/>
            <family val="2"/>
          </rPr>
          <t xml:space="preserve">1/5 — pas bon du tout
Vin sec face au sucre du dessert : il paraît amer et maigre (P22, P15).
Principes de Pat : P22, P15</t>
        </r>
      </text>
    </comment>
    <comment ref="AM71" authorId="0">
      <text>
        <r>
          <rPr>
            <sz val="10"/>
            <rFont val="Arial"/>
            <family val="2"/>
          </rPr>
          <t xml:space="preserve">1/5 — pas bon du tout
Vin sec face au sucre du dessert : il paraît amer et maigre (P22, P15).
Principes de Pat : P22, P15</t>
        </r>
      </text>
    </comment>
    <comment ref="AM73" authorId="0">
      <text>
        <r>
          <rPr>
            <sz val="10"/>
            <rFont val="Arial"/>
            <family val="2"/>
          </rPr>
          <t xml:space="preserve">1/5 — pas bon du tout
Vin sec face au sucre du dessert : il paraît amer et maigre (P22, P15).
Principes de Pat : P22, P15</t>
        </r>
      </text>
    </comment>
    <comment ref="AM74" authorId="0">
      <text>
        <r>
          <rPr>
            <sz val="10"/>
            <rFont val="Arial"/>
            <family val="2"/>
          </rPr>
          <t xml:space="preserve">1/5 — pas bon du tout
Vin sec face au sucre du dessert : il paraît amer et maigre (P22, P15).
Principes de Pat : P22, P15</t>
        </r>
      </text>
    </comment>
    <comment ref="AM75" authorId="0">
      <text>
        <r>
          <rPr>
            <sz val="10"/>
            <rFont val="Arial"/>
            <family val="2"/>
          </rPr>
          <t xml:space="preserve">1/5 — pas bon du tout
Vin sec face au sucre du dessert : il paraît amer et maigre (P22, P15).
Principes de Pat : P22, P15</t>
        </r>
      </text>
    </comment>
    <comment ref="AM76" authorId="0">
      <text>
        <r>
          <rPr>
            <sz val="10"/>
            <rFont val="Arial"/>
            <family val="2"/>
          </rPr>
          <t xml:space="preserve">1/5 — pas bon du tout
Vin sec face au sucre du dessert : il paraît amer et maigre (P22, P15).
Principes de Pat : P22, P15</t>
        </r>
      </text>
    </comment>
    <comment ref="AM77" authorId="0">
      <text>
        <r>
          <rPr>
            <sz val="10"/>
            <rFont val="Arial"/>
            <family val="2"/>
          </rPr>
          <t xml:space="preserve">1/5 — pas bon du tout
Vin sec face au sucre du dessert : il paraît amer et maigre (P22, P15).
Principes de Pat : P22, P15</t>
        </r>
      </text>
    </comment>
    <comment ref="AM78" authorId="0">
      <text>
        <r>
          <rPr>
            <sz val="10"/>
            <rFont val="Arial"/>
            <family val="2"/>
          </rPr>
          <t xml:space="preserve">1/5 — pas bon du tout
Vin sec face au sucre du dessert : il paraît amer et maigre (P22, P15).
Principes de Pat : P22, P15</t>
        </r>
      </text>
    </comment>
    <comment ref="AM79" authorId="0">
      <text>
        <r>
          <rPr>
            <sz val="10"/>
            <rFont val="Arial"/>
            <family val="2"/>
          </rPr>
          <t xml:space="preserve">1/5 — pas bon du tout
Vin sec face au sucre du dessert : il paraît amer et maigre (P22, P15).
Principes de Pat : P22, P15</t>
        </r>
      </text>
    </comment>
    <comment ref="AM81" authorId="0">
      <text>
        <r>
          <rPr>
            <sz val="10"/>
            <rFont val="Arial"/>
            <family val="2"/>
          </rPr>
          <t xml:space="preserve">2/5 — médiocre
Sucre suffisant, mais le gianduja appelle un muté oxydatif ; aucun sur la carte (P15, P22).
Principes de Pat : P15, P22</t>
        </r>
      </text>
    </comment>
    <comment ref="AN7" authorId="0">
      <text>
        <r>
          <rPr>
            <sz val="10"/>
            <rFont val="Arial"/>
            <family val="2"/>
          </rPr>
          <t xml:space="preserve">1/5 — pas bon du tout
Vin sec face au sucre du dessert : il paraît amer et maigre (P22).
Principes de Pat : P22</t>
        </r>
      </text>
    </comment>
    <comment ref="AN8" authorId="0">
      <text>
        <r>
          <rPr>
            <sz val="10"/>
            <rFont val="Arial"/>
            <family val="2"/>
          </rPr>
          <t xml:space="preserve">1/5 — pas bon du tout
Vin sec face au sucre du dessert : il paraît amer et maigre (P22).
Principes de Pat : P22</t>
        </r>
      </text>
    </comment>
    <comment ref="AN9" authorId="0">
      <text>
        <r>
          <rPr>
            <sz val="10"/>
            <rFont val="Arial"/>
            <family val="2"/>
          </rPr>
          <t xml:space="preserve">1/5 — pas bon du tout
Vin sec face au sucre du dessert : il paraît amer et maigre (P22).
Principes de Pat : P22</t>
        </r>
      </text>
    </comment>
    <comment ref="AN10" authorId="0">
      <text>
        <r>
          <rPr>
            <sz val="10"/>
            <rFont val="Arial"/>
            <family val="2"/>
          </rPr>
          <t xml:space="preserve">1/5 — pas bon du tout
Vin sec face au sucre du dessert : il paraît amer et maigre (P22).
Principes de Pat : P22</t>
        </r>
      </text>
    </comment>
    <comment ref="AN11" authorId="0">
      <text>
        <r>
          <rPr>
            <sz val="10"/>
            <rFont val="Arial"/>
            <family val="2"/>
          </rPr>
          <t xml:space="preserve">1/5 — pas bon du tout
Vin sec face au sucre du dessert : il paraît amer et maigre (P22).
Principes de Pat : P22</t>
        </r>
      </text>
    </comment>
    <comment ref="AN12" authorId="0">
      <text>
        <r>
          <rPr>
            <sz val="10"/>
            <rFont val="Arial"/>
            <family val="2"/>
          </rPr>
          <t xml:space="preserve">1/5 — pas bon du tout
Vin sec face au sucre du dessert : il paraît amer et maigre (P22).
Principes de Pat : P22</t>
        </r>
      </text>
    </comment>
    <comment ref="AN13" authorId="0">
      <text>
        <r>
          <rPr>
            <sz val="10"/>
            <rFont val="Arial"/>
            <family val="2"/>
          </rPr>
          <t xml:space="preserve">1/5 — pas bon du tout
Vin sec face au sucre du dessert : il paraît amer et maigre (P22).
Principes de Pat : P22</t>
        </r>
      </text>
    </comment>
    <comment ref="AN14" authorId="0">
      <text>
        <r>
          <rPr>
            <sz val="10"/>
            <rFont val="Arial"/>
            <family val="2"/>
          </rPr>
          <t xml:space="preserve">1/5 — pas bon du tout
Vin sec face au sucre du dessert : il paraît amer et maigre (P22).
Principes de Pat : P22</t>
        </r>
      </text>
    </comment>
    <comment ref="AN15" authorId="0">
      <text>
        <r>
          <rPr>
            <sz val="10"/>
            <rFont val="Arial"/>
            <family val="2"/>
          </rPr>
          <t xml:space="preserve">1/5 — pas bon du tout
Vin sec face au sucre du dessert : il paraît amer et maigre (P22).
Principes de Pat : P22</t>
        </r>
      </text>
    </comment>
    <comment ref="AN16" authorId="0">
      <text>
        <r>
          <rPr>
            <sz val="10"/>
            <rFont val="Arial"/>
            <family val="2"/>
          </rPr>
          <t xml:space="preserve">1/5 — pas bon du tout
Vin sec face au sucre du dessert : il paraît amer et maigre (P22).
Principes de Pat : P22</t>
        </r>
      </text>
    </comment>
    <comment ref="AN17" authorId="0">
      <text>
        <r>
          <rPr>
            <sz val="10"/>
            <rFont val="Arial"/>
            <family val="2"/>
          </rPr>
          <t xml:space="preserve">1/5 — pas bon du tout
Vin sec face au sucre du dessert : il paraît amer et maigre (P22).
Principes de Pat : P22</t>
        </r>
      </text>
    </comment>
    <comment ref="AN18" authorId="0">
      <text>
        <r>
          <rPr>
            <sz val="10"/>
            <rFont val="Arial"/>
            <family val="2"/>
          </rPr>
          <t xml:space="preserve">1/5 — pas bon du tout
Vin sec face au sucre du dessert : il paraît amer et maigre (P22).
Principes de Pat : P22</t>
        </r>
      </text>
    </comment>
    <comment ref="AN19" authorId="0">
      <text>
        <r>
          <rPr>
            <sz val="10"/>
            <rFont val="Arial"/>
            <family val="2"/>
          </rPr>
          <t xml:space="preserve">1/5 — pas bon du tout
Vin sec face au sucre du dessert : il paraît amer et maigre (P22).
Principes de Pat : P22</t>
        </r>
      </text>
    </comment>
    <comment ref="AN20" authorId="0">
      <text>
        <r>
          <rPr>
            <sz val="10"/>
            <rFont val="Arial"/>
            <family val="2"/>
          </rPr>
          <t xml:space="preserve">1/5 — pas bon du tout
Vin sec face au sucre du dessert : il paraît amer et maigre (P22).
Principes de Pat : P22</t>
        </r>
      </text>
    </comment>
    <comment ref="AN21" authorId="0">
      <text>
        <r>
          <rPr>
            <sz val="10"/>
            <rFont val="Arial"/>
            <family val="2"/>
          </rPr>
          <t xml:space="preserve">1/5 — pas bon du tout
Vin sec face au sucre du dessert : il paraît amer et maigre (P22).
Principes de Pat : P22</t>
        </r>
      </text>
    </comment>
    <comment ref="AN22" authorId="0">
      <text>
        <r>
          <rPr>
            <sz val="10"/>
            <rFont val="Arial"/>
            <family val="2"/>
          </rPr>
          <t xml:space="preserve">1/5 — pas bon du tout
Vin sec face au sucre du dessert : il paraît amer et maigre (P22).
Principes de Pat : P22</t>
        </r>
      </text>
    </comment>
    <comment ref="AN23" authorId="0">
      <text>
        <r>
          <rPr>
            <sz val="10"/>
            <rFont val="Arial"/>
            <family val="2"/>
          </rPr>
          <t xml:space="preserve">1/5 — pas bon du tout
Vin sec face au sucre du dessert : il paraît amer et maigre (P22).
Principes de Pat : P22</t>
        </r>
      </text>
    </comment>
    <comment ref="AN24" authorId="0">
      <text>
        <r>
          <rPr>
            <sz val="10"/>
            <rFont val="Arial"/>
            <family val="2"/>
          </rPr>
          <t xml:space="preserve">1/5 — pas bon du tout
Vin sec face au sucre du dessert : il paraît amer et maigre (P22).
Principes de Pat : P22</t>
        </r>
      </text>
    </comment>
    <comment ref="AN25" authorId="0">
      <text>
        <r>
          <rPr>
            <sz val="10"/>
            <rFont val="Arial"/>
            <family val="2"/>
          </rPr>
          <t xml:space="preserve">1/5 — pas bon du tout
Vin sec face au sucre du dessert : il paraît amer et maigre (P22).
Principes de Pat : P22</t>
        </r>
      </text>
    </comment>
    <comment ref="AN26" authorId="0">
      <text>
        <r>
          <rPr>
            <sz val="10"/>
            <rFont val="Arial"/>
            <family val="2"/>
          </rPr>
          <t xml:space="preserve">1/5 — pas bon du tout
Vin sec face au sucre du dessert : il paraît amer et maigre (P22).
Principes de Pat : P22</t>
        </r>
      </text>
    </comment>
    <comment ref="AN27" authorId="0">
      <text>
        <r>
          <rPr>
            <sz val="10"/>
            <rFont val="Arial"/>
            <family val="2"/>
          </rPr>
          <t xml:space="preserve">1/5 — pas bon du tout
Vin sec face au sucre du dessert : il paraît amer et maigre (P22).
Principes de Pat : P22</t>
        </r>
      </text>
    </comment>
    <comment ref="AN29" authorId="0">
      <text>
        <r>
          <rPr>
            <sz val="10"/>
            <rFont val="Arial"/>
            <family val="2"/>
          </rPr>
          <t xml:space="preserve">1/5 — pas bon du tout
Vin sec face au sucre du dessert : il paraît amer et maigre (P22).
Principes de Pat : P22</t>
        </r>
      </text>
    </comment>
    <comment ref="AN30" authorId="0">
      <text>
        <r>
          <rPr>
            <sz val="10"/>
            <rFont val="Arial"/>
            <family val="2"/>
          </rPr>
          <t xml:space="preserve">1/5 — pas bon du tout
Vin sec face au sucre du dessert : il paraît amer et maigre (P22).
Principes de Pat : P22</t>
        </r>
      </text>
    </comment>
    <comment ref="AN31" authorId="0">
      <text>
        <r>
          <rPr>
            <sz val="10"/>
            <rFont val="Arial"/>
            <family val="2"/>
          </rPr>
          <t xml:space="preserve">1/5 — pas bon du tout
Vin sec face au sucre du dessert : il paraît amer et maigre (P22).
Principes de Pat : P22</t>
        </r>
      </text>
    </comment>
    <comment ref="AN32" authorId="0">
      <text>
        <r>
          <rPr>
            <sz val="10"/>
            <rFont val="Arial"/>
            <family val="2"/>
          </rPr>
          <t xml:space="preserve">1/5 — pas bon du tout
Vin sec face au sucre du dessert : il paraît amer et maigre (P22).
Principes de Pat : P22</t>
        </r>
      </text>
    </comment>
    <comment ref="AN33" authorId="0">
      <text>
        <r>
          <rPr>
            <sz val="10"/>
            <rFont val="Arial"/>
            <family val="2"/>
          </rPr>
          <t xml:space="preserve">1/5 — pas bon du tout
Vin sec face au sucre du dessert : il paraît amer et maigre (P22).
Principes de Pat : P22</t>
        </r>
      </text>
    </comment>
    <comment ref="AN34" authorId="0">
      <text>
        <r>
          <rPr>
            <sz val="10"/>
            <rFont val="Arial"/>
            <family val="2"/>
          </rPr>
          <t xml:space="preserve">1/5 — pas bon du tout
Vin sec face au sucre du dessert : il paraît amer et maigre (P22).
Principes de Pat : P22</t>
        </r>
      </text>
    </comment>
    <comment ref="AN35" authorId="0">
      <text>
        <r>
          <rPr>
            <sz val="10"/>
            <rFont val="Arial"/>
            <family val="2"/>
          </rPr>
          <t xml:space="preserve">1/5 — pas bon du tout
Vin sec face au sucre du dessert : il paraît amer et maigre (P22).
Principes de Pat : P22</t>
        </r>
      </text>
    </comment>
    <comment ref="AN36" authorId="0">
      <text>
        <r>
          <rPr>
            <sz val="10"/>
            <rFont val="Arial"/>
            <family val="2"/>
          </rPr>
          <t xml:space="preserve">1/5 — pas bon du tout
Vin sec face au sucre du dessert : il paraît amer et maigre (P22).
Principes de Pat : P22</t>
        </r>
      </text>
    </comment>
    <comment ref="AN37" authorId="0">
      <text>
        <r>
          <rPr>
            <sz val="10"/>
            <rFont val="Arial"/>
            <family val="2"/>
          </rPr>
          <t xml:space="preserve">1/5 — pas bon du tout
Vin sec face au sucre du dessert : il paraît amer et maigre (P22).
Principes de Pat : P22</t>
        </r>
      </text>
    </comment>
    <comment ref="AN38" authorId="0">
      <text>
        <r>
          <rPr>
            <sz val="10"/>
            <rFont val="Arial"/>
            <family val="2"/>
          </rPr>
          <t xml:space="preserve">1/5 — pas bon du tout
Vin sec face au sucre du dessert : il paraît amer et maigre (P22).
Principes de Pat : P22</t>
        </r>
      </text>
    </comment>
    <comment ref="AN39" authorId="0">
      <text>
        <r>
          <rPr>
            <sz val="10"/>
            <rFont val="Arial"/>
            <family val="2"/>
          </rPr>
          <t xml:space="preserve">1/5 — pas bon du tout
Vin sec face au sucre du dessert : il paraît amer et maigre (P22).
Principes de Pat : P22</t>
        </r>
      </text>
    </comment>
    <comment ref="AN40" authorId="0">
      <text>
        <r>
          <rPr>
            <sz val="10"/>
            <rFont val="Arial"/>
            <family val="2"/>
          </rPr>
          <t xml:space="preserve">1/5 — pas bon du tout
Vin sec face au sucre du dessert : il paraît amer et maigre (P22).
Principes de Pat : P22</t>
        </r>
      </text>
    </comment>
    <comment ref="AN41" authorId="0">
      <text>
        <r>
          <rPr>
            <sz val="10"/>
            <rFont val="Arial"/>
            <family val="2"/>
          </rPr>
          <t xml:space="preserve">1/5 — pas bon du tout
Vin sec face au sucre du dessert : il paraît amer et maigre (P22).
Principes de Pat : P22</t>
        </r>
      </text>
    </comment>
    <comment ref="AN42" authorId="0">
      <text>
        <r>
          <rPr>
            <sz val="10"/>
            <rFont val="Arial"/>
            <family val="2"/>
          </rPr>
          <t xml:space="preserve">1/5 — pas bon du tout
Vin sec face au sucre du dessert : il paraît amer et maigre (P22).
Principes de Pat : P22</t>
        </r>
      </text>
    </comment>
    <comment ref="AN43" authorId="0">
      <text>
        <r>
          <rPr>
            <sz val="10"/>
            <rFont val="Arial"/>
            <family val="2"/>
          </rPr>
          <t xml:space="preserve">1/5 — pas bon du tout
Vin sec face au sucre du dessert : il paraît amer et maigre (P22).
Principes de Pat : P22</t>
        </r>
      </text>
    </comment>
    <comment ref="AN44" authorId="0">
      <text>
        <r>
          <rPr>
            <sz val="10"/>
            <rFont val="Arial"/>
            <family val="2"/>
          </rPr>
          <t xml:space="preserve">1/5 — pas bon du tout
Vin sec face au sucre du dessert : il paraît amer et maigre (P22).
Principes de Pat : P22</t>
        </r>
      </text>
    </comment>
    <comment ref="AN45" authorId="0">
      <text>
        <r>
          <rPr>
            <sz val="10"/>
            <rFont val="Arial"/>
            <family val="2"/>
          </rPr>
          <t xml:space="preserve">1/5 — pas bon du tout
Vin sec face au sucre du dessert : il paraît amer et maigre (P22).
Principes de Pat : P22</t>
        </r>
      </text>
    </comment>
    <comment ref="AN46" authorId="0">
      <text>
        <r>
          <rPr>
            <sz val="10"/>
            <rFont val="Arial"/>
            <family val="2"/>
          </rPr>
          <t xml:space="preserve">1/5 — pas bon du tout
Vin sec face au sucre du dessert : il paraît amer et maigre (P22).
Principes de Pat : P22</t>
        </r>
      </text>
    </comment>
    <comment ref="AN47" authorId="0">
      <text>
        <r>
          <rPr>
            <sz val="10"/>
            <rFont val="Arial"/>
            <family val="2"/>
          </rPr>
          <t xml:space="preserve">1/5 — pas bon du tout
Vin sec face au sucre du dessert : il paraît amer et maigre (P22).
Principes de Pat : P22</t>
        </r>
      </text>
    </comment>
    <comment ref="AN48" authorId="0">
      <text>
        <r>
          <rPr>
            <sz val="10"/>
            <rFont val="Arial"/>
            <family val="2"/>
          </rPr>
          <t xml:space="preserve">1/5 — pas bon du tout
Vin sec face au sucre du dessert : il paraît amer et maigre (P22).
Principes de Pat : P22</t>
        </r>
      </text>
    </comment>
    <comment ref="AN49" authorId="0">
      <text>
        <r>
          <rPr>
            <sz val="10"/>
            <rFont val="Arial"/>
            <family val="2"/>
          </rPr>
          <t xml:space="preserve">1/5 — pas bon du tout
Vin sec face au sucre du dessert : il paraît amer et maigre (P22).
Principes de Pat : P22</t>
        </r>
      </text>
    </comment>
    <comment ref="AN50" authorId="0">
      <text>
        <r>
          <rPr>
            <sz val="10"/>
            <rFont val="Arial"/>
            <family val="2"/>
          </rPr>
          <t xml:space="preserve">1/5 — pas bon du tout
Vin sec face au sucre du dessert : il paraît amer et maigre (P22).
Principes de Pat : P22</t>
        </r>
      </text>
    </comment>
    <comment ref="AN51" authorId="0">
      <text>
        <r>
          <rPr>
            <sz val="10"/>
            <rFont val="Arial"/>
            <family val="2"/>
          </rPr>
          <t xml:space="preserve">1/5 — pas bon du tout
Vin sec face au sucre du dessert : il paraît amer et maigre (P22).
Principes de Pat : P22</t>
        </r>
      </text>
    </comment>
    <comment ref="AN52" authorId="0">
      <text>
        <r>
          <rPr>
            <sz val="10"/>
            <rFont val="Arial"/>
            <family val="2"/>
          </rPr>
          <t xml:space="preserve">1/5 — pas bon du tout
Vin sec face au sucre du dessert : il paraît amer et maigre (P22).
Principes de Pat : P22</t>
        </r>
      </text>
    </comment>
    <comment ref="AN53" authorId="0">
      <text>
        <r>
          <rPr>
            <sz val="10"/>
            <rFont val="Arial"/>
            <family val="2"/>
          </rPr>
          <t xml:space="preserve">1/5 — pas bon du tout
Vin sec face au sucre du dessert : il paraît amer et maigre (P22).
Principes de Pat : P22</t>
        </r>
      </text>
    </comment>
    <comment ref="AN54" authorId="0">
      <text>
        <r>
          <rPr>
            <sz val="10"/>
            <rFont val="Arial"/>
            <family val="2"/>
          </rPr>
          <t xml:space="preserve">1/5 — pas bon du tout
Vin sec face au sucre du dessert : il paraît amer et maigre (P22).
Principes de Pat : P22</t>
        </r>
      </text>
    </comment>
    <comment ref="AN55" authorId="0">
      <text>
        <r>
          <rPr>
            <sz val="10"/>
            <rFont val="Arial"/>
            <family val="2"/>
          </rPr>
          <t xml:space="preserve">1/5 — pas bon du tout
Vin sec face au sucre du dessert : il paraît amer et maigre (P22).
Principes de Pat : P22</t>
        </r>
      </text>
    </comment>
    <comment ref="AN56" authorId="0">
      <text>
        <r>
          <rPr>
            <sz val="10"/>
            <rFont val="Arial"/>
            <family val="2"/>
          </rPr>
          <t xml:space="preserve">1/5 — pas bon du tout
Vin sec face au sucre du dessert : il paraît amer et maigre (P22).
Principes de Pat : P22</t>
        </r>
      </text>
    </comment>
    <comment ref="AN57" authorId="0">
      <text>
        <r>
          <rPr>
            <sz val="10"/>
            <rFont val="Arial"/>
            <family val="2"/>
          </rPr>
          <t xml:space="preserve">1/5 — pas bon du tout
Vin sec face au sucre du dessert : il paraît amer et maigre (P22).
Principes de Pat : P22</t>
        </r>
      </text>
    </comment>
    <comment ref="AN58" authorId="0">
      <text>
        <r>
          <rPr>
            <sz val="10"/>
            <rFont val="Arial"/>
            <family val="2"/>
          </rPr>
          <t xml:space="preserve">1/5 — pas bon du tout
Vin sec face au sucre du dessert : il paraît amer et maigre (P22).
Principes de Pat : P22</t>
        </r>
      </text>
    </comment>
    <comment ref="AN59" authorId="0">
      <text>
        <r>
          <rPr>
            <sz val="10"/>
            <rFont val="Arial"/>
            <family val="2"/>
          </rPr>
          <t xml:space="preserve">1/5 — pas bon du tout
Vin sec face au sucre du dessert : il paraît amer et maigre (P22).
Principes de Pat : P22</t>
        </r>
      </text>
    </comment>
    <comment ref="AN60" authorId="0">
      <text>
        <r>
          <rPr>
            <sz val="10"/>
            <rFont val="Arial"/>
            <family val="2"/>
          </rPr>
          <t xml:space="preserve">1/5 — pas bon du tout
Vin sec face au sucre du dessert : il paraît amer et maigre (P22).
Principes de Pat : P22</t>
        </r>
      </text>
    </comment>
    <comment ref="AN61" authorId="0">
      <text>
        <r>
          <rPr>
            <sz val="10"/>
            <rFont val="Arial"/>
            <family val="2"/>
          </rPr>
          <t xml:space="preserve">1/5 — pas bon du tout
Vin sec face au sucre du dessert : il paraît amer et maigre (P22).
Principes de Pat : P22</t>
        </r>
      </text>
    </comment>
    <comment ref="AN62" authorId="0">
      <text>
        <r>
          <rPr>
            <sz val="10"/>
            <rFont val="Arial"/>
            <family val="2"/>
          </rPr>
          <t xml:space="preserve">1/5 — pas bon du tout
Vin sec face au sucre du dessert : il paraît amer et maigre (P22).
Principes de Pat : P22</t>
        </r>
      </text>
    </comment>
    <comment ref="AN63" authorId="0">
      <text>
        <r>
          <rPr>
            <sz val="10"/>
            <rFont val="Arial"/>
            <family val="2"/>
          </rPr>
          <t xml:space="preserve">1/5 — pas bon du tout
Vin sec face au sucre du dessert : il paraît amer et maigre (P22).
Principes de Pat : P22</t>
        </r>
      </text>
    </comment>
    <comment ref="AN64" authorId="0">
      <text>
        <r>
          <rPr>
            <sz val="10"/>
            <rFont val="Arial"/>
            <family val="2"/>
          </rPr>
          <t xml:space="preserve">1/5 — pas bon du tout
Vin sec face au sucre du dessert : il paraît amer et maigre (P22).
Principes de Pat : P22</t>
        </r>
      </text>
    </comment>
    <comment ref="AN65" authorId="0">
      <text>
        <r>
          <rPr>
            <sz val="10"/>
            <rFont val="Arial"/>
            <family val="2"/>
          </rPr>
          <t xml:space="preserve">1/5 — pas bon du tout
Vin sec face au sucre du dessert : il paraît amer et maigre (P22).
Principes de Pat : P22</t>
        </r>
      </text>
    </comment>
    <comment ref="AN66" authorId="0">
      <text>
        <r>
          <rPr>
            <sz val="10"/>
            <rFont val="Arial"/>
            <family val="2"/>
          </rPr>
          <t xml:space="preserve">1/5 — pas bon du tout
Vin sec face au sucre du dessert : il paraît amer et maigre (P22).
Principes de Pat : P22</t>
        </r>
      </text>
    </comment>
    <comment ref="AN67" authorId="0">
      <text>
        <r>
          <rPr>
            <sz val="10"/>
            <rFont val="Arial"/>
            <family val="2"/>
          </rPr>
          <t xml:space="preserve">1/5 — pas bon du tout
Vin sec face au sucre du dessert : il paraît amer et maigre (P22).
Principes de Pat : P22</t>
        </r>
      </text>
    </comment>
    <comment ref="AN68" authorId="0">
      <text>
        <r>
          <rPr>
            <sz val="10"/>
            <rFont val="Arial"/>
            <family val="2"/>
          </rPr>
          <t xml:space="preserve">1/5 — pas bon du tout
Vin sec face au sucre du dessert : il paraît amer et maigre (P22).
Principes de Pat : P22</t>
        </r>
      </text>
    </comment>
    <comment ref="AN70" authorId="0">
      <text>
        <r>
          <rPr>
            <sz val="10"/>
            <rFont val="Arial"/>
            <family val="2"/>
          </rPr>
          <t xml:space="preserve">1/5 — pas bon du tout
Vin sec face au sucre du dessert : il paraît amer et maigre (P22).
Principes de Pat : P22</t>
        </r>
      </text>
    </comment>
    <comment ref="AN71" authorId="0">
      <text>
        <r>
          <rPr>
            <sz val="10"/>
            <rFont val="Arial"/>
            <family val="2"/>
          </rPr>
          <t xml:space="preserve">1/5 — pas bon du tout
Vin sec face au sucre du dessert : il paraît amer et maigre (P22).
Principes de Pat : P22</t>
        </r>
      </text>
    </comment>
    <comment ref="AN73" authorId="0">
      <text>
        <r>
          <rPr>
            <sz val="10"/>
            <rFont val="Arial"/>
            <family val="2"/>
          </rPr>
          <t xml:space="preserve">1/5 — pas bon du tout
Vin sec face au sucre du dessert : il paraît amer et maigre (P22).
Principes de Pat : P22</t>
        </r>
      </text>
    </comment>
    <comment ref="AN74" authorId="0">
      <text>
        <r>
          <rPr>
            <sz val="10"/>
            <rFont val="Arial"/>
            <family val="2"/>
          </rPr>
          <t xml:space="preserve">1/5 — pas bon du tout
Vin sec face au sucre du dessert : il paraît amer et maigre (P22).
Principes de Pat : P22</t>
        </r>
      </text>
    </comment>
    <comment ref="AN75" authorId="0">
      <text>
        <r>
          <rPr>
            <sz val="10"/>
            <rFont val="Arial"/>
            <family val="2"/>
          </rPr>
          <t xml:space="preserve">1/5 — pas bon du tout
Vin sec face au sucre du dessert : il paraît amer et maigre (P22).
Principes de Pat : P22</t>
        </r>
      </text>
    </comment>
    <comment ref="AN76" authorId="0">
      <text>
        <r>
          <rPr>
            <sz val="10"/>
            <rFont val="Arial"/>
            <family val="2"/>
          </rPr>
          <t xml:space="preserve">1/5 — pas bon du tout
Vin sec face au sucre du dessert : il paraît amer et maigre (P22).
Principes de Pat : P22</t>
        </r>
      </text>
    </comment>
    <comment ref="AN77" authorId="0">
      <text>
        <r>
          <rPr>
            <sz val="10"/>
            <rFont val="Arial"/>
            <family val="2"/>
          </rPr>
          <t xml:space="preserve">1/5 — pas bon du tout
Vin sec face au sucre du dessert : il paraît amer et maigre (P22).
Principes de Pat : P22</t>
        </r>
      </text>
    </comment>
    <comment ref="AN78" authorId="0">
      <text>
        <r>
          <rPr>
            <sz val="10"/>
            <rFont val="Arial"/>
            <family val="2"/>
          </rPr>
          <t xml:space="preserve">1/5 — pas bon du tout
Vin sec face au sucre du dessert : il paraît amer et maigre (P22).
Principes de Pat : P22</t>
        </r>
      </text>
    </comment>
    <comment ref="AN79" authorId="0">
      <text>
        <r>
          <rPr>
            <sz val="10"/>
            <rFont val="Arial"/>
            <family val="2"/>
          </rPr>
          <t xml:space="preserve">1/5 — pas bon du tout
Vin sec face au sucre du dessert : il paraît amer et maigre (P22).
Principes de Pat : P22</t>
        </r>
      </text>
    </comment>
    <comment ref="AN81" authorId="0">
      <text>
        <r>
          <rPr>
            <sz val="10"/>
            <rFont val="Arial"/>
            <family val="2"/>
          </rPr>
          <t xml:space="preserve">4/5 — très bon
Sucre et richesse pour le praliné ; miroir partiel, le vin n'a pas de notes oxydatives (P22, P14, P25).
Principes de Pat : P22, P14, P25</t>
        </r>
      </text>
    </comment>
    <comment ref="AO7" authorId="0">
      <text>
        <r>
          <rPr>
            <sz val="10"/>
            <rFont val="Arial"/>
            <family val="2"/>
          </rPr>
          <t xml:space="preserve">1/5 — pas bon du tout
Vin sec face au sucre du dessert : il paraît amer et maigre (P22, P7, P35).
Principes de Pat : P22, P7, P35</t>
        </r>
      </text>
    </comment>
    <comment ref="AO8" authorId="0">
      <text>
        <r>
          <rPr>
            <sz val="10"/>
            <rFont val="Arial"/>
            <family val="2"/>
          </rPr>
          <t xml:space="preserve">1/5 — pas bon du tout
Vin sec face au sucre du dessert : il paraît amer et maigre (P22, P7, P35).
Principes de Pat : P22, P7, P35</t>
        </r>
      </text>
    </comment>
    <comment ref="AO9" authorId="0">
      <text>
        <r>
          <rPr>
            <sz val="10"/>
            <rFont val="Arial"/>
            <family val="2"/>
          </rPr>
          <t xml:space="preserve">1/5 — pas bon du tout
Vin sec face au sucre du dessert : il paraît amer et maigre (P22, P7, P35).
Principes de Pat : P22, P7, P35</t>
        </r>
      </text>
    </comment>
    <comment ref="AO10" authorId="0">
      <text>
        <r>
          <rPr>
            <sz val="10"/>
            <rFont val="Arial"/>
            <family val="2"/>
          </rPr>
          <t xml:space="preserve">1/5 — pas bon du tout
Vin sec face au sucre du dessert : il paraît amer et maigre (P22, P7, P35).
Principes de Pat : P22, P7, P35</t>
        </r>
      </text>
    </comment>
    <comment ref="AO11" authorId="0">
      <text>
        <r>
          <rPr>
            <sz val="10"/>
            <rFont val="Arial"/>
            <family val="2"/>
          </rPr>
          <t xml:space="preserve">1/5 — pas bon du tout
Vin sec face au sucre du dessert : il paraît amer et maigre (P22, P7, P35).
Principes de Pat : P22, P7, P35</t>
        </r>
      </text>
    </comment>
    <comment ref="AO12" authorId="0">
      <text>
        <r>
          <rPr>
            <sz val="10"/>
            <rFont val="Arial"/>
            <family val="2"/>
          </rPr>
          <t xml:space="preserve">1/5 — pas bon du tout
Vin sec face au sucre du dessert : il paraît amer et maigre (P22, P7, P35).
Principes de Pat : P22, P7, P35</t>
        </r>
      </text>
    </comment>
    <comment ref="AO13" authorId="0">
      <text>
        <r>
          <rPr>
            <sz val="10"/>
            <rFont val="Arial"/>
            <family val="2"/>
          </rPr>
          <t xml:space="preserve">1/5 — pas bon du tout
Vin sec face au sucre du dessert : il paraît amer et maigre (P22, P7, P35).
Principes de Pat : P22, P7, P35</t>
        </r>
      </text>
    </comment>
    <comment ref="AO14" authorId="0">
      <text>
        <r>
          <rPr>
            <sz val="10"/>
            <rFont val="Arial"/>
            <family val="2"/>
          </rPr>
          <t xml:space="preserve">1/5 — pas bon du tout
Vin sec face au sucre du dessert : il paraît amer et maigre (P22, P7, P35).
Principes de Pat : P22, P7, P35</t>
        </r>
      </text>
    </comment>
    <comment ref="AO15" authorId="0">
      <text>
        <r>
          <rPr>
            <sz val="10"/>
            <rFont val="Arial"/>
            <family val="2"/>
          </rPr>
          <t xml:space="preserve">1/5 — pas bon du tout
Vin sec face au sucre du dessert : il paraît amer et maigre (P22, P7, P35).
Principes de Pat : P22, P7, P35</t>
        </r>
      </text>
    </comment>
    <comment ref="AO16" authorId="0">
      <text>
        <r>
          <rPr>
            <sz val="10"/>
            <rFont val="Arial"/>
            <family val="2"/>
          </rPr>
          <t xml:space="preserve">1/5 — pas bon du tout
Vin sec face au sucre du dessert : il paraît amer et maigre (P22, P7, P35).
Principes de Pat : P22, P7, P35</t>
        </r>
      </text>
    </comment>
    <comment ref="AO17" authorId="0">
      <text>
        <r>
          <rPr>
            <sz val="10"/>
            <rFont val="Arial"/>
            <family val="2"/>
          </rPr>
          <t xml:space="preserve">1/5 — pas bon du tout
Vin sec face au sucre du dessert : il paraît amer et maigre (P22, P7, P35).
Principes de Pat : P22, P7, P35</t>
        </r>
      </text>
    </comment>
    <comment ref="AO18" authorId="0">
      <text>
        <r>
          <rPr>
            <sz val="10"/>
            <rFont val="Arial"/>
            <family val="2"/>
          </rPr>
          <t xml:space="preserve">1/5 — pas bon du tout
Vin sec face au sucre du dessert : il paraît amer et maigre (P22, P7, P35).
Principes de Pat : P22, P7, P35</t>
        </r>
      </text>
    </comment>
    <comment ref="AO19" authorId="0">
      <text>
        <r>
          <rPr>
            <sz val="10"/>
            <rFont val="Arial"/>
            <family val="2"/>
          </rPr>
          <t xml:space="preserve">1/5 — pas bon du tout
Vin sec face au sucre du dessert : il paraît amer et maigre (P22, P7, P35).
Principes de Pat : P22, P7, P35</t>
        </r>
      </text>
    </comment>
    <comment ref="AO20" authorId="0">
      <text>
        <r>
          <rPr>
            <sz val="10"/>
            <rFont val="Arial"/>
            <family val="2"/>
          </rPr>
          <t xml:space="preserve">1/5 — pas bon du tout
Vin sec face au sucre du dessert : il paraît amer et maigre (P22, P7, P35).
Principes de Pat : P22, P7, P35</t>
        </r>
      </text>
    </comment>
    <comment ref="AO21" authorId="0">
      <text>
        <r>
          <rPr>
            <sz val="10"/>
            <rFont val="Arial"/>
            <family val="2"/>
          </rPr>
          <t xml:space="preserve">1/5 — pas bon du tout
Vin sec face au sucre du dessert : il paraît amer et maigre (P22, P7, P35).
Principes de Pat : P22, P7, P35</t>
        </r>
      </text>
    </comment>
    <comment ref="AO22" authorId="0">
      <text>
        <r>
          <rPr>
            <sz val="10"/>
            <rFont val="Arial"/>
            <family val="2"/>
          </rPr>
          <t xml:space="preserve">1/5 — pas bon du tout
Vin sec face au sucre du dessert : il paraît amer et maigre (P22, P7, P35).
Principes de Pat : P22, P7, P35</t>
        </r>
      </text>
    </comment>
    <comment ref="AO23" authorId="0">
      <text>
        <r>
          <rPr>
            <sz val="10"/>
            <rFont val="Arial"/>
            <family val="2"/>
          </rPr>
          <t xml:space="preserve">1/5 — pas bon du tout
Vin sec face au sucre du dessert : il paraît amer et maigre (P22, P7, P35).
Principes de Pat : P22, P7, P35</t>
        </r>
      </text>
    </comment>
    <comment ref="AO24" authorId="0">
      <text>
        <r>
          <rPr>
            <sz val="10"/>
            <rFont val="Arial"/>
            <family val="2"/>
          </rPr>
          <t xml:space="preserve">1/5 — pas bon du tout
Vin sec face au sucre du dessert : il paraît amer et maigre (P22, P7, P35).
Principes de Pat : P22, P7, P35</t>
        </r>
      </text>
    </comment>
    <comment ref="AO25" authorId="0">
      <text>
        <r>
          <rPr>
            <sz val="10"/>
            <rFont val="Arial"/>
            <family val="2"/>
          </rPr>
          <t xml:space="preserve">1/5 — pas bon du tout
Vin sec face au sucre du dessert : il paraît amer et maigre (P22, P7, P35).
Principes de Pat : P22, P7, P35</t>
        </r>
      </text>
    </comment>
    <comment ref="AO26" authorId="0">
      <text>
        <r>
          <rPr>
            <sz val="10"/>
            <rFont val="Arial"/>
            <family val="2"/>
          </rPr>
          <t xml:space="preserve">1/5 — pas bon du tout
Vin sec face au sucre du dessert : il paraît amer et maigre (P22, P7, P35).
Principes de Pat : P22, P7, P35</t>
        </r>
      </text>
    </comment>
    <comment ref="AO27" authorId="0">
      <text>
        <r>
          <rPr>
            <sz val="10"/>
            <rFont val="Arial"/>
            <family val="2"/>
          </rPr>
          <t xml:space="preserve">1/5 — pas bon du tout
Vin sec face au sucre du dessert : il paraît amer et maigre (P22, P7, P35).
Principes de Pat : P22, P7, P35</t>
        </r>
      </text>
    </comment>
    <comment ref="AO29" authorId="0">
      <text>
        <r>
          <rPr>
            <sz val="10"/>
            <rFont val="Arial"/>
            <family val="2"/>
          </rPr>
          <t xml:space="preserve">1/5 — pas bon du tout
Vin sec face au sucre du dessert : il paraît amer et maigre (P22, P7, P35).
Principes de Pat : P22, P7, P35</t>
        </r>
      </text>
    </comment>
    <comment ref="AO30" authorId="0">
      <text>
        <r>
          <rPr>
            <sz val="10"/>
            <rFont val="Arial"/>
            <family val="2"/>
          </rPr>
          <t xml:space="preserve">1/5 — pas bon du tout
Vin sec face au sucre du dessert : il paraît amer et maigre (P22, P7, P35).
Principes de Pat : P22, P7, P35</t>
        </r>
      </text>
    </comment>
    <comment ref="AO31" authorId="0">
      <text>
        <r>
          <rPr>
            <sz val="10"/>
            <rFont val="Arial"/>
            <family val="2"/>
          </rPr>
          <t xml:space="preserve">1/5 — pas bon du tout
Vin sec face au sucre du dessert : il paraît amer et maigre (P22, P7, P35).
Principes de Pat : P22, P7, P35</t>
        </r>
      </text>
    </comment>
    <comment ref="AO32" authorId="0">
      <text>
        <r>
          <rPr>
            <sz val="10"/>
            <rFont val="Arial"/>
            <family val="2"/>
          </rPr>
          <t xml:space="preserve">1/5 — pas bon du tout
Vin sec face au sucre du dessert : il paraît amer et maigre (P22, P7, P35).
Principes de Pat : P22, P7, P35</t>
        </r>
      </text>
    </comment>
    <comment ref="AO33" authorId="0">
      <text>
        <r>
          <rPr>
            <sz val="10"/>
            <rFont val="Arial"/>
            <family val="2"/>
          </rPr>
          <t xml:space="preserve">1/5 — pas bon du tout
Vin sec face au sucre du dessert : il paraît amer et maigre (P22, P7, P35).
Principes de Pat : P22, P7, P35</t>
        </r>
      </text>
    </comment>
    <comment ref="AO34" authorId="0">
      <text>
        <r>
          <rPr>
            <sz val="10"/>
            <rFont val="Arial"/>
            <family val="2"/>
          </rPr>
          <t xml:space="preserve">1/5 — pas bon du tout
Vin sec face au sucre du dessert : il paraît amer et maigre (P22, P7, P35).
Principes de Pat : P22, P7, P35</t>
        </r>
      </text>
    </comment>
    <comment ref="AO35" authorId="0">
      <text>
        <r>
          <rPr>
            <sz val="10"/>
            <rFont val="Arial"/>
            <family val="2"/>
          </rPr>
          <t xml:space="preserve">1/5 — pas bon du tout
Vin sec face au sucre du dessert : il paraît amer et maigre (P22, P7, P35).
Principes de Pat : P22, P7, P35</t>
        </r>
      </text>
    </comment>
    <comment ref="AO36" authorId="0">
      <text>
        <r>
          <rPr>
            <sz val="10"/>
            <rFont val="Arial"/>
            <family val="2"/>
          </rPr>
          <t xml:space="preserve">1/5 — pas bon du tout
Vin sec face au sucre du dessert : il paraît amer et maigre (P22, P7, P35).
Principes de Pat : P22, P7, P35</t>
        </r>
      </text>
    </comment>
    <comment ref="AO37" authorId="0">
      <text>
        <r>
          <rPr>
            <sz val="10"/>
            <rFont val="Arial"/>
            <family val="2"/>
          </rPr>
          <t xml:space="preserve">1/5 — pas bon du tout
Vin sec face au sucre du dessert : il paraît amer et maigre (P22, P7, P35).
Principes de Pat : P22, P7, P35</t>
        </r>
      </text>
    </comment>
    <comment ref="AO38" authorId="0">
      <text>
        <r>
          <rPr>
            <sz val="10"/>
            <rFont val="Arial"/>
            <family val="2"/>
          </rPr>
          <t xml:space="preserve">1/5 — pas bon du tout
Vin sec face au sucre du dessert : il paraît amer et maigre (P22, P7, P35).
Principes de Pat : P22, P7, P35</t>
        </r>
      </text>
    </comment>
    <comment ref="AO39" authorId="0">
      <text>
        <r>
          <rPr>
            <sz val="10"/>
            <rFont val="Arial"/>
            <family val="2"/>
          </rPr>
          <t xml:space="preserve">1/5 — pas bon du tout
Vin sec face au sucre du dessert : il paraît amer et maigre (P22, P7, P35).
Principes de Pat : P22, P7, P35</t>
        </r>
      </text>
    </comment>
    <comment ref="AO40" authorId="0">
      <text>
        <r>
          <rPr>
            <sz val="10"/>
            <rFont val="Arial"/>
            <family val="2"/>
          </rPr>
          <t xml:space="preserve">1/5 — pas bon du tout
Vin sec face au sucre du dessert : il paraît amer et maigre (P22, P7, P35).
Principes de Pat : P22, P7, P35</t>
        </r>
      </text>
    </comment>
    <comment ref="AO41" authorId="0">
      <text>
        <r>
          <rPr>
            <sz val="10"/>
            <rFont val="Arial"/>
            <family val="2"/>
          </rPr>
          <t xml:space="preserve">1/5 — pas bon du tout
Vin sec face au sucre du dessert : il paraît amer et maigre (P22, P7, P35).
Principes de Pat : P22, P7, P35</t>
        </r>
      </text>
    </comment>
    <comment ref="AO42" authorId="0">
      <text>
        <r>
          <rPr>
            <sz val="10"/>
            <rFont val="Arial"/>
            <family val="2"/>
          </rPr>
          <t xml:space="preserve">1/5 — pas bon du tout
Vin sec face au sucre du dessert : il paraît amer et maigre (P22, P7, P35).
Principes de Pat : P22, P7, P35</t>
        </r>
      </text>
    </comment>
    <comment ref="AO43" authorId="0">
      <text>
        <r>
          <rPr>
            <sz val="10"/>
            <rFont val="Arial"/>
            <family val="2"/>
          </rPr>
          <t xml:space="preserve">1/5 — pas bon du tout
Vin sec face au sucre du dessert : il paraît amer et maigre (P22, P7, P35).
Principes de Pat : P22, P7, P35</t>
        </r>
      </text>
    </comment>
    <comment ref="AO44" authorId="0">
      <text>
        <r>
          <rPr>
            <sz val="10"/>
            <rFont val="Arial"/>
            <family val="2"/>
          </rPr>
          <t xml:space="preserve">1/5 — pas bon du tout
Vin sec face au sucre du dessert : il paraît amer et maigre (P22, P7, P35).
Principes de Pat : P22, P7, P35</t>
        </r>
      </text>
    </comment>
    <comment ref="AO45" authorId="0">
      <text>
        <r>
          <rPr>
            <sz val="10"/>
            <rFont val="Arial"/>
            <family val="2"/>
          </rPr>
          <t xml:space="preserve">1/5 — pas bon du tout
Vin sec face au sucre du dessert : il paraît amer et maigre (P22, P7, P35).
Principes de Pat : P22, P7, P35</t>
        </r>
      </text>
    </comment>
    <comment ref="AO46" authorId="0">
      <text>
        <r>
          <rPr>
            <sz val="10"/>
            <rFont val="Arial"/>
            <family val="2"/>
          </rPr>
          <t xml:space="preserve">1/5 — pas bon du tout
Vin sec face au sucre du dessert : il paraît amer et maigre (P22, P7, P35).
Principes de Pat : P22, P7, P35</t>
        </r>
      </text>
    </comment>
    <comment ref="AO47" authorId="0">
      <text>
        <r>
          <rPr>
            <sz val="10"/>
            <rFont val="Arial"/>
            <family val="2"/>
          </rPr>
          <t xml:space="preserve">1/5 — pas bon du tout
Vin sec face au sucre du dessert : il paraît amer et maigre (P22, P7, P35).
Principes de Pat : P22, P7, P35</t>
        </r>
      </text>
    </comment>
    <comment ref="AO48" authorId="0">
      <text>
        <r>
          <rPr>
            <sz val="10"/>
            <rFont val="Arial"/>
            <family val="2"/>
          </rPr>
          <t xml:space="preserve">1/5 — pas bon du tout
Vin sec face au sucre du dessert : il paraît amer et maigre (P22, P7, P35).
Principes de Pat : P22, P7, P35</t>
        </r>
      </text>
    </comment>
    <comment ref="AO49" authorId="0">
      <text>
        <r>
          <rPr>
            <sz val="10"/>
            <rFont val="Arial"/>
            <family val="2"/>
          </rPr>
          <t xml:space="preserve">1/5 — pas bon du tout
Vin sec face au sucre du dessert : il paraît amer et maigre (P22, P7, P35).
Principes de Pat : P22, P7, P35</t>
        </r>
      </text>
    </comment>
    <comment ref="AO50" authorId="0">
      <text>
        <r>
          <rPr>
            <sz val="10"/>
            <rFont val="Arial"/>
            <family val="2"/>
          </rPr>
          <t xml:space="preserve">1/5 — pas bon du tout
Vin sec face au sucre du dessert : il paraît amer et maigre (P22, P7, P35).
Principes de Pat : P22, P7, P35</t>
        </r>
      </text>
    </comment>
    <comment ref="AO51" authorId="0">
      <text>
        <r>
          <rPr>
            <sz val="10"/>
            <rFont val="Arial"/>
            <family val="2"/>
          </rPr>
          <t xml:space="preserve">1/5 — pas bon du tout
Vin sec face au sucre du dessert : il paraît amer et maigre (P22, P7, P35).
Principes de Pat : P22, P7, P35</t>
        </r>
      </text>
    </comment>
    <comment ref="AO52" authorId="0">
      <text>
        <r>
          <rPr>
            <sz val="10"/>
            <rFont val="Arial"/>
            <family val="2"/>
          </rPr>
          <t xml:space="preserve">1/5 — pas bon du tout
Vin sec face au sucre du dessert : il paraît amer et maigre (P22, P7, P35).
Principes de Pat : P22, P7, P35</t>
        </r>
      </text>
    </comment>
    <comment ref="AO53" authorId="0">
      <text>
        <r>
          <rPr>
            <sz val="10"/>
            <rFont val="Arial"/>
            <family val="2"/>
          </rPr>
          <t xml:space="preserve">1/5 — pas bon du tout
Vin sec face au sucre du dessert : il paraît amer et maigre (P22, P7, P35).
Principes de Pat : P22, P7, P35</t>
        </r>
      </text>
    </comment>
    <comment ref="AO54" authorId="0">
      <text>
        <r>
          <rPr>
            <sz val="10"/>
            <rFont val="Arial"/>
            <family val="2"/>
          </rPr>
          <t xml:space="preserve">1/5 — pas bon du tout
Vin sec face au sucre du dessert : il paraît amer et maigre (P22, P7, P35).
Principes de Pat : P22, P7, P35</t>
        </r>
      </text>
    </comment>
    <comment ref="AO55" authorId="0">
      <text>
        <r>
          <rPr>
            <sz val="10"/>
            <rFont val="Arial"/>
            <family val="2"/>
          </rPr>
          <t xml:space="preserve">1/5 — pas bon du tout
Vin sec face au sucre du dessert : il paraît amer et maigre (P22, P7, P35).
Principes de Pat : P22, P7, P35</t>
        </r>
      </text>
    </comment>
    <comment ref="AO56" authorId="0">
      <text>
        <r>
          <rPr>
            <sz val="10"/>
            <rFont val="Arial"/>
            <family val="2"/>
          </rPr>
          <t xml:space="preserve">1/5 — pas bon du tout
Vin sec face au sucre du dessert : il paraît amer et maigre (P22, P7, P35).
Principes de Pat : P22, P7, P35</t>
        </r>
      </text>
    </comment>
    <comment ref="AO57" authorId="0">
      <text>
        <r>
          <rPr>
            <sz val="10"/>
            <rFont val="Arial"/>
            <family val="2"/>
          </rPr>
          <t xml:space="preserve">1/5 — pas bon du tout
Vin sec face au sucre du dessert : il paraît amer et maigre (P22, P7, P35).
Principes de Pat : P22, P7, P35</t>
        </r>
      </text>
    </comment>
    <comment ref="AO58" authorId="0">
      <text>
        <r>
          <rPr>
            <sz val="10"/>
            <rFont val="Arial"/>
            <family val="2"/>
          </rPr>
          <t xml:space="preserve">1/5 — pas bon du tout
Vin sec face au sucre du dessert : il paraît amer et maigre (P22, P7, P35).
Principes de Pat : P22, P7, P35</t>
        </r>
      </text>
    </comment>
    <comment ref="AO59" authorId="0">
      <text>
        <r>
          <rPr>
            <sz val="10"/>
            <rFont val="Arial"/>
            <family val="2"/>
          </rPr>
          <t xml:space="preserve">1/5 — pas bon du tout
Vin sec face au sucre du dessert : il paraît amer et maigre (P22, P7, P35).
Principes de Pat : P22, P7, P35</t>
        </r>
      </text>
    </comment>
    <comment ref="AO60" authorId="0">
      <text>
        <r>
          <rPr>
            <sz val="10"/>
            <rFont val="Arial"/>
            <family val="2"/>
          </rPr>
          <t xml:space="preserve">1/5 — pas bon du tout
Vin sec face au sucre du dessert : il paraît amer et maigre (P22, P7, P35).
Principes de Pat : P22, P7, P35</t>
        </r>
      </text>
    </comment>
    <comment ref="AO61" authorId="0">
      <text>
        <r>
          <rPr>
            <sz val="10"/>
            <rFont val="Arial"/>
            <family val="2"/>
          </rPr>
          <t xml:space="preserve">1/5 — pas bon du tout
Vin sec face au sucre du dessert : il paraît amer et maigre (P22, P7, P35).
Principes de Pat : P22, P7, P35</t>
        </r>
      </text>
    </comment>
    <comment ref="AO62" authorId="0">
      <text>
        <r>
          <rPr>
            <sz val="10"/>
            <rFont val="Arial"/>
            <family val="2"/>
          </rPr>
          <t xml:space="preserve">1/5 — pas bon du tout
Vin sec face au sucre du dessert : il paraît amer et maigre (P22, P7, P35).
Principes de Pat : P22, P7, P35</t>
        </r>
      </text>
    </comment>
    <comment ref="AO63" authorId="0">
      <text>
        <r>
          <rPr>
            <sz val="10"/>
            <rFont val="Arial"/>
            <family val="2"/>
          </rPr>
          <t xml:space="preserve">1/5 — pas bon du tout
Vin sec face au sucre du dessert : il paraît amer et maigre (P22, P7, P35).
Principes de Pat : P22, P7, P35</t>
        </r>
      </text>
    </comment>
    <comment ref="AO64" authorId="0">
      <text>
        <r>
          <rPr>
            <sz val="10"/>
            <rFont val="Arial"/>
            <family val="2"/>
          </rPr>
          <t xml:space="preserve">1/5 — pas bon du tout
Vin sec face au sucre du dessert : il paraît amer et maigre (P22, P7, P35).
Principes de Pat : P22, P7, P35</t>
        </r>
      </text>
    </comment>
    <comment ref="AO65" authorId="0">
      <text>
        <r>
          <rPr>
            <sz val="10"/>
            <rFont val="Arial"/>
            <family val="2"/>
          </rPr>
          <t xml:space="preserve">1/5 — pas bon du tout
Vin sec face au sucre du dessert : il paraît amer et maigre (P22, P7, P35).
Principes de Pat : P22, P7, P35</t>
        </r>
      </text>
    </comment>
    <comment ref="AO66" authorId="0">
      <text>
        <r>
          <rPr>
            <sz val="10"/>
            <rFont val="Arial"/>
            <family val="2"/>
          </rPr>
          <t xml:space="preserve">1/5 — pas bon du tout
Vin sec face au sucre du dessert : il paraît amer et maigre (P22, P7, P35).
Principes de Pat : P22, P7, P35</t>
        </r>
      </text>
    </comment>
    <comment ref="AO67" authorId="0">
      <text>
        <r>
          <rPr>
            <sz val="10"/>
            <rFont val="Arial"/>
            <family val="2"/>
          </rPr>
          <t xml:space="preserve">1/5 — pas bon du tout
Vin sec face au sucre du dessert : il paraît amer et maigre (P22, P7, P35).
Principes de Pat : P22, P7, P35</t>
        </r>
      </text>
    </comment>
    <comment ref="AO68" authorId="0">
      <text>
        <r>
          <rPr>
            <sz val="10"/>
            <rFont val="Arial"/>
            <family val="2"/>
          </rPr>
          <t xml:space="preserve">1/5 — pas bon du tout
Vin sec face au sucre du dessert : il paraît amer et maigre (P22, P7, P35).
Principes de Pat : P22, P7, P35</t>
        </r>
      </text>
    </comment>
    <comment ref="AO70" authorId="0">
      <text>
        <r>
          <rPr>
            <sz val="10"/>
            <rFont val="Arial"/>
            <family val="2"/>
          </rPr>
          <t xml:space="preserve">1/5 — pas bon du tout
Vin sec face au sucre du dessert : il paraît amer et maigre (P22, P7, P35).
Principes de Pat : P22, P7, P35</t>
        </r>
      </text>
    </comment>
    <comment ref="AO71" authorId="0">
      <text>
        <r>
          <rPr>
            <sz val="10"/>
            <rFont val="Arial"/>
            <family val="2"/>
          </rPr>
          <t xml:space="preserve">1/5 — pas bon du tout
Vin sec face au sucre du dessert : il paraît amer et maigre (P22, P7, P35).
Principes de Pat : P22, P7, P35</t>
        </r>
      </text>
    </comment>
    <comment ref="AO73" authorId="0">
      <text>
        <r>
          <rPr>
            <sz val="10"/>
            <rFont val="Arial"/>
            <family val="2"/>
          </rPr>
          <t xml:space="preserve">2/5 — médiocre
Bulle légère et peu d'alcool, mais moins sucrée que le sorbet ; agrume et vodka plafonnent (P22, P35, P7).
Principes de Pat : P22, P35, P7</t>
        </r>
      </text>
    </comment>
    <comment ref="AO74" authorId="0">
      <text>
        <r>
          <rPr>
            <sz val="10"/>
            <rFont val="Arial"/>
            <family val="2"/>
          </rPr>
          <t xml:space="preserve">1/5 — pas bon du tout
Vin sec face au sucre du dessert : il paraît amer et maigre (P22, P7, P35).
Principes de Pat : P22, P7, P35</t>
        </r>
      </text>
    </comment>
    <comment ref="AO75" authorId="0">
      <text>
        <r>
          <rPr>
            <sz val="10"/>
            <rFont val="Arial"/>
            <family val="2"/>
          </rPr>
          <t xml:space="preserve">1/5 — pas bon du tout
Vin sec face au sucre du dessert : il paraît amer et maigre (P22, P7, P35).
Principes de Pat : P22, P7, P35</t>
        </r>
      </text>
    </comment>
    <comment ref="AO76" authorId="0">
      <text>
        <r>
          <rPr>
            <sz val="10"/>
            <rFont val="Arial"/>
            <family val="2"/>
          </rPr>
          <t xml:space="preserve">1/5 — pas bon du tout
Vin sec face au sucre du dessert : il paraît amer et maigre (P22, P7, P35).
Principes de Pat : P22, P7, P35</t>
        </r>
      </text>
    </comment>
    <comment ref="AO77" authorId="0">
      <text>
        <r>
          <rPr>
            <sz val="10"/>
            <rFont val="Arial"/>
            <family val="2"/>
          </rPr>
          <t xml:space="preserve">1/5 — pas bon du tout
Vin sec face au sucre du dessert : il paraît amer et maigre (P22, P7, P35).
Principes de Pat : P22, P7, P35</t>
        </r>
      </text>
    </comment>
    <comment ref="AO78" authorId="0">
      <text>
        <r>
          <rPr>
            <sz val="10"/>
            <rFont val="Arial"/>
            <family val="2"/>
          </rPr>
          <t xml:space="preserve">1/5 — pas bon du tout
Vin sec face au sucre du dessert : il paraît amer et maigre (P22, P7, P35).
Principes de Pat : P22, P7, P35</t>
        </r>
      </text>
    </comment>
    <comment ref="AO79" authorId="0">
      <text>
        <r>
          <rPr>
            <sz val="10"/>
            <rFont val="Arial"/>
            <family val="2"/>
          </rPr>
          <t xml:space="preserve">1/5 — pas bon du tout
Vin sec face au sucre du dessert : il paraît amer et maigre (P22, P7, P35).
Principes de Pat : P22, P7, P35</t>
        </r>
      </text>
    </comment>
    <comment ref="AO81" authorId="0">
      <text>
        <r>
          <rPr>
            <sz val="10"/>
            <rFont val="Arial"/>
            <family val="2"/>
          </rPr>
          <t xml:space="preserve">2/5 — médiocre
Le sucre adoucit le citron du sorbet, mais son alcool s'ajoute à la vodka ; accord déconseillé (P7, P22, P35).
Principes de Pat : P7, P22, P35</t>
        </r>
      </text>
    </comment>
    <comment ref="AP7" authorId="0">
      <text>
        <r>
          <rPr>
            <sz val="10"/>
            <rFont val="Arial"/>
            <family val="2"/>
          </rPr>
          <t xml:space="preserve">3/5 — correct
Blanc tendu sans bois, sûr sur pâte fraîche ou pressée, sans garantie sur un bleu (P5, P18).
Principes de Pat : P5, P18</t>
        </r>
      </text>
    </comment>
    <comment ref="AP8" authorId="0">
      <text>
        <r>
          <rPr>
            <sz val="10"/>
            <rFont val="Arial"/>
            <family val="2"/>
          </rPr>
          <t xml:space="preserve">3/5 — correct
Blanc tendu sans bois, sûr sur pâte fraîche ou pressée, sans garantie sur un bleu (P5, P18).
Principes de Pat : P5, P18</t>
        </r>
      </text>
    </comment>
    <comment ref="AP9" authorId="0">
      <text>
        <r>
          <rPr>
            <sz val="10"/>
            <rFont val="Arial"/>
            <family val="2"/>
          </rPr>
          <t xml:space="preserve">3/5 — correct
Blanc tendu sans bois, sûr sur pâte fraîche ou pressée, sans garantie sur un bleu (P5, P18).
Principes de Pat : P5, P18</t>
        </r>
      </text>
    </comment>
    <comment ref="AP10" authorId="0">
      <text>
        <r>
          <rPr>
            <sz val="10"/>
            <rFont val="Arial"/>
            <family val="2"/>
          </rPr>
          <t xml:space="preserve">3/5 — correct
Blanc tendu et patiné, bien sur pâte pressée ; son bois gêne sur un chèvre (P5, P19, P18).
Principes de Pat : P5, P19, P18</t>
        </r>
      </text>
    </comment>
    <comment ref="AP11" authorId="0">
      <text>
        <r>
          <rPr>
            <sz val="10"/>
            <rFont val="Arial"/>
            <family val="2"/>
          </rPr>
          <t xml:space="preserve">3/5 — correct
Blanc tendu sans bois, sûr sur pâte fraîche ou pressée, sans garantie sur un bleu (P5, P18).
Principes de Pat : P5, P18</t>
        </r>
      </text>
    </comment>
    <comment ref="AP12" authorId="0">
      <text>
        <r>
          <rPr>
            <sz val="10"/>
            <rFont val="Arial"/>
            <family val="2"/>
          </rPr>
          <t xml:space="preserve">2/5 — médiocre
Blanc peu acide qui manque de tension face au sel et au gras (P5, P3).
Principes de Pat : P5, P3</t>
        </r>
      </text>
    </comment>
    <comment ref="AP13" authorId="0">
      <text>
        <r>
          <rPr>
            <sz val="10"/>
            <rFont val="Arial"/>
            <family val="2"/>
          </rPr>
          <t xml:space="preserve">2/5 — médiocre
Blanc peu acide qui manque de tension face au sel et au gras (P5, P3).
Principes de Pat : P5, P3</t>
        </r>
      </text>
    </comment>
    <comment ref="AP14" authorId="0">
      <text>
        <r>
          <rPr>
            <sz val="10"/>
            <rFont val="Arial"/>
            <family val="2"/>
          </rPr>
          <t xml:space="preserve">3/5 — correct
Blanc tendu et patiné, bien sur pâte pressée ; son bois gêne sur un chèvre (P5, P19, P18).
Principes de Pat : P5, P19, P18</t>
        </r>
      </text>
    </comment>
    <comment ref="AP15" authorId="0">
      <text>
        <r>
          <rPr>
            <sz val="10"/>
            <rFont val="Arial"/>
            <family val="2"/>
          </rPr>
          <t xml:space="preserve">3/5 — correct
Blanc tendu et patiné, bien sur pâte pressée ; son bois gêne sur un chèvre (P5, P19, P18).
Principes de Pat : P5, P19, P18</t>
        </r>
      </text>
    </comment>
    <comment ref="AP16" authorId="0">
      <text>
        <r>
          <rPr>
            <sz val="10"/>
            <rFont val="Arial"/>
            <family val="2"/>
          </rPr>
          <t xml:space="preserve">2/5 — médiocre
Blanc peu acide qui manque de tension face au sel et au gras (P5, P3).
Principes de Pat : P5, P3</t>
        </r>
      </text>
    </comment>
    <comment ref="AP17" authorId="0">
      <text>
        <r>
          <rPr>
            <sz val="10"/>
            <rFont val="Arial"/>
            <family val="2"/>
          </rPr>
          <t xml:space="preserve">3/5 — correct
Blanc ample et patiné, bien sur pâte pressée affinée, lourd sur pâte fraîche (P5, P18).
Principes de Pat : P5, P18</t>
        </r>
      </text>
    </comment>
    <comment ref="AP18" authorId="0">
      <text>
        <r>
          <rPr>
            <sz val="10"/>
            <rFont val="Arial"/>
            <family val="2"/>
          </rPr>
          <t xml:space="preserve">3/5 — correct
Blanc ample et patiné, bien sur pâte pressée affinée, lourd sur pâte fraîche (P5, P18).
Principes de Pat : P5, P18</t>
        </r>
      </text>
    </comment>
    <comment ref="AP19" authorId="0">
      <text>
        <r>
          <rPr>
            <sz val="10"/>
            <rFont val="Arial"/>
            <family val="2"/>
          </rPr>
          <t xml:space="preserve">3/5 — correct
Blanc tendu et patiné, bien sur pâte pressée ; son bois gêne sur un chèvre (P5, P19, P18).
Principes de Pat : P5, P19, P18</t>
        </r>
      </text>
    </comment>
    <comment ref="AP20" authorId="0">
      <text>
        <r>
          <rPr>
            <sz val="10"/>
            <rFont val="Arial"/>
            <family val="2"/>
          </rPr>
          <t xml:space="preserve">2/5 — médiocre
Blanc peu acide qui manque de tension face au sel et au gras (P5, P3).
Principes de Pat : P5, P3</t>
        </r>
      </text>
    </comment>
    <comment ref="AP21" authorId="0">
      <text>
        <r>
          <rPr>
            <sz val="10"/>
            <rFont val="Arial"/>
            <family val="2"/>
          </rPr>
          <t xml:space="preserve">2/5 — médiocre
Blanc peu acide qui manque de tension face au sel et au gras (P5, P3).
Principes de Pat : P5, P3</t>
        </r>
      </text>
    </comment>
    <comment ref="AP22" authorId="0">
      <text>
        <r>
          <rPr>
            <sz val="10"/>
            <rFont val="Arial"/>
            <family val="2"/>
          </rPr>
          <t xml:space="preserve">2/5 — médiocre
Blanc peu acide qui manque de tension face au sel et au gras (P5, P3).
Principes de Pat : P5, P3</t>
        </r>
      </text>
    </comment>
    <comment ref="AP23" authorId="0">
      <text>
        <r>
          <rPr>
            <sz val="10"/>
            <rFont val="Arial"/>
            <family val="2"/>
          </rPr>
          <t xml:space="preserve">2/5 — médiocre
Blanc peu acide qui manque de tension face au sel et au gras (P5, P3).
Principes de Pat : P5, P3</t>
        </r>
      </text>
    </comment>
    <comment ref="AP24" authorId="0">
      <text>
        <r>
          <rPr>
            <sz val="10"/>
            <rFont val="Arial"/>
            <family val="2"/>
          </rPr>
          <t xml:space="preserve">3/5 — correct
Blanc tendu sans bois, sûr sur pâte fraîche ou pressée, sans garantie sur un bleu (P5, P18).
Principes de Pat : P5, P18</t>
        </r>
      </text>
    </comment>
    <comment ref="AP25" authorId="0">
      <text>
        <r>
          <rPr>
            <sz val="10"/>
            <rFont val="Arial"/>
            <family val="2"/>
          </rPr>
          <t xml:space="preserve">2/5 — médiocre
Blanc peu acide qui manque de tension face au sel et au gras (P5, P3).
Principes de Pat : P5, P3</t>
        </r>
      </text>
    </comment>
    <comment ref="AP26" authorId="0">
      <text>
        <r>
          <rPr>
            <sz val="10"/>
            <rFont val="Arial"/>
            <family val="2"/>
          </rPr>
          <t xml:space="preserve">4/5 — très bon
Tendu et texturé, en partie élevé sous voile : le profil qui tient trois fromages (P5, P18).
Principes de Pat : P5, P18</t>
        </r>
      </text>
    </comment>
    <comment ref="AP27" authorId="0">
      <text>
        <r>
          <rPr>
            <sz val="10"/>
            <rFont val="Arial"/>
            <family val="2"/>
          </rPr>
          <t xml:space="preserve">3/5 — correct
Blanc tendu sans bois, sûr sur pâte fraîche ou pressée, sans garantie sur un bleu (P5, P18).
Principes de Pat : P5, P18</t>
        </r>
      </text>
    </comment>
    <comment ref="AP29" authorId="0">
      <text>
        <r>
          <rPr>
            <sz val="10"/>
            <rFont val="Arial"/>
            <family val="2"/>
          </rPr>
          <t xml:space="preserve">2/5 — médiocre
Rouge léger, mais le fromage repousse le tanin (P5).
Principes de Pat : P5</t>
        </r>
      </text>
    </comment>
    <comment ref="AP30" authorId="0">
      <text>
        <r>
          <rPr>
            <sz val="10"/>
            <rFont val="Arial"/>
            <family val="2"/>
          </rPr>
          <t xml:space="preserve">1/5 — pas bon du tout
Rouge jeune tannique, durci par le fromage (P5, P29).
Principes de Pat : P5, P29</t>
        </r>
      </text>
    </comment>
    <comment ref="AP31" authorId="0">
      <text>
        <r>
          <rPr>
            <sz val="10"/>
            <rFont val="Arial"/>
            <family val="2"/>
          </rPr>
          <t xml:space="preserve">3/5 — correct
Rouge évolué aux tanins fondus, bien sur pâte pressée, risqué sur pâte fraîche (P5, P18).
Principes de Pat : P5, P18</t>
        </r>
      </text>
    </comment>
    <comment ref="AP32" authorId="0">
      <text>
        <r>
          <rPr>
            <sz val="10"/>
            <rFont val="Arial"/>
            <family val="2"/>
          </rPr>
          <t xml:space="preserve">1/5 — pas bon du tout
Rouge jeune tannique, durci par le fromage (P5, P29).
Principes de Pat : P5, P29</t>
        </r>
      </text>
    </comment>
    <comment ref="AP33" authorId="0">
      <text>
        <r>
          <rPr>
            <sz val="10"/>
            <rFont val="Arial"/>
            <family val="2"/>
          </rPr>
          <t xml:space="preserve">1/5 — pas bon du tout
Rouge jeune tannique, durci par le fromage (P5, P29).
Principes de Pat : P5, P29</t>
        </r>
      </text>
    </comment>
    <comment ref="AP34" authorId="0">
      <text>
        <r>
          <rPr>
            <sz val="10"/>
            <rFont val="Arial"/>
            <family val="2"/>
          </rPr>
          <t xml:space="preserve">1/5 — pas bon du tout
Rouge jeune tannique, durci par le fromage (P5, P29).
Principes de Pat : P5, P29</t>
        </r>
      </text>
    </comment>
    <comment ref="AP35" authorId="0">
      <text>
        <r>
          <rPr>
            <sz val="10"/>
            <rFont val="Arial"/>
            <family val="2"/>
          </rPr>
          <t xml:space="preserve">1/5 — pas bon du tout
Rouge jeune tannique, durci par le fromage (P5, P29).
Principes de Pat : P5, P29</t>
        </r>
      </text>
    </comment>
    <comment ref="AP36" authorId="0">
      <text>
        <r>
          <rPr>
            <sz val="10"/>
            <rFont val="Arial"/>
            <family val="2"/>
          </rPr>
          <t xml:space="preserve">1/5 — pas bon du tout
Rouge jeune tannique, durci par le fromage (P5, P29).
Principes de Pat : P5, P29</t>
        </r>
      </text>
    </comment>
    <comment ref="AP37" authorId="0">
      <text>
        <r>
          <rPr>
            <sz val="10"/>
            <rFont val="Arial"/>
            <family val="2"/>
          </rPr>
          <t xml:space="preserve">1/5 — pas bon du tout
Rouge jeune tannique, durci par le fromage (P5, P29).
Principes de Pat : P5, P29</t>
        </r>
      </text>
    </comment>
    <comment ref="AP38" authorId="0">
      <text>
        <r>
          <rPr>
            <sz val="10"/>
            <rFont val="Arial"/>
            <family val="2"/>
          </rPr>
          <t xml:space="preserve">1/5 — pas bon du tout
Rouge jeune tannique, durci par le fromage (P5, P29).
Principes de Pat : P5, P29</t>
        </r>
      </text>
    </comment>
    <comment ref="AP39" authorId="0">
      <text>
        <r>
          <rPr>
            <sz val="10"/>
            <rFont val="Arial"/>
            <family val="2"/>
          </rPr>
          <t xml:space="preserve">1/5 — pas bon du tout
Rouge jeune tannique, durci par le fromage (P5, P29).
Principes de Pat : P5, P29</t>
        </r>
      </text>
    </comment>
    <comment ref="AP40" authorId="0">
      <text>
        <r>
          <rPr>
            <sz val="10"/>
            <rFont val="Arial"/>
            <family val="2"/>
          </rPr>
          <t xml:space="preserve">1/5 — pas bon du tout
Rouge jeune tannique, durci par le fromage (P5, P29).
Principes de Pat : P5, P29</t>
        </r>
      </text>
    </comment>
    <comment ref="AP41" authorId="0">
      <text>
        <r>
          <rPr>
            <sz val="10"/>
            <rFont val="Arial"/>
            <family val="2"/>
          </rPr>
          <t xml:space="preserve">1/5 — pas bon du tout
Rouge jeune tannique, durci par le fromage (P5, P29).
Principes de Pat : P5, P29</t>
        </r>
      </text>
    </comment>
    <comment ref="AP42" authorId="0">
      <text>
        <r>
          <rPr>
            <sz val="10"/>
            <rFont val="Arial"/>
            <family val="2"/>
          </rPr>
          <t xml:space="preserve">1/5 — pas bon du tout
Rouge jeune tannique, durci par le fromage (P5, P29).
Principes de Pat : P5, P29</t>
        </r>
      </text>
    </comment>
    <comment ref="AP43" authorId="0">
      <text>
        <r>
          <rPr>
            <sz val="10"/>
            <rFont val="Arial"/>
            <family val="2"/>
          </rPr>
          <t xml:space="preserve">1/5 — pas bon du tout
Rouge jeune tannique, durci par le fromage (P5, P29).
Principes de Pat : P5, P29</t>
        </r>
      </text>
    </comment>
    <comment ref="AP44" authorId="0">
      <text>
        <r>
          <rPr>
            <sz val="10"/>
            <rFont val="Arial"/>
            <family val="2"/>
          </rPr>
          <t xml:space="preserve">1/5 — pas bon du tout
Rouge jeune tannique, durci par le fromage (P5, P29).
Principes de Pat : P5, P29</t>
        </r>
      </text>
    </comment>
    <comment ref="AP45" authorId="0">
      <text>
        <r>
          <rPr>
            <sz val="10"/>
            <rFont val="Arial"/>
            <family val="2"/>
          </rPr>
          <t xml:space="preserve">1/5 — pas bon du tout
Rouge jeune tannique, durci par le fromage (P5, P29).
Principes de Pat : P5, P29</t>
        </r>
      </text>
    </comment>
    <comment ref="AP46" authorId="0">
      <text>
        <r>
          <rPr>
            <sz val="10"/>
            <rFont val="Arial"/>
            <family val="2"/>
          </rPr>
          <t xml:space="preserve">1/5 — pas bon du tout
Rouge jeune tannique, durci par le fromage (P5, P29).
Principes de Pat : P5, P29</t>
        </r>
      </text>
    </comment>
    <comment ref="AP47" authorId="0">
      <text>
        <r>
          <rPr>
            <sz val="10"/>
            <rFont val="Arial"/>
            <family val="2"/>
          </rPr>
          <t xml:space="preserve">1/5 — pas bon du tout
Rouge jeune tannique, durci par le fromage (P5, P29).
Principes de Pat : P5, P29</t>
        </r>
      </text>
    </comment>
    <comment ref="AP48" authorId="0">
      <text>
        <r>
          <rPr>
            <sz val="10"/>
            <rFont val="Arial"/>
            <family val="2"/>
          </rPr>
          <t xml:space="preserve">1/5 — pas bon du tout
Rouge jeune tannique, durci par le fromage (P5, P29).
Principes de Pat : P5, P29</t>
        </r>
      </text>
    </comment>
    <comment ref="AP49" authorId="0">
      <text>
        <r>
          <rPr>
            <sz val="10"/>
            <rFont val="Arial"/>
            <family val="2"/>
          </rPr>
          <t xml:space="preserve">1/5 — pas bon du tout
Rouge jeune tannique, durci par le fromage (P5, P29).
Principes de Pat : P5, P29</t>
        </r>
      </text>
    </comment>
    <comment ref="AP50" authorId="0">
      <text>
        <r>
          <rPr>
            <sz val="10"/>
            <rFont val="Arial"/>
            <family val="2"/>
          </rPr>
          <t xml:space="preserve">1/5 — pas bon du tout
Rouge jeune tannique, durci par le fromage (P5, P29).
Principes de Pat : P5, P29</t>
        </r>
      </text>
    </comment>
    <comment ref="AP51" authorId="0">
      <text>
        <r>
          <rPr>
            <sz val="10"/>
            <rFont val="Arial"/>
            <family val="2"/>
          </rPr>
          <t xml:space="preserve">2/5 — médiocre
Tanins assouplis, mais le fromage durcit encore ce rouge (P5, P18).
Principes de Pat : P5, P18</t>
        </r>
      </text>
    </comment>
    <comment ref="AP52" authorId="0">
      <text>
        <r>
          <rPr>
            <sz val="10"/>
            <rFont val="Arial"/>
            <family val="2"/>
          </rPr>
          <t xml:space="preserve">1/5 — pas bon du tout
Rouge jeune tannique, durci par le fromage (P5, P29).
Principes de Pat : P5, P29</t>
        </r>
      </text>
    </comment>
    <comment ref="AP53" authorId="0">
      <text>
        <r>
          <rPr>
            <sz val="10"/>
            <rFont val="Arial"/>
            <family val="2"/>
          </rPr>
          <t xml:space="preserve">1/5 — pas bon du tout
Rouge jeune tannique, durci par le fromage (P5, P29).
Principes de Pat : P5, P29</t>
        </r>
      </text>
    </comment>
    <comment ref="AP54" authorId="0">
      <text>
        <r>
          <rPr>
            <sz val="10"/>
            <rFont val="Arial"/>
            <family val="2"/>
          </rPr>
          <t xml:space="preserve">1/5 — pas bon du tout
Rouge jeune tannique, durci par le fromage (P5, P29).
Principes de Pat : P5, P29</t>
        </r>
      </text>
    </comment>
    <comment ref="AP55" authorId="0">
      <text>
        <r>
          <rPr>
            <sz val="10"/>
            <rFont val="Arial"/>
            <family val="2"/>
          </rPr>
          <t xml:space="preserve">1/5 — pas bon du tout
Rouge jeune tannique, durci par le fromage (P5, P29).
Principes de Pat : P5, P29</t>
        </r>
      </text>
    </comment>
    <comment ref="AP56" authorId="0">
      <text>
        <r>
          <rPr>
            <sz val="10"/>
            <rFont val="Arial"/>
            <family val="2"/>
          </rPr>
          <t xml:space="preserve">2/5 — médiocre
Tanins assouplis, mais le fromage durcit encore ce rouge (P5, P18).
Principes de Pat : P5, P18</t>
        </r>
      </text>
    </comment>
    <comment ref="AP57" authorId="0">
      <text>
        <r>
          <rPr>
            <sz val="10"/>
            <rFont val="Arial"/>
            <family val="2"/>
          </rPr>
          <t xml:space="preserve">1/5 — pas bon du tout
Rouge jeune tannique, durci par le fromage (P5, P29).
Principes de Pat : P5, P29</t>
        </r>
      </text>
    </comment>
    <comment ref="AP58" authorId="0">
      <text>
        <r>
          <rPr>
            <sz val="10"/>
            <rFont val="Arial"/>
            <family val="2"/>
          </rPr>
          <t xml:space="preserve">1/5 — pas bon du tout
Rouge jeune tannique, durci par le fromage (P5, P29).
Principes de Pat : P5, P29</t>
        </r>
      </text>
    </comment>
    <comment ref="AP59" authorId="0">
      <text>
        <r>
          <rPr>
            <sz val="10"/>
            <rFont val="Arial"/>
            <family val="2"/>
          </rPr>
          <t xml:space="preserve">1/5 — pas bon du tout
Rouge jeune tannique, durci par le fromage (P5, P29).
Principes de Pat : P5, P29</t>
        </r>
      </text>
    </comment>
    <comment ref="AP60" authorId="0">
      <text>
        <r>
          <rPr>
            <sz val="10"/>
            <rFont val="Arial"/>
            <family val="2"/>
          </rPr>
          <t xml:space="preserve">1/5 — pas bon du tout
Rouge jeune tannique, durci par le fromage (P5, P29).
Principes de Pat : P5, P29</t>
        </r>
      </text>
    </comment>
    <comment ref="AP61" authorId="0">
      <text>
        <r>
          <rPr>
            <sz val="10"/>
            <rFont val="Arial"/>
            <family val="2"/>
          </rPr>
          <t xml:space="preserve">1/5 — pas bon du tout
Rouge jeune tannique, durci par le fromage (P5, P29).
Principes de Pat : P5, P29</t>
        </r>
      </text>
    </comment>
    <comment ref="AP62" authorId="0">
      <text>
        <r>
          <rPr>
            <sz val="10"/>
            <rFont val="Arial"/>
            <family val="2"/>
          </rPr>
          <t xml:space="preserve">1/5 — pas bon du tout
Rouge jeune tannique, durci par le fromage (P5, P29).
Principes de Pat : P5, P29</t>
        </r>
      </text>
    </comment>
    <comment ref="AP63" authorId="0">
      <text>
        <r>
          <rPr>
            <sz val="10"/>
            <rFont val="Arial"/>
            <family val="2"/>
          </rPr>
          <t xml:space="preserve">1/5 — pas bon du tout
Rouge jeune tannique, durci par le fromage (P5, P29).
Principes de Pat : P5, P29</t>
        </r>
      </text>
    </comment>
    <comment ref="AP64" authorId="0">
      <text>
        <r>
          <rPr>
            <sz val="10"/>
            <rFont val="Arial"/>
            <family val="2"/>
          </rPr>
          <t xml:space="preserve">1/5 — pas bon du tout
Rouge jeune tannique, durci par le fromage (P5, P29).
Principes de Pat : P5, P29</t>
        </r>
      </text>
    </comment>
    <comment ref="AP65" authorId="0">
      <text>
        <r>
          <rPr>
            <sz val="10"/>
            <rFont val="Arial"/>
            <family val="2"/>
          </rPr>
          <t xml:space="preserve">1/5 — pas bon du tout
Rouge jeune tannique, durci par le fromage (P5, P29).
Principes de Pat : P5, P29</t>
        </r>
      </text>
    </comment>
    <comment ref="AP66" authorId="0">
      <text>
        <r>
          <rPr>
            <sz val="10"/>
            <rFont val="Arial"/>
            <family val="2"/>
          </rPr>
          <t xml:space="preserve">2/5 — médiocre
Tanins assouplis, mais le fromage durcit encore ce rouge (P5, P18).
Principes de Pat : P5, P18</t>
        </r>
      </text>
    </comment>
    <comment ref="AP67" authorId="0">
      <text>
        <r>
          <rPr>
            <sz val="10"/>
            <rFont val="Arial"/>
            <family val="2"/>
          </rPr>
          <t xml:space="preserve">2/5 — médiocre
Tanins assouplis, mais le fromage durcit encore ce rouge (P5, P18).
Principes de Pat : P5, P18</t>
        </r>
      </text>
    </comment>
    <comment ref="AP68" authorId="0">
      <text>
        <r>
          <rPr>
            <sz val="10"/>
            <rFont val="Arial"/>
            <family val="2"/>
          </rPr>
          <t xml:space="preserve">1/5 — pas bon du tout
Rouge jeune tannique, durci par le fromage (P5, P29).
Principes de Pat : P5, P29</t>
        </r>
      </text>
    </comment>
    <comment ref="AP70" authorId="0">
      <text>
        <r>
          <rPr>
            <sz val="10"/>
            <rFont val="Arial"/>
            <family val="2"/>
          </rPr>
          <t xml:space="preserve">2/5 — médiocre
Rosé léger, sans la tension ni la patine qu'appellent trois fromages (P5, P20).
Principes de Pat : P5, P20</t>
        </r>
      </text>
    </comment>
    <comment ref="AP71" authorId="0">
      <text>
        <r>
          <rPr>
            <sz val="10"/>
            <rFont val="Arial"/>
            <family val="2"/>
          </rPr>
          <t xml:space="preserve">2/5 — médiocre
Rosé léger, sans la tension ni la patine qu'appellent trois fromages (P5, P20).
Principes de Pat : P5, P20</t>
        </r>
      </text>
    </comment>
    <comment ref="AP73" authorId="0">
      <text>
        <r>
          <rPr>
            <sz val="10"/>
            <rFont val="Arial"/>
            <family val="2"/>
          </rPr>
          <t xml:space="preserve">2/5 — médiocre
Blanc peu acide qui manque de tension face au sel et au gras (P5, P3).
Principes de Pat : P5, P3</t>
        </r>
      </text>
    </comment>
    <comment ref="AP74" authorId="0">
      <text>
        <r>
          <rPr>
            <sz val="10"/>
            <rFont val="Arial"/>
            <family val="2"/>
          </rPr>
          <t xml:space="preserve">3/5 — correct
Blanc tendu sans bois, sûr sur pâte fraîche ou pressée, sans garantie sur un bleu (P5, P18).
Principes de Pat : P5, P18</t>
        </r>
      </text>
    </comment>
    <comment ref="AP75" authorId="0">
      <text>
        <r>
          <rPr>
            <sz val="10"/>
            <rFont val="Arial"/>
            <family val="2"/>
          </rPr>
          <t xml:space="preserve">3/5 — correct
Blanc tendu sans bois, sûr sur pâte fraîche ou pressée, sans garantie sur un bleu (P5, P18).
Principes de Pat : P5, P18</t>
        </r>
      </text>
    </comment>
    <comment ref="AP76" authorId="0">
      <text>
        <r>
          <rPr>
            <sz val="10"/>
            <rFont val="Arial"/>
            <family val="2"/>
          </rPr>
          <t xml:space="preserve">2/5 — médiocre
Blanc peu acide qui manque de tension face au sel et au gras (P5, P3).
Principes de Pat : P5, P3</t>
        </r>
      </text>
    </comment>
    <comment ref="AP77" authorId="0">
      <text>
        <r>
          <rPr>
            <sz val="10"/>
            <rFont val="Arial"/>
            <family val="2"/>
          </rPr>
          <t xml:space="preserve">3/5 — correct
Blanc tendu sans bois, sûr sur pâte fraîche ou pressée, sans garantie sur un bleu (P5, P18).
Principes de Pat : P5, P18</t>
        </r>
      </text>
    </comment>
    <comment ref="AP78" authorId="0">
      <text>
        <r>
          <rPr>
            <sz val="10"/>
            <rFont val="Arial"/>
            <family val="2"/>
          </rPr>
          <t xml:space="preserve">3/5 — correct
Blanc tendu sans bois, sûr sur pâte fraîche ou pressée, sans garantie sur un bleu (P5, P18).
Principes de Pat : P5, P18</t>
        </r>
      </text>
    </comment>
    <comment ref="AP79" authorId="0">
      <text>
        <r>
          <rPr>
            <sz val="10"/>
            <rFont val="Arial"/>
            <family val="2"/>
          </rPr>
          <t xml:space="preserve">3/5 — correct
Blanc tendu sans bois, sûr sur pâte fraîche ou pressée, sans garantie sur un bleu (P5, P18).
Principes de Pat : P5, P18</t>
        </r>
      </text>
    </comment>
    <comment ref="AP81" authorId="0">
      <text>
        <r>
          <rPr>
            <sz val="10"/>
            <rFont val="Arial"/>
            <family val="2"/>
          </rPr>
          <t xml:space="preserve">3/5 — correct
Parfait sur un bleu, trop sucré sur les autres fromages (P4, P18).
Principes de Pat : P4, P18</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81" authorId="0">
      <text>
        <r>
          <rPr>
            <sz val="10"/>
            <rFont val="Arial"/>
            <family val="2"/>
          </rPr>
          <t xml:space="preserve">Prix au verre (15 €) : vin servi uniquement au verre.</t>
        </r>
      </text>
    </comment>
  </commentList>
</comments>
</file>

<file path=xl/sharedStrings.xml><?xml version="1.0" encoding="utf-8"?>
<sst xmlns="http://schemas.openxmlformats.org/spreadsheetml/2006/main" count="20232" uniqueCount="1221">
  <si>
    <t xml:space="preserve">Nom du plat</t>
  </si>
  <si>
    <t xml:space="preserve">Principes de Pat utilisés</t>
  </si>
  <si>
    <t xml:space="preserve">Résultat de l'analyse</t>
  </si>
  <si>
    <t xml:space="preserve">Type de plat</t>
  </si>
  <si>
    <t xml:space="preserve">Prix (€)</t>
  </si>
  <si>
    <t xml:space="preserve">Meilleur vin de la carte</t>
  </si>
  <si>
    <t xml:space="preserve">Note</t>
  </si>
  <si>
    <t xml:space="preserve">Carpaccio de bœuf Holstein, huile d'olive, parmesan, roquette</t>
  </si>
  <si>
    <t xml:space="preserve">• n°1 · Les points d'ancrage
• n°30 · L'amertume du plat s'additionne à celle du vin
• n°28 · Le sel adoucit le vin
• n°20 · L'équilibre des intensités : le vin pèse autant que le plat
• n°37 · Le fromage accessoire ne dicte pas seul l'accord
• n°21 · Le tanin aime le gras et le saignant de la viande rouge</t>
  </si>
  <si>
    <t xml:space="preserve">Ancrages : bœuf cru maigre, amertume de la roquette, sel du parmesan, huile d'olive (n°1).
Profil : rouge léger, jeune et fruité, peu tannique, acidité vive, sans bois. La roquette additionne son amertume à celle d'un tanin appuyé : le tanin doit rester fin. Le parmesan salé assouplit un peu le vin, ce qui autorise un rouge plutôt qu'un blanc. Plat léger : vin léger (n°30, n°28, n°20, n°37, n°21).
Cépages : Pinot noir, Gamay, Frappato, Cabernet franc, Nerello mascalese.
À éviter : rouge jeune tannique ou boisé (amer sur la roquette), rouge puissant et alcooleux qui écrase la viande crue (n°19, n°30, n°20).
Service : rouge léger servi frais, 13-14 °C (n°26).</t>
  </si>
  <si>
    <t xml:space="preserve">Entrée</t>
  </si>
  <si>
    <t xml:space="preserve">Émincé de bar, huile d'olive, citron vert</t>
  </si>
  <si>
    <t xml:space="preserve">• n°1 · Les points d'ancrage
• n°24 · La sauce et la cuisson priment sur la protéine
• n°23 · L'acidité du plat impose l'acidité du vin
• n°7 · Agrumes seuls = incompatibles, agrumes adoucis = possibles
• n°19 · Le bois couvre la finesse et amplifie l'amertume
• n°9 · Anchois et iodés salins ↔ acidité littorale
• n°41 · Effervescents : le cépage et le dosage dictent la table
• n°35 · Un élément réfractaire plafonne l'accord</t>
  </si>
  <si>
    <t xml:space="preserve">Ancrages : poisson cru, citron vert, huile d'olive (n°1).
Profil : blanc sec très tendu, jeune, sans bois, peu aromatique, salin. Le cru appelle un blanc tendu ; l'acidité du vin doit au moins égaler celle du citron vert, sinon il paraît mou. Le citron vert nature reste un élément difficile : un assaisonnement mesuré en cuisine améliore l'accord (n°24, n°23, n°7, n°19, n°9, n°41). Plafond : le citron vert nature est réfractaire, aucun vin ne dépasse 4 (n°35, n°7). Hypothèse : les vins de Loire, Sancerre compris, comptent comme « proches d'un fleuve » (n°9, question ouverte).
Cépages : Sauvignon blanc, Albariño, Assyrtiko, Riesling sec, Grüner Veltliner.
À éviter : blanc boisé ou rond, blanc peu acide, tout rouge (n°19).
Service : 8-10 °C (n°26).</t>
  </si>
  <si>
    <t xml:space="preserve">Scampis en tempura, sauce tartare</t>
  </si>
  <si>
    <t xml:space="preserve">• n°1 · Les points d'ancrage
• n°34 · La friture appelle la bulle et l'acidité
• n°41 · Effervescents : le cépage et le dosage dictent la table
• n°23 · L'acidité du plat impose l'acidité du vin
• n°10 · Œufs : difficiles partout, sauf l'œuf en meurette
• n°35 · Un élément réfractaire plafonne l'accord</t>
  </si>
  <si>
    <t xml:space="preserve">Ancrages : friture légère et croustillante, chair sucrée du crustacé, sauce tartare (émulsion à l'œuf, câpres, cornichons) (n°1).
Profil : effervescent brut de méthode traditionnelle, style blanc de blancs, ou blanc sec très tendu ; jeune, sans bois. La bulle et l'acidité nettoient le gras de la friture ; les câpres et cornichons imposent une acidité au moins égale. L'émulsion à l'œuf déstabilise un peu le vin : accord très bon sur le scampi, un cran en dessous sur la sauce (n°34, n°41, n°23, n°10, n°35). Plafond : la sauce tartare est une émulsion à l'œuf, aucun vin ne dépasse 4 (n°35, n°10, émulsion traitée comme l'œuf : question ouverte).
Cépages : Chardonnay (effervescent blanc de blancs), Chenin blanc, Xarel·lo, Riesling sec, Albariño.
À éviter : rouge tannique (amer sur la panure), blanc boisé ou rond qui double le gras (n°19).
Service : 8-10 °C (n°26).</t>
  </si>
  <si>
    <t xml:space="preserve">Cuisses de grenouilles meunières à l'ail et au persil</t>
  </si>
  <si>
    <t xml:space="preserve">• n°1 · Les points d'ancrage
• n°24 · La sauce et la cuisson priment sur la protéine
• n°3 · Acidité ↔ gras
• n°19 · Le bois couvre la finesse et amplifie l'amertume
• n°20 · L'équilibre des intensités : le vin pèse autant que le plat
• n°39 · L'élevage sur lies donne de la chair sans le bois</t>
  </si>
  <si>
    <t xml:space="preserve">Ancrages : cuisson meunière (beurre noisette), ail, persil, chair fine et délicate (n°1).
Profil : blanc sec de poids moyen, acidité nette, sans bois (un élevage sur lies est bienvenu), jeune. La sauce et la cuisson priment : le beurre noisette demande une acidité qui coupe le gras et un peu de chair pour lui répondre, sans que le bois couvre la finesse de la chair (n°24, n°3, n°19, n°20, n°39).
Cépages : Chardonnay non boisé, Chenin blanc, Pinot blanc, Sauvignon blanc, Grüner Veltliner.
À éviter : blanc boisé, blanc musqué exubérant, rouge tannique (n°19).
Service : 10-11 °C (n°26).</t>
  </si>
  <si>
    <t xml:space="preserve">Assiette d'huîtres Utah Beach n°3, pain, beurre, échalote, vinaigre – 6 pièces</t>
  </si>
  <si>
    <t xml:space="preserve">• n°1 · Les points d'ancrage
• n°9 · Anchois et iodés salins ↔ acidité littorale
• n°41 · Effervescents : le cépage et le dosage dictent la table
• n°11 · Vinaigrette et moutarde franche ↔ incompatibles avec le vin
• n°19 · Le bois couvre la finesse et amplifie l'amertume
• n°35 · Un élément réfractaire plafonne l'accord</t>
  </si>
  <si>
    <t xml:space="preserve">Ancrages : iode et salinité de l'huître, vinaigre à l'échalote, beurre salé (n°1).
Profil : blanc sec très tendu, salin, jeune, sans bois, idéalement de sols proches de la mer ; ou effervescent extra-brut / brut nature de style blanc de blancs. Le vinaigre à l'échalote est incompatible avec la plupart des vins : seul un vin très acide ou un effervescent peu dosé partage le terrain. Conseiller de l'utiliser avec parcimonie (n°9, n°41, n°11, n°19, n°35). Plafond : le vinaigre à l'échalote joue le rôle d'une vinaigrette, aucun vin ne dépasse 4 (n°35, n°11). Hypothèse : Sancerre « proche d'un fleuve » (n°9, question ouverte).
Cépages : Chardonnay (effervescent blanc de blancs, peu dosé), Albariño, Assyrtiko, Picpoul, Sauvignon blanc.
À éviter : blanc boisé ou rond, effervescent dosé, tout rouge (n°19).
Service : 8-10 °C (n°26).</t>
  </si>
  <si>
    <t xml:space="preserve">Belles moules au beurre à l'ail et aux herbes – 12 pièces</t>
  </si>
  <si>
    <t xml:space="preserve">• n°1 · Les points d'ancrage
• n°3 · Acidité ↔ gras
• n°9 · Anchois et iodés salins ↔ acidité littorale
• n°19 · Le bois couvre la finesse et amplifie l'amertume
• n°20 · L'équilibre des intensités : le vin pèse autant que le plat</t>
  </si>
  <si>
    <t xml:space="preserve">Ancrages : beurre persillé à l'ail (gras chaud), iode de la moule, herbes (n°1).
Profil : blanc sec tendu, vif, salin, jeune, sans bois. L'acidité coupe le beurre, la salinité répond à l'iode. Plat de poids moyen : un blanc léger à moyen suffit (n°3, n°9, n°19, n°20). Hypothèse : les vins de Loire, Sancerre compris, comptent comme « proches d'un fleuve » (n°9, question ouverte).
Cépages : Sauvignon blanc, Picpoul, Albariño, Vermentino, Aligoté.
À éviter : blanc boisé, blanc musqué, rouge (n°19).
Service : 8-10 °C (n°26).</t>
  </si>
  <si>
    <t xml:space="preserve">Croquettes au fromage, persil frit – 1 pièce / 2 pièces</t>
  </si>
  <si>
    <t xml:space="preserve">• n°1 · Les points d'ancrage
• n°34 · La friture appelle la bulle et l'acidité
• n°5 · Le fromage repousse de facto le tanin
• n°3 · Acidité ↔ gras</t>
  </si>
  <si>
    <t xml:space="preserve">Ancrages : friture croustillante, béchamel au fromage (gras, sel, umami), persil frit (n°1).
Profil : effervescent brut de méthode traditionnelle ou blanc sec tendu, jeune, sans bois. La bulle et l'acidité coupent le gras de la friture et du fromage. Le fromage étant l'ingrédient principal, il repousse le tanin : pas de rouge (n°34, n°5, n°3). Fromage ingrédient principal : le n°5 s'applique pleinement, aucun rouge.
Cépages : Chardonnay (effervescent), Chenin blanc, Riesling sec, Pinot blanc, Savagnin ouillé.
À éviter : rouge tannique, blanc boisé ou rond (n°19, n°5).
Service : 8-10 °C (n°26).</t>
  </si>
  <si>
    <t xml:space="preserve">12 / 22</t>
  </si>
  <si>
    <t xml:space="preserve">Croquettes aux crevettes grises, persil frit – 1 pièce / 2 pièces</t>
  </si>
  <si>
    <t xml:space="preserve">• n°1 · Les points d'ancrage
• n°34 · La friture appelle la bulle et l'acidité
• n°9 · Anchois et iodés salins ↔ acidité littorale
• n°41 · Effervescents : le cépage et le dosage dictent la table
• n°42 · Sans vin du terroir du plat, chercher le même climat</t>
  </si>
  <si>
    <t xml:space="preserve">Ancrages : friture croustillante, crevette grise (iode, douceur), béchamel (n°1).
Profil : effervescent brut de style blanc de blancs ou blanc sec très tendu et salin, jeune, sans bois. La bulle nettoie la friture ; l'acidité et la salinité répondent à l'iode de la crevette (n°34, n°9, n°41, n°42).
Terroir : cuisine de la mer du Nord sans vin du terroir du plat : chercher le même climat, un vin septentrional de climat frais, tendu (n°42).
Cépages : Chardonnay (effervescent blanc de blancs), Riesling sec, Chenin blanc, Sauvignon blanc, Pinot blanc.
À éviter : rouge tannique, blanc boisé ou rond (n°19).
Service : 8-10 °C (n°26).</t>
  </si>
  <si>
    <t xml:space="preserve">15 / 27</t>
  </si>
  <si>
    <t xml:space="preserve">Escargots magnifiques de Bourgogne – 6 pièces</t>
  </si>
  <si>
    <t xml:space="preserve">• n°1 · Les points d'ancrage
• n°2 · La résonance des sols et des terroirs
• n°3 · Acidité ↔ gras
• n°20 · L'équilibre des intensités : le vin pèse autant que le plat
• n°29 · L'umami durcit le vin</t>
  </si>
  <si>
    <t xml:space="preserve">Ancrages : beurre d'escargot (ail, persil), chair terreuse et umami de l'escargot (n°1).
Profil : blanc sec tendu de poids moyen, sans bois ou très peu, jeune ou légèrement patiné ; à défaut, rouge léger peu tannique. L'acidité coupe le beurre persillé ; un vin trop léger disparaîtrait derrière l'ail (n°2, n°3, n°20, n°29). Le n°2 ne vaut que si l'escargot vient bien de la région : à vérifier.
Terroir : un vin issu de la même région que le produit, idéalement de sols calcaires (à confirmer : « de Bourgogne » peut désigner l'espèce d'escargot plutôt que son origine) (n°2).
Cépages : Chardonnay non boisé, Aligoté, Pinot blanc, Sauvignon blanc ; en rouge : Pinot noir léger.
À éviter : blanc boisé marqué, rouge tannique (n°19, n°29).
Service : blanc 10-11 °C ; rouge léger 13-14 °C (n°26).</t>
  </si>
  <si>
    <t xml:space="preserve">Nems délicieux, salade, sauce aigre-douce</t>
  </si>
  <si>
    <t xml:space="preserve">• n°1 · Les points d'ancrage
• n°22 · Le sucre du plat impose un vin au moins aussi sucré
• n°34 · La friture appelle la bulle et l'acidité
• n°23 · L'acidité du plat impose l'acidité du vin</t>
  </si>
  <si>
    <t xml:space="preserve">Ancrages : friture, sauce aigre-douce (sucre + vinaigre), herbes fraîches de la salade (n°1).
Profil : blanc demi-sec aromatique, acidité vive, peu alcoolisé, sans bois ; ou effervescent demi-sec. Le sucre de la sauce impose un vin au moins aussi sucré, son vinaigre une acidité au moins égale ; la bulle ou l'acidité nettoie la friture (n°22, n°34, n°23). La carte n'a aucun vin demi-sec : le meilleur accord reste « correct » (n°22).
Cépages : Riesling demi-sec, Chenin blanc demi-sec, Gewurztraminer, Muscat, Pinot gris.
À éviter : rouge tannique, blanc sec maigre (paraît acide et dur), vin boisé ou alcooleux (n°19, n°22, n°20).
Service : 8-10 °C (n°26).</t>
  </si>
  <si>
    <t xml:space="preserve">Fraîcheur de tourteau, sucrine, Granny Smith, mayonnaise curry</t>
  </si>
  <si>
    <t xml:space="preserve">• n°1 · Les points d'ancrage
• n°23 · L'acidité du plat impose l'acidité du vin
• n°6 · Plats épicés ↔ jamais de rouge jeune tannique
• n°10 · Œufs : difficiles partout, sauf l'œuf en meurette
• n°19 · Le bois couvre la finesse et amplifie l'amertume
• n°9 · Anchois et iodés salins ↔ acidité littorale
• n°31 · L'alcool attise le piment
• n°35 · Un élément réfractaire plafonne l'accord</t>
  </si>
  <si>
    <t xml:space="preserve">Ancrages : chair sucrée du crabe, pomme verte acidulée, mayonnaise au curry (émulsion + épice) (n°1).
Profil : blanc sec à acidité vive, légèrement aromatique, jeune, sans bois ; une pointe de sucre résiduel aide à envelopper le curry. La Granny Smith impose une acidité au moins égale ; l'épice exclut le rouge. La mayonnaise plafonne un peu l'accord (n°23, n°6, n°10, n°19, n°9, n°31). Plafond : la mayonnaise est une émulsion à l'œuf, aucun vin ne dépasse 4 (n°35, n°10, question ouverte).
Cépages : Riesling (sec à demi-sec), Chenin blanc, Grüner Veltliner, Albariño, Pinot gris.
À éviter : rouge, blanc boisé (couvre la finesse du crabe), vin alcooleux (n°19, n°6).
Service : 8-10 °C (n°26).</t>
  </si>
  <si>
    <t xml:space="preserve">Belle tranche de foie gras de canard, brioche toastée</t>
  </si>
  <si>
    <t xml:space="preserve">• n°1 · Les points d'ancrage
• n°4 · Sucre ↔ sel : l'accord d'opposition classique
• n°3 · Acidité ↔ gras
• n°20 · L'équilibre des intensités : le vin pèse autant que le plat</t>
  </si>
  <si>
    <t xml:space="preserve">Ancrages : gras fondant, sel, brioche toastée (sucrée et grillée) (n°1).
Profil : blanc moelleux à liquoreux (botrytisé ou vendanges tardives) à acidité vive ; jeune ou légèrement évolué. Le sucre du vin répond au sel du foie gras (opposition sucre ↔ sel) ; l'acidité coupe le gras et évite l'effet lourd. Alternative plus légère : un blanc demi-sec tendu (n°4, n°3, n°20). Le seul liquoreux de la carte est servi au verre (n°4).
Cépages : Sémillon, Petit manseng, Chenin blanc, Riesling, Furmint.
À éviter : rouge tannique, blanc sec maigre, liquoreux lourd sans acidité (n°20).
Service : 8-10 °C (n°26).</t>
  </si>
  <si>
    <t xml:space="preserve">Ravioles de homard, bisque crémeuse</t>
  </si>
  <si>
    <t xml:space="preserve">• n°1 · Les points d'ancrage
• n°24 · La sauce et la cuisson priment sur la protéine
• n°39 · L'élevage sur lies donne de la chair sans le bois
• n°20 · L'équilibre des intensités : le vin pèse autant que le plat
• n°3 · Acidité ↔ gras
• n°41 · Effervescents : le cépage et le dosage dictent la table</t>
  </si>
  <si>
    <t xml:space="preserve">Ancrages : bisque crémeuse (crustacé réduit, crème, notes torréfiées), chair du homard, pâte (n°1).
Profil : blanc sec ample, élevé sur lies, acidité nette, bois discret ou absent ; ou effervescent vineux à dominante pinot noir / pinot meunier. La sauce prime : sa crème demande une acidité qui la coupe et une chair qui répond à son poids (n°24, n°39, n°20, n°3, n°41).
Cépages : Chardonnay élevé sur lies, Chenin blanc, Roussanne ; en effervescent : Pinot noir, Pinot meunier.
À éviter : blanc maigre (écrasé par la bisque), bois neuf marqué, rouge tannique (n°19, n°20).
Service : 11-12 °C (n°26).</t>
  </si>
  <si>
    <t xml:space="preserve">Filet de bar rôti, légumes de saison, purée, sauce vierge</t>
  </si>
  <si>
    <t xml:space="preserve">• n°1 · Les points d'ancrage
• n°24 · La sauce et la cuisson priment sur la protéine
• n°23 · L'acidité du plat impose l'acidité du vin
• n°27 · Rouge et poisson : possible si le poisson est charnu et le rouge peu tannique
• n°25 · L'accord de miroir : faire résonner un arôme commun
• n°35 · Un élément réfractaire plafonne l'accord
• n°11 · Vinaigrette et moutarde franche ↔ incompatibles avec le vin</t>
  </si>
  <si>
    <t xml:space="preserve">Ancrages : bar rôti (peau croustillante), sauce vierge (huile d'olive, tomate, citron, herbes) (n°1).
Profil : blanc sec tendu, aux notes d'herbes, jeune, sans bois. La sauce vierge prime : tomate et citron imposent une acidité au moins égale. Le bar rôti étant charnu, un rouge très léger, peu tannique et servi frais est possible (n°24, n°23, n°27, n°25, n°35, n°11). Plafond : la sauce vierge est acidulée au citron, rattachée au n°11 (question ouverte) ; aucun vin ne dépasse 4 (n°35).
Cépages : Vermentino, Sauvignon blanc, Assyrtiko, Albariño ; en rouge : Pinot noir léger.
À éviter : tanin appuyé (métallique sur la tomate et la chair iodée), blanc boisé (n°19).
Service : blanc 8-10 °C ; rouge léger 13-14 °C (n°26).</t>
  </si>
  <si>
    <t xml:space="preserve">Plat principal</t>
  </si>
  <si>
    <t xml:space="preserve">Tataki de thon, broccolini, riz aux saveurs d'Asie</t>
  </si>
  <si>
    <t xml:space="preserve">• n°1 · Les points d'ancrage
• n°27 · Rouge et poisson : possible si le poisson est charnu et le rouge peu tannique
• n°29 · L'umami durcit le vin
• n°30 · L'amertume du plat s'additionne à celle du vin
• n°24 · La sauce et la cuisson priment sur la protéine
• n°26 · La température de service modifie l'accord</t>
  </si>
  <si>
    <t xml:space="preserve">Ancrages : thon saisi à cœur cru (chair rouge), marinade de type soja / sésame / gingembre (umami), amertume du broccolini (n°1).
Profil : rouge léger, fruité, peu tannique, jeune, sans bois, servi frais ; ou blanc aromatique sec. Le thon charnu accepte le rouge si le tanin est discret ; l'umami et l'amertume du broccolini durciraient un tanin appuyé (n°27, n°29, n°30, n°24, n°26).
Cépages : Pinot noir, Gamay, Frappato, Zweigelt ; en blanc : Riesling sec.
À éviter : rouge jeune tannique ou boisé ; vin alcooleux si le riz est pimenté (n°19, n°27).
Service : rouge léger 13-14 °C ; blanc 8-10 °C (n°26).</t>
  </si>
  <si>
    <t xml:space="preserve">Cabillaud, crevettes grises, purée, sauce mousseline</t>
  </si>
  <si>
    <t xml:space="preserve">• n°1 · Les points d'ancrage
• n°24 · La sauce et la cuisson priment sur la protéine
• n°39 · L'élevage sur lies donne de la chair sans le bois
• n°10 · Œufs : difficiles partout, sauf l'œuf en meurette
• n°42 · Sans vin du terroir du plat, chercher le même climat
• n°3 · Acidité ↔ gras
• n°35 · Un élément réfractaire plafonne l'accord</t>
  </si>
  <si>
    <t xml:space="preserve">Ancrages : sauce mousseline (émulsion beurre-œuf, crème fouettée, citron), cabillaud nacré, crevettes grises iodées (n°1).
Profil : blanc sec de poids moyen, élevé sur lies, acidité nette, sans bois ou très discret. La sauce prime : l'élevage sur lies donne la chair qui répond à la mousseline, l'acidité la coupe. L'émulsion à l'œuf plafonne légèrement l'accord (n°24, n°39, n°10, n°42, n°3, n°35). Plafond : la mousseline est une émulsion beurre-œuf-citron, aucun vin ne dépasse 4 (n°35, n°10, question ouverte).
Terroir : cuisine de la mer du Nord sans vin du terroir du plat : chercher le même climat, un vin septentrional de climat frais, tendu (n°42).
Cépages : Chardonnay élevé sur lies, Chenin blanc, Pinot blanc, Riesling sec, Auxerrois.
À éviter : bois neuf, blanc maigre, rouge (n°19, n°20).
Service : 10-12 °C (n°26).</t>
  </si>
  <si>
    <t xml:space="preserve">Solettes meunière, épinards, purée</t>
  </si>
  <si>
    <t xml:space="preserve">• n°1 · Les points d'ancrage
• n°24 · La sauce et la cuisson priment sur la protéine
• n°3 · Acidité ↔ gras
• n°19 · Le bois couvre la finesse et amplifie l'amertume
• n°42 · Sans vin du terroir du plat, chercher le même climat
• n°39 · L'élevage sur lies donne de la chair sans le bois
• n°11 · Vinaigrette et moutarde franche ↔ incompatibles avec le vin</t>
  </si>
  <si>
    <t xml:space="preserve">Ancrages : cuisson meunière (beurre noisette, citron), chair fine de la sole, épinards (n°1).
Profil : blanc sec fin et tendu, jeune, sans bois ; un léger gras (élevage sur lies) est bienvenu. L'acidité coupe le beurre noisette ; aucun bois pour préserver la finesse de la sole (n°24, n°3, n°19, n°42, n°39, n°11). Le trait de citron de la meunière est traité comme un assaisonnement, pas comme une sauce acidulée au sens du n°11 (hypothèse).
Terroir : cuisine de la mer du Nord sans vin du terroir du plat : chercher le même climat, un vin septentrional de climat frais, tendu (n°42).
Cépages : Chardonnay non boisé, Chenin blanc, Riesling sec, Sauvignon blanc, Pinot blanc.
À éviter : blanc boisé, blanc aromatique exubérant, rouge (n°19).
Service : 10-11 °C (n°26).</t>
  </si>
  <si>
    <t xml:space="preserve">Tartare de thon façon Américain, frites et salade</t>
  </si>
  <si>
    <t xml:space="preserve">• n°1 · Les points d'ancrage
• n°23 · L'acidité du plat impose l'acidité du vin
• n°10 · Œufs : difficiles partout, sauf l'œuf en meurette
• n°27 · Rouge et poisson : possible si le poisson est charnu et le rouge peu tannique
• n°36 · Les garnitures neutres ne sont pas des points d'ancrage
• n°35 · Un élément réfractaire plafonne l'accord</t>
  </si>
  <si>
    <t xml:space="preserve">Ancrages : thon cru, sauce façon américain (mayonnaise, câpres, cornichons, condiments). Frites et salade : garnitures neutres (n°1, n°36).
Profil : blanc sec très tendu, jeune, sans bois ; ou rosé sec. Câpres et cornichons imposent une acidité au moins égale ; la base mayonnaise plafonne un peu l'accord. Le rouge n'est envisageable que très léger et peu tannique. Servir la vinaigrette de la salade à part ou légère (n°23, n°10, n°27, n°35). Plafond : la base mayonnaise plafonne l'accord à 4 (n°35, n°10, question ouverte).
Cépages : Sauvignon blanc, Grüner Veltliner, Albariño, Riesling sec ; en rosé : Grenache.
À éviter : rouge tannique (métallique sur le thon cru), blanc boisé (n°19, n°27).
Service : 8-10 °C (n°26).</t>
  </si>
  <si>
    <t xml:space="preserve">Risotto aux champignons des bois, parmesan</t>
  </si>
  <si>
    <t xml:space="preserve">• n°1 · Les points d'ancrage
• n°25 · L'accord de miroir : faire résonner un arôme commun
• n°29 · L'umami durcit le vin
• n°40 · L'âge du vin oriente le plat
• n°39 · L'élevage sur lies donne de la chair sans le bois
• n°37 · Le fromage accessoire ne dicte pas seul l'accord</t>
  </si>
  <si>
    <t xml:space="preserve">Ancrages : champignons des bois (sous-bois, umami), parmesan, onctuosité du risotto (n°1).
Profil : rouge évolué aux tanins fondus et notes tertiaires de sous-bois (accord de miroir) ; ou blanc ample élevé sur lies, légèrement patiné. L'umami des champignons et du parmesan durcit un rouge jeune : il faut un vin patiné (n°25, n°29, n°40, n°39, n°37). Parmesan minoritaire : le n°37 s'applique, seul le rouge jeune et tannique est exclu.
Cépages : Pinot noir patiné, Nebbiolo évolué, Sangiovese évolué ; en blanc : Chardonnay élevé sur lies, Savagnin ouillé.
À éviter : rouge jeune tannique, blanc maigre (n°29, n°20).
Service : rouge évolué 14-16 °C ; blanc 11-12 °C (n°26).</t>
  </si>
  <si>
    <t xml:space="preserve">Belle assiette de légumes du marché laqués au miso</t>
  </si>
  <si>
    <t xml:space="preserve">• n°1 · Les points d'ancrage
• n°29 · L'umami durcit le vin
• n°22 · Le sucre du plat impose un vin au moins aussi sucré
• n°14 · notes caramélisées - richesse alcoolique
• n°30 · L'amertume du plat s'additionne à celle du vin
• n°25 · L'accord de miroir : faire résonner un arôme commun</t>
  </si>
  <si>
    <t xml:space="preserve">Ancrages : laque au miso (umami salé-sucré, caramélisation), légumes de saison (amertume possible) (n°1).
Profil : blanc rond, aromatique, avec une pointe de sucre et une acidité vive ; ou vin sec élevé sous voile, qui répond à l'umami. La laque sucrée impose un vin au moins aussi sucré ; ses notes caramélisées aiment une certaine richesse alcoolique ; l'umami et l'amertume excluent le rouge tannique (n°29, n°22, n°14, n°30, n°25). La carte n'a ni vin demi-sec ni vin sous voile complet : le meilleur accord reste « correct » (n°22).
Cépages : Riesling demi-sec, Pinot gris, Chenin blanc, Gewurztraminer, Savagnin (sous voile).
À éviter : rouge jeune tannique, blanc sec maigre (n°29, n°22, n°20).
Service : 10-12 °C (n°26).</t>
  </si>
  <si>
    <t xml:space="preserve">Tagliolini, beurre sauge, citron et parmesan</t>
  </si>
  <si>
    <t xml:space="preserve">• n°1 · Les points d'ancrage
• n°3 · Acidité ↔ gras
• n°23 · L'acidité du plat impose l'acidité du vin
• n°25 · L'accord de miroir : faire résonner un arôme commun
• n°20 · L'équilibre des intensités : le vin pèse autant que le plat
• n°35 · Un élément réfractaire plafonne l'accord
• n°11 · Vinaigrette et moutarde franche ↔ incompatibles avec le vin
• n°37 · Le fromage accessoire ne dicte pas seul l'accord</t>
  </si>
  <si>
    <t xml:space="preserve">Ancrages : beurre à la sauge, citron, parmesan ; les pâtes sont neutres (n°1, n°36).
Profil : blanc sec léger à moyen, acidité vive, légèrement herbacé, sans bois. L'acidité coupe le beurre et doit égaler celle du citron ; les notes herbacées du vin font miroir à la sauge (n°3, n°23, n°25, n°20, n°35, n°11). Plafond : sauce acidulée au citron rattachée au n°11 (question ouverte) ; aucun vin ne dépasse 4 (n°35). Parmesan minoritaire (n°37).
Cépages : Vermentino, Sauvignon blanc, Garganega, Fiano, Chenin blanc.
À éviter : blanc boisé ou lourd, rouge tannique (n°19, n°20).
Service : 9-11 °C (n°26).</t>
  </si>
  <si>
    <t xml:space="preserve">Volaille, sauce morilles, chiconettes, purée</t>
  </si>
  <si>
    <t xml:space="preserve">• n°1 · Les points d'ancrage
• n°25 · L'accord de miroir : faire résonner un arôme commun
• n°39 · L'élevage sur lies donne de la chair sans le bois
• n°30 · L'amertume du plat s'additionne à celle du vin
• n°19 · Le bois couvre la finesse et amplifie l'amertume
• n°41 · Effervescents : le cépage et le dosage dictent la table</t>
  </si>
  <si>
    <t xml:space="preserve">Ancrages : sauce crémée aux morilles (sous-bois, umami), amertume des chiconettes, volaille (n°1).
Profil : blanc ample élevé sur lies, légèrement patiné ; un bois fondu est acceptable sur ce plat riche et crémé. Alternative : vin sec élevé sous voile (miroir des morilles) ou rouge léger évolué peu tannique. L'amertume des chiconettes exclut le tanin appuyé (n°25, n°39, n°30, n°19, n°41).
Cépages : Chardonnay (sur lies, bois fondu), Savagnin, Chenin blanc, Roussanne ; en rouge : Pinot noir évolué.
À éviter : rouge tannique (amertume du chicon + tanin), blanc maigre (n°30, n°20).
Service : blanc 11-12 °C ; rouge léger 13-14 °C (n°26).</t>
  </si>
  <si>
    <t xml:space="preserve">Vol-au-vent volaille et ris de veau, mousseline, frites</t>
  </si>
  <si>
    <t xml:space="preserve">• n°1 · Les points d'ancrage
• n°39 · L'élevage sur lies donne de la chair sans le bois
• n°41 · Effervescents : le cépage et le dosage dictent la table
• n°42 · Sans vin du terroir du plat, chercher le même climat</t>
  </si>
  <si>
    <t xml:space="preserve">Ancrages : sauce blanche crémée (volaille, champignons), feuilletage beurré, ris de veau fondant. Frites et mousseline : garnitures neutres (si « mousseline » désigne la purée) (n°1, n°36).
Profil : blanc sec ample élevé sur lies, acidité nette, bois discret ou absent ; ou effervescent vineux à dominante pinot noir / pinot meunier, taillé pour les plats de brasserie. La crème appelle chair et acidité (n°39, n°41, n°42).
Terroir : cuisine de la mer du Nord sans vin du terroir du plat : chercher le même climat, un vin septentrional de climat frais, tendu (n°42).
Cépages : Chardonnay élevé sur lies, Chenin blanc, Pinot blanc ; en effervescent : Pinot meunier, Pinot noir.
À éviter : rouge tannique, blanc maigre (n°20).
Service : 10-12 °C (n°26).</t>
  </si>
  <si>
    <t xml:space="preserve">Ris de veau laqué, garniture automnale, purée</t>
  </si>
  <si>
    <t xml:space="preserve">• n°1 · Les points d'ancrage
• n°24 · La sauce et la cuisson priment sur la protéine
• n°14 · notes caramélisées - richesse alcoolique
• n°40 · L'âge du vin oriente le plat
• n°19 · Le bois couvre la finesse et amplifie l'amertume</t>
  </si>
  <si>
    <t xml:space="preserve">Ancrages : laquage (jus réduit, brillant, caramélisé), texture fondante du ris de veau, garniture automnale (n°1, n°36).
Profil : rouge souple, légèrement évolué, tanins fondus, avec une richesse alcoolique qui développe les notes caramélisées de la laque ; bois fondu possible. Alternative : blanc riche élevé en fût, patiné. Viande blanche fondante : pas de tanin appuyé (n°24, n°14, n°40, n°19).
Cépages : Pinot noir, Grenache, Mencía, Nebbiolo évolué ; en blanc : Chardonnay élevé.
À éviter : rouge jeune tannique, blanc maigre (n°20).
Service : rouge 14-16 °C ; blanc 11-12 °C (n°26).</t>
  </si>
  <si>
    <t xml:space="preserve">Tartare de bœuf préparé minute, frites</t>
  </si>
  <si>
    <t xml:space="preserve">• n°1 · Les points d'ancrage
• n°23 · L'acidité du plat impose l'acidité du vin
• n°21 · Le tanin aime le gras et le saignant de la viande rouge
• n°10 · Œufs : difficiles partout, sauf l'œuf en meurette
• n°36 · Les garnitures neutres ne sont pas des points d'ancrage
• n°35 · Un élément réfractaire plafonne l'accord</t>
  </si>
  <si>
    <t xml:space="preserve">Ancrages : bœuf cru maigre, assaisonnement (câpres, cornichons, échalote, émulsion à l'œuf, condiments). Frites : garniture neutre (n°1, n°36).
Profil : rouge juteux, jeune, tanins fins, acidité vive, sans bois marqué, servi frais ; ou rosé sec de structure. Les condiments acides imposent une acidité au moins égale ; la viande crue et maigre demande des tanins fins, pas un rouge structuré. L'émulsion plafonne légèrement l'accord (n°23, n°21, n°10, n°35). Plafond : l'émulsion à l'œuf de l'assaisonnement plafonne l'accord à 4 (n°35, n°10, question ouverte).
Cépages : Gamay, Pinot noir, Cabernet franc, Barbera, Blaufränkisch.
À éviter : rouge puissant, tannique ou boisé ; vin alcooleux si l'assaisonnement est pimenté (n°19, n°21).
Service : 13-14 °C (n°26).</t>
  </si>
  <si>
    <t xml:space="preserve">Filet pur de bœuf Simmental, sauce poivre vert, frites et salade</t>
  </si>
  <si>
    <t xml:space="preserve">• n°1 · Les points d'ancrage
• n°13 · Poivre + viande ↔ tanins fondus et trame acide
• n°21 · Le tanin aime le gras et le saignant de la viande rouge
• n°24 · La sauce et la cuisson priment sur la protéine
• n°25 · L'accord de miroir : faire résonner un arôme commun
• n°43 · Aérer le rouge jeune avant de juger l'accord</t>
  </si>
  <si>
    <t xml:space="preserve">Ancrages : sauce au poivre vert (piquant, crème), filet saignant tendre et maigre (n°1).
Profil : rouge structuré aux tanins fondus et à la trame acide, légèrement évolué, bois fondu. Le poivre demande des tanins fondus et de l'acidité pour faire le pont entre le gras de la sauce et le piquant ; le filet, maigre, préfère des tanins fins à un rouge massif (n°13, n°21, n°24, n°25, n°43).
Cépages : Syrah, Pinot noir évolué, Nebbiolo, Tempranillo, Grenache.
À éviter : rouge jeune très tannique (durci par le poivre), blanc (n°13).
Service : 16-17 °C ; carafer 1 h si le vin est jeune (n°26, n°43).</t>
  </si>
  <si>
    <t xml:space="preserve">Filet pur de bœuf Simmental, sauce morilles, frites et salade</t>
  </si>
  <si>
    <t xml:space="preserve">• n°1 · Les points d'ancrage
• n°25 · L'accord de miroir : faire résonner un arôme commun
• n°40 · L'âge du vin oriente le plat
• n°29 · L'umami durcit le vin
• n°43 · Aérer le rouge jeune avant de juger l'accord</t>
  </si>
  <si>
    <t xml:space="preserve">Ancrages : sauce crémée aux morilles (sous-bois, umami), filet saignant tendre (n°1).
Profil : rouge évolué aux tanins fondus et notes tertiaires (sous-bois, champignon), en miroir des morilles ; bois fondu. L'umami des morilles durcit un rouge jeune. Alternative : blanc ample patiné (n°25, n°40, n°29, n°43).
Cépages : Pinot noir évolué, Nebbiolo évolué, Sangiovese évolué, Tempranillo patiné ; en blanc : Chardonnay patiné.
À éviter : rouge jeune tannique, vin très boisé (n°19, n°29).
Service : 15-16 °C ; décanter brièvement (n°26, n°43).</t>
  </si>
  <si>
    <t xml:space="preserve">Filet pur de bœuf Simmental, sauce béarnaise, frites et salade</t>
  </si>
  <si>
    <t xml:space="preserve">• n°1 · Les points d'ancrage
• n°24 · La sauce et la cuisson priment sur la protéine
• n°3 · Acidité ↔ gras
• n°10 · Œufs : difficiles partout, sauf l'œuf en meurette
• n°21 · Le tanin aime le gras et le saignant de la viande rouge
• n°35 · Un élément réfractaire plafonne l'accord</t>
  </si>
  <si>
    <t xml:space="preserve">Ancrages : sauce béarnaise (émulsion beurre-œuf, estragon, réduction vinaigrée), filet saignant tendre (n°1).
Profil : rouge à trame acide vive, tanins souples, fruité, jeune à mi-évolué. L'acidité coupe le beurre de la béarnaise et répond à sa réduction vinaigrée ; l'émulsion à l'œuf durcit un tanin appuyé : tanins fins (n°24, n°3, n°10, n°21, n°35). Plafond : la béarnaise est une émulsion beurre-œuf, aucun vin ne dépasse 4 (n°35, n°10, question ouverte).
Cépages : Cabernet franc, Pinot noir, Gamay, Blaufränkisch, Barbera.
À éviter : rouge très tannique ou très boisé, rouge mou peu acide (n°19, n°21).
Service : 14-16 °C (n°26).</t>
  </si>
  <si>
    <t xml:space="preserve">Crème brûlée à la vanille de Madagascar</t>
  </si>
  <si>
    <t xml:space="preserve">• n°1 · Les points d'ancrage
• n°22 · Le sucre du plat impose un vin au moins aussi sucré
• n°14 · notes caramélisées - richesse alcoolique
• n°25 · L'accord de miroir : faire résonner un arôme commun</t>
  </si>
  <si>
    <t xml:space="preserve">Ancrages : croûte caramélisée, crème vanillée, sucre (n°1).
Profil : blanc liquoreux botrytisé ou vendanges tardives, acidité vive, notes d'abricot et de vanille ; un élevage en fût fait miroir à la vanille. Le vin doit être au moins aussi sucré que le dessert et porter une richesse alcoolique pour développer le caramel (n°22, n°14, n°25).
Cépages : Sémillon, Chenin blanc, Petit manseng, Furmint, Muscat.
À éviter : vin sec, effervescent brut, rouge (n°22).
Service : 8-10 °C (n°26).</t>
  </si>
  <si>
    <t xml:space="preserve">Dessert</t>
  </si>
  <si>
    <t xml:space="preserve">Traditionnelle dame blanche</t>
  </si>
  <si>
    <t xml:space="preserve">• n°1 · Les points d'ancrage
• n°15 · Chocolat noir ↔ VDN par opposition
• n°22 · Le sucre du plat impose un vin au moins aussi sucré
• n°20 · L'équilibre des intensités : le vin pèse autant que le plat</t>
  </si>
  <si>
    <t xml:space="preserve">Ancrages : sauce au chocolat chaud, glace vanille (froid), chantilly (n°1).
Profil : vin muté, rouge (fruit noir, cacao) ou oxydatif. L'amertume du chocolat trouve son opposition dans un muté ; le sucre du vin doit égaler celui du dessert. Le froid de la glace atténue les arômes : un vin expressif est préférable (n°15, n°22, n°20). La carte n'a aucun vin muté : pas d'accord au-delà de « médiocre » (n°15).
Cépages : Grenache (muté), Touriga nacional (muté), Pedro Ximénez, Muscat (muté), Malvasia (mutée).
À éviter : vin sec, effervescent brut, rouge tannique non muté (n°22).
Service : 14-16 °C (n°26).</t>
  </si>
  <si>
    <t xml:space="preserve">Moelleux au chocolat 70 %, glace vanille de Madagascar</t>
  </si>
  <si>
    <t xml:space="preserve">Ancrages : chocolat noir 70 % (amertume, cacao), cœur coulant, glace vanille (n°1).
Profil : vin rouge muté, jeune et fruité ou légèrement oxydatif, de belle puissance. Accord d'opposition : amertume du cacao contre amertume de noix du muté, sucre du vin compensant la charge cacaotée. Dessert intense : vin intense (n°15, n°22, n°20). La carte n'a aucun vin muté : pas d'accord au-delà de « médiocre » (n°15).
Cépages : Grenache (muté), Touriga nacional (muté), Pedro Ximénez, Muscat (muté), Tinta roriz (muté).
À éviter : vin sec, effervescent brut, liquoreux blanc léger (écrasé) (n°22).
Service : 14-16 °C (n°26).</t>
  </si>
  <si>
    <t xml:space="preserve">Café glacé</t>
  </si>
  <si>
    <t xml:space="preserve">• n°1 · Les points d'ancrage
• n°22 · Le sucre du plat impose un vin au moins aussi sucré
• n°25 · L'accord de miroir : faire résonner un arôme commun
• n°20 · L'équilibre des intensités : le vin pèse autant que le plat</t>
  </si>
  <si>
    <t xml:space="preserve">Ancrages : glace au café (torréfaction, amertume), chantilly, sucre (n°1).
Profil : vin muté ou doux oxydatif, élevé longtemps, aux notes de café, noix et caramel (accord de miroir avec la torréfaction). Le sucre du vin doit égaler celui de la glace (n°22, n°25, n°20). La carte n'a aucun vin doux oxydatif ni muté (n°22).
Cépages : Pedro Ximénez, Grenache (muté, style oxydatif), Malvasia (muté), Touriga nacional.
À éviter : vin sec, effervescent, blanc liquoreux trop léger (n°22).
Service : 12-14 °C (n°26).</t>
  </si>
  <si>
    <t xml:space="preserve">Duo de sorbets de saison</t>
  </si>
  <si>
    <t xml:space="preserve">• n°1 · Les points d'ancrage
• n°22 · Le sucre du plat impose un vin au moins aussi sucré
• n°7 · Agrumes seuls = incompatibles, agrumes adoucis = possibles
• n°20 · L'équilibre des intensités : le vin pèse autant que le plat</t>
  </si>
  <si>
    <t xml:space="preserve">Ancrages : fruit, acidité, froid, sucre (parfums non précisés) (n°1).
Profil : effervescent doux, sucré-acidulé et peu alcoolisé, ou blanc moelleux léger et aromatique. Le vin doit être au moins aussi sucré que le sorbet ; si un parfum d'agrume est proposé, c'est le sucre du sorbet qui rend l'accord possible. Dessert léger : vin léger (n°22, n°7, n°20).
Cépages : Muscat (effervescent doux), Chenin blanc (demi-sec), Riesling doux, Malvasia, Gewurztraminer.
À éviter : vin sec, effervescent brut, rouge (n°22).
Service : 8-10 °C (n°26).</t>
  </si>
  <si>
    <t xml:space="preserve">Île flottante, crème vanille, amandes caramélisées</t>
  </si>
  <si>
    <t xml:space="preserve">• n°1 · Les points d'ancrage
• n°22 · Le sucre du plat impose un vin au moins aussi sucré
• n°14 · notes caramélisées - richesse alcoolique
• n°25 · L'accord de miroir : faire résonner un arôme commun
• n°20 · L'équilibre des intensités : le vin pèse autant que le plat</t>
  </si>
  <si>
    <t xml:space="preserve">Ancrages : crème anglaise vanillée, meringue aérienne, amandes caramélisées (n°1).
Profil : blanc doux léger (vendanges tardives) ou muté blanc, notes de miel et d'amande. Le vin doit égaler le sucre de la crème ; ses notes d'amande font miroir aux amandes caramélisées, qu'une certaine richesse alcoolique met en valeur (n°22, n°14, n°25, n°20).
Cépages : Muscat, Chenin blanc, Sémillon, Petit manseng, Malvasia.
À éviter : vin sec, effervescent brut, rouge (n°22).
Service : 8-10 °C (n°26).</t>
  </si>
  <si>
    <t xml:space="preserve">Crumble de pommes caramélisées, glace vanille de Madagascar</t>
  </si>
  <si>
    <t xml:space="preserve">• n°1 · Les points d'ancrage
• n°22 · Le sucre du plat impose un vin au moins aussi sucré
• n°14 · notes caramélisées - richesse alcoolique
• n°25 · L'accord de miroir : faire résonner un arôme commun
• n°23 · L'acidité du plat impose l'acidité du vin</t>
  </si>
  <si>
    <t xml:space="preserve">Ancrages : pomme caramélisée (sucre et acidité), pâte beurrée croustillante, glace vanille (n°1).
Profil : blanc liquoreux ou vendanges tardives, acidité vive, notes de pomme cuite et de coing (accord de miroir), richesse alcoolique qui développe le caramel. Le vin doit être au moins aussi sucré que le dessert (n°22, n°14, n°25, n°23).
Cépages : Chenin blanc, Sémillon, Riesling (vendanges tardives), Furmint, Petit manseng.
À éviter : vin sec, effervescent brut, rouge (n°22).
Service : 8-10 °C (n°26).</t>
  </si>
  <si>
    <t xml:space="preserve">Profiterole glace pistache, sauce Gianduja</t>
  </si>
  <si>
    <t xml:space="preserve">• n°1 · Les points d'ancrage
• n°15 · Chocolat noir ↔ VDN par opposition
• n°22 · Le sucre du plat impose un vin au moins aussi sucré
• n°25 · L'accord de miroir : faire résonner un arôme commun</t>
  </si>
  <si>
    <t xml:space="preserve">Ancrages : sauce gianduja (chocolat et noisette), glace pistache, pâte à choux (n°1).
Profil : vin muté oxydatif, élevé longtemps, aux notes de noisette, noix et caramel (miroir du gianduja) ; ou muté rouge tuilé. Le gianduja, moins amer qu'un chocolat noir, accepte un muté plus évolué ; le sucre du vin doit égaler celui du dessert (n°15, n°22, n°25). La carte n'a aucun vin muté oxydatif (n°15).
Cépages : Grenache (muté tuilé), Malvasia (muté), Pedro Ximénez, Muscat, Touriga nacional.
À éviter : vin sec, effervescent brut, rouge jeune non muté (n°22).
Service : 12-14 °C (n°26).</t>
  </si>
  <si>
    <t xml:space="preserve">Mille-feuille, crème pâtissière pralinée</t>
  </si>
  <si>
    <t xml:space="preserve">Ancrages : praliné (noisette caramélisée), feuilletage beurré, crème pâtissière (n°1).
Profil : blanc moelleux légèrement patiné ou vin doux oxydatif, notes de fruits secs et de caramel en miroir du praliné, richesse alcoolique modérée. Le vin doit égaler le sucre de la crème ; le feuilletage aime une acidité fraîche (n°22, n°14, n°25).
Cépages : Chenin blanc (moelleux), Sémillon, Malvasia, Muscat, Pedro Ximénez.
À éviter : vin sec, effervescent brut, rouge (n°22).
Service : 10-12 °C (n°26).</t>
  </si>
  <si>
    <t xml:space="preserve">Colonel, vodka Grey Goose</t>
  </si>
  <si>
    <t xml:space="preserve">• n°1 · Les points d'ancrage
• n°7 · Agrumes seuls = incompatibles, agrumes adoucis = possibles
• n°35 · Un élément réfractaire plafonne l'accord
• n°22 · Le sucre du plat impose un vin au moins aussi sucré</t>
  </si>
  <si>
    <t xml:space="preserve">Ancrages : sorbet citron, vodka (n°1).
Profil : accord déconseillé : le dessert contient déjà un spiritueux et un agrume. À annoncer comme tel. Si un vin est demandé, le moins exposé est un effervescent sucré-acidulé, peu alcoolisé, servi très frais : le sucre du sorbet adoucit l'agrume (n°7, n°35, n°22). Plafond : agrume et spiritueux, accord à déconseiller (n°35, n°7).
Cépages : Muscat (effervescent doux), Chenin blanc (effervescent demi-sec), Riesling doux peu alcoolisé, Brachetto (effervescent doux), Clairette (effervescent doux).
À éviter : vin sec, rouge, vin alcooleux (s'ajoute à la vodka) (n°22).
Service : 6-8 °C (n°26).</t>
  </si>
  <si>
    <t xml:space="preserve">Assiette de 3 fromages</t>
  </si>
  <si>
    <t xml:space="preserve">• n°1 · Les points d'ancrage
• n°5 · Le fromage repousse de facto le tanin
• n°18 · Un vin pour plusieurs plats : partir du plat le plus fragile
• n°4 · Sucre ↔ sel : l'accord d'opposition classique</t>
  </si>
  <si>
    <t xml:space="preserve">Ancrages : trois fromages non précisés (sel, gras, umami, éventuel bleu) (n°1).
Profil : vin unique pour trois fromages : partir du fromage le plus fragile. Pas de rouge jeune tannique. Par défaut, un blanc tendu légèrement patiné ou un vin sec élevé sous voile ; un rouge évolué peu coloré sur une pâte pressée ; un vin doux botrytisé si un bleu est présent (opposition sucre ↔ sel). Si aucun vin unique ne tient (bleu + pâte fraîche, par exemple), proposer deux verres (n°5, n°18, n°4). Vin unique pour trois fromages : le plat le plus fragile décide (n°18) ; fromage principal, le n°5 s'applique pleinement.
Cépages : Savagnin (sous voile), Chenin blanc, Riesling, Sémillon (botrytisé, sur bleu), Trousseau ou Poulsard (rouge évolué).
À éviter : rouge jeune tannique, blanc boisé (n°19, n°5).
Service : blanc 10-12 °C ; rouge évolué 14 °C ; doux 8-10 °C (n°26).</t>
  </si>
  <si>
    <t xml:space="preserve">Lola — Notes de l'analyse</t>
  </si>
  <si>
    <t xml:space="preserve">Reprise des notes du menu, mises à jour pour ce fichier d'accords.</t>
  </si>
  <si>
    <t xml:space="preserve">Point</t>
  </si>
  <si>
    <t xml:space="preserve">Détail</t>
  </si>
  <si>
    <t xml:space="preserve">Source de la carte</t>
  </si>
  <si>
    <t xml:space="preserve">Lola_-_MENU-LOLA-FR-NEW-FALL-.pdf (carte d'automne, version française, 2 pages). Date d'édition non indiquée sur la carte ; fichier reçu le 29/09/2026.</t>
  </si>
  <si>
    <t xml:space="preserve">Restaurant</t>
  </si>
  <si>
    <t xml:space="preserve">Lola</t>
  </si>
  <si>
    <t xml:space="preserve">Lignes analysées</t>
  </si>
  <si>
    <t xml:space="preserve">39 lignes : 13 entrées, 15 plats principaux (dont le filet pur décliné en trois sauces), 11 desserts (dont l'assiette de 3 fromages). 71 lignes de vins : 21 blancs, 40 rouges, 2 rosés, 7 bulles (dont deux demi-bouteilles de Ruinart), 1 liquoreux au verre.</t>
  </si>
  <si>
    <t xml:space="preserve">Référentiel utilisé</t>
  </si>
  <si>
    <t xml:space="preserve">principes_pat_V4.xlsx, onglet « Principes » : 43 principes, tous considérés comme validés (instructions du projet). La mention « (à valider) » du fichier menu, qui citait encore la V3, est donc retirée. Le fichier de Pat est lu, jamais modifié.</t>
  </si>
  <si>
    <t xml:space="preserve">Mise à jour par rapport au menu</t>
  </si>
  <si>
    <t xml:space="preserve">Colonne B : principes réécrits sous la forme « • n°X · Titre exact » ; le n°1 (points d'ancrage) y figure désormais, puisqu'il fonde chaque analyse, ainsi que les principes appliqués dans la matrice (plafonds n°35, fromage n°5 / n°37, climat n°42…). Colonne C : chaque ligne cite ses principes ; les lignes « Terroir » ne sont gardées que si le n°2 ou le n°42 s'applique ; les listes de cépages ont été ramenées à cinq (ravioles, vol-au-vent, dame blanche, moelleux, colonel).</t>
  </si>
  <si>
    <t xml:space="preserve">Méthode</t>
  </si>
  <si>
    <t xml:space="preserve">Le principe « Les points d'ancrage » (n°1) sert de méthode à chaque plat : la ligne « Ancrages » de chaque analyse en est l'application. Il n'est donc pas répété dans la colonne des principes. Pour chaque plat, 2 à 4 principes seulement ont été retenus. Dans ce fichier, le n°1 est cité en colonne B pour chaque plat.</t>
  </si>
  <si>
    <t xml:space="preserve">Formulation</t>
  </si>
  <si>
    <t xml:space="preserve">Les recommandations sont exprimées en cépages, profils, méthodes d'élaboration et principes, en palette internationale : aucune appellation, région, pays, producteur ni cuvée ne désigne un vin. Les noms de lieux présents dans l'intitulé des plats (Madagascar, Bourgogne, Utah Beach) décrivent uniquement le plat. Les températures de service suivent le principe « La température de service modifie l'accord ».</t>
  </si>
  <si>
    <t xml:space="preserve">Hypothèse – croquettes</t>
  </si>
  <si>
    <t xml:space="preserve">Croquettes au fromage (12 € / 22 €) et aux crevettes grises (15 € / 27 €) : une seule ligne par croquette, l'analyse étant identique pour 1 ou 2 pièces. Le prix est noté sous forme « 1 pièce / 2 pièces ».</t>
  </si>
  <si>
    <t xml:space="preserve">Hypothèse – filet pur</t>
  </si>
  <si>
    <t xml:space="preserve">« Sauce au choix » : trois lignes (poivre vert, morilles, béarnaise), l'accord changeant selon la sauce. Le prix de 44 € est supposé inclure une sauce ; les prix de la rubrique « Sauces » (5 € / 7 € / 5 €) sont considérés comme des suppléments. Il n'y a donc pas de groupe « Suppléments sauce » distinct dans la matrice : les trois lignes « filet + sauce » en tiennent lieu (sauce = premier point d'ancrage, n°24).</t>
  </si>
  <si>
    <t xml:space="preserve">Hypothèse – pièces</t>
  </si>
  <si>
    <t xml:space="preserve">Huîtres : 6 pièces ; moules au beurre d'ail : 12 pièces ; escargots : 6 pièces (mention « 6p » / « 12p » de la carte).</t>
  </si>
  <si>
    <t xml:space="preserve">Hypothèse – café glacé</t>
  </si>
  <si>
    <t xml:space="preserve">Interprété comme la coupe glacée au café (glace café, chantilly) de la tradition belge, puisqu'il figure dans les desserts, et non comme une boisson.</t>
  </si>
  <si>
    <t xml:space="preserve">Hypothèse – vol-au-vent</t>
  </si>
  <si>
    <t xml:space="preserve">« Mousseline » interprétée comme une purée mousseline (garniture), le vol-au-vent ayant déjà sa sauce crémée.</t>
  </si>
  <si>
    <t xml:space="preserve">Hypothèse – typo</t>
  </si>
  <si>
    <t xml:space="preserve">Le texte du PDF porte « façon » écrit « faon » (Tartare de thon) : corrigé d'après l'image.</t>
  </si>
  <si>
    <t xml:space="preserve">Hypothèse – spécialités *</t>
  </si>
  <si>
    <t xml:space="preserve">L'astérisque de la carte signale les « spécialités belges ou de la maison ». Pour les spécialités belges de la mer du Nord (crevettes grises, cabillaud, soles, vol-au-vent), le principe « Sans vin du terroir du plat, chercher le même climat » a été appliqué.</t>
  </si>
  <si>
    <t xml:space="preserve">Hypothèse – sole meunière</t>
  </si>
  <si>
    <t xml:space="preserve">Le trait de citron de la meunière est traité comme un assaisonnement, pas comme une « sauce acidulée au citron » (n°11) : pas de plafond. Les sauces où le citron est structurant (tagliolini, sauce vierge, mousseline) sont, elles, plafonnées.</t>
  </si>
  <si>
    <t xml:space="preserve">Hypothèse – escargots</t>
  </si>
  <si>
    <t xml:space="preserve">Le n°2 est appliqué en supposant que les escargots viennent bien de Bourgogne. Si « de Bourgogne » désigne seulement l'espèce, les quatre 5 du plat (vins de Bourgogne sans bois) redescendent à 4.</t>
  </si>
  <si>
    <t xml:space="preserve">Non analysés</t>
  </si>
  <si>
    <t xml:space="preserve">Apéritifs, cocktails et mocktails (boissons). Irish coffee et Espresso Martini (boissons figurant dans les desserts). Accompagnements (purée, frites, épinards, poêlée de légumes, mesclun) : garnitures neutres selon le principe n°36, elles ne changent pas l'accord ; seule la vinaigrette du mesclun peut le perturber (la servir à part ou légère).</t>
  </si>
  <si>
    <t xml:space="preserve">Questions encore ouvertes (Pat)</t>
  </si>
  <si>
    <t xml:space="preserve">• n°9 : un Sancerre compte-t-il comme « proche d'un fleuve » ? Appliqué : oui, et par cohérence tous les vins de Loire de la carte (Petit Bourgeois, Sancerre, Pouilly-Fumé).
• n°10 : les émulsions (tartare, mayonnaise, mousseline, béarnaise) comptent-elles comme l'œuf ? Appliqué : oui, avec plafond à 4 (n°35).
• n°11 : les sauces acidulées au citron relèvent-elles du n°11 ? Appliqué : oui (tagliolini, sauce vierge, mousseline), plafond à 4.
• Fusions éditoriales encore en suspens (n°4 / n°17, n°6 / n°31) : sans effet sur les notes.</t>
  </si>
  <si>
    <t xml:space="preserve">Lien avec la matrice</t>
  </si>
  <si>
    <t xml:space="preserve">Chaque plat de cet onglet correspond à une colonne de « Matrice des notes ». Les colonnes « Meilleur vin de la carte » et « Note » de l'onglet Analyse des plats sont calculées par formule (MAX et INDEX/MATCH) sur cette colonne : modifier une note dans la matrice les met à jour. En cas d'égalité, le premier vin dans l'ordre de la carte (blancs, rouges, rosés, bulles, doux) est affiché ; « Meilleurs accords » donne le nombre de vins à 4 ou 5.</t>
  </si>
  <si>
    <t xml:space="preserve">Plats sans accord parfait</t>
  </si>
  <si>
    <t xml:space="preserve">22 lignes sur 39 : Émincé de bar, huile d'olive, citron vert ; Scampis en tempura, sauce tartare ; Assiette d'huîtres Utah Beach n°3, pain, beurre, échalote, vinaigre – 6 pièces ; Nems délicieux, salade, sauce aigre-douce ; Fraîcheur de tourteau, sucrine, Granny Smith, mayonnaise curry ; Filet de bar rôti, légumes de saison, purée, sauce vierge ; Cabillaud, crevettes grises, purée, sauce mousseline ; Tartare de thon façon Américain, frites et salade ; Belle assiette de légumes du marché laqués au miso ; Tagliolini, beurre sauge, citron et parmesan ; Tartare de bœuf préparé minute, frites ; Filet pur de bœuf Simmental, sauce béarnaise, frites et salade ; Traditionnelle dame blanche ; Moelleux au chocolat 70 %, glace vanille de Madagascar ; Café glacé ; Duo de sorbets de saison ; Île flottante, crème vanille, amandes caramélisées ; Crumble de pommes caramélisées, glace vanille de Madagascar ; Profiterole glace pistache, sauce Gianduja ; Mille-feuille, crème pâtissière pralinée ; Colonel, vodka Grey Goose ; Assiette de 3 fromages. Voir la réponse et l'onglet « Méthode &amp; hypothèses » (plafonds, absence de vin demi-sec ou muté sur la carte).</t>
  </si>
  <si>
    <t xml:space="preserve">À vérifier auprès du restaurant – plats</t>
  </si>
  <si>
    <t xml:space="preserve">• Escargots : « de Bourgogne » désigne-t-il l'origine ou l'espèce ? (conditionne la ligne Terroir).
• Tataki de thon : composition du « riz aux saveurs d'Asie » (piment, gingembre, soja ?) ; un piment marqué exclut le rouge.
• Tartares de bœuf et de thon : présence de piment, Tabasco ou sauce Worcestershire.
• Nems : sauce aigre-douce très sucrée ou plutôt vinaigrée ; présence de sauce de poisson.
• Mayonnaise curry du tourteau : curry doux ou piquant.
• Sauce vierge du bar : part de tomate et de citron.
• Ris de veau laqué : nature de la laque (miel, soja, jus réduit) et de la « garniture automnale ».
• Vol-au-vent : sens de « mousseline » (purée ou sauce).
• Assiette de 3 fromages : types de fromages (présence d'un bleu ou d'une pâte fraîche) — l'accord peut nécessiter deux verres.
• Duo de sorbets : parfums du moment (agrumes ou fruits rouges).
• Légumes de saison / légumes du marché : présence de légumes amers (chicon, brocoli, artichaut).</t>
  </si>
  <si>
    <t xml:space="preserve">À vérifier auprès du restaurant – vins</t>
  </si>
  <si>
    <t xml:space="preserve">• Producteurs non indiqués : Puligny Champ Gain (L-B08), Puligny Folatières (L-B09), Chassagne Chenevottes (L-B10), Corton-Charlemagne « Quintessence » (L-B13), Pommard Grands Épenots « Dom Morey » (L-R06), Corton Clos du Roi (L-R08), Terres de Cure (L-R12), Crozes Millepertuis (L-R13) : profils estimés.
• Millésimes : Gevrey Justice/Seuvrées (2018 ou 2019), Whispering Angel (2024 ou 2025), Sauternes au verre (non indiqué).
• Cuvées : Prosecco Brut ou Extra Dry (change la note sur les nems et les sorbets), Sancerre blanc (cuvée classique supposée), Montagny Millebuis (cuvée exacte), Etna Bianco (cuvée exacte).
• Bouteilles à goûter avant de les recommander : Le Pied des Nymphettes 2018, Clos des Mouches 2017, Folatières 2017, Meursault Tessons 2018, Moulin-à-Vent 2014, Fitapreta 2017, Elegancia 2018.</t>
  </si>
  <si>
    <t xml:space="preserve">Lola — Matrice des notes d'accord mets-vins (1 à 5)</t>
  </si>
  <si>
    <t xml:space="preserve">1 = pas bon du tout · 2 = médiocre · 3 = correct · 4 = très bon · 5 = accord parfait. Survolez une note pour lire sa justification et les principes de Pat cités.</t>
  </si>
  <si>
    <t xml:space="preserve">Plats en colonnes, groupés par type ; vins en lignes, groupés par famille. Pas de supplément sauce séparé sur la carte : les sauces du filet pur sont traitées comme trois plats « filet + sauce ».</t>
  </si>
  <si>
    <t xml:space="preserve">Entrées</t>
  </si>
  <si>
    <t xml:space="preserve">Plats</t>
  </si>
  <si>
    <t xml:space="preserve">Desserts</t>
  </si>
  <si>
    <t xml:space="preserve">Famille</t>
  </si>
  <si>
    <t xml:space="preserve">Vin</t>
  </si>
  <si>
    <t xml:space="preserve">Note moyenne du vin</t>
  </si>
  <si>
    <t xml:space="preserve">Blancs</t>
  </si>
  <si>
    <t xml:space="preserve">BLANCS</t>
  </si>
  <si>
    <t xml:space="preserve">L-B01 · IGP Val de Loire Sauvignon Le Petit Bourgeois 2024</t>
  </si>
  <si>
    <t xml:space="preserve">L-B02 · Sancerre Henri Bourgeois 2025</t>
  </si>
  <si>
    <t xml:space="preserve">L-B03 · Pouilly-Fumé de Ladoucette 2024</t>
  </si>
  <si>
    <t xml:space="preserve">L-B04 · Pessac-Léognan Château Carbonnieux blanc 2024</t>
  </si>
  <si>
    <t xml:space="preserve">L-B05 · Petit Chablis Pas Si Petit 2023</t>
  </si>
  <si>
    <t xml:space="preserve">L-B06 · Montagny Millebuis 2022</t>
  </si>
  <si>
    <t xml:space="preserve">L-B07 · Bourgogne Chardonnay Nuiton-Beaunoy 2023</t>
  </si>
  <si>
    <t xml:space="preserve">L-B08 · Puligny-Montrachet 1er Cru Champ Gain 2019</t>
  </si>
  <si>
    <t xml:space="preserve">L-B09 · Puligny-Montrachet 1er Cru Les Folatières 2017</t>
  </si>
  <si>
    <t xml:space="preserve">L-B10 · Chassagne-Montrachet 1er Cru Les Chenevottes 2020</t>
  </si>
  <si>
    <t xml:space="preserve">L-B11 · Beaune 1er Cru Clos des Mouches blanc 2017</t>
  </si>
  <si>
    <t xml:space="preserve">L-B12 · Meursault Les Tessons 2018</t>
  </si>
  <si>
    <t xml:space="preserve">L-B13 · Corton-Charlemagne Grand Cru « Quintessence » 2017</t>
  </si>
  <si>
    <t xml:space="preserve">L-B14 · Châteauneuf-du-Pape blanc Renaissance 2024</t>
  </si>
  <si>
    <t xml:space="preserve">L-B15 · Condrieu Pagus Luminis 2024</t>
  </si>
  <si>
    <t xml:space="preserve">L-B16 · Languedoc-Roussillon Le Pied des Nymphettes blanc 2018</t>
  </si>
  <si>
    <t xml:space="preserve">L-B17 · Vermentino di Sardegna Prendas 2024</t>
  </si>
  <si>
    <t xml:space="preserve">L-B18 · Etna Bianco Barone di Villagrande 2024</t>
  </si>
  <si>
    <t xml:space="preserve">L-B19 · Montsant Acústic Blanc 2022</t>
  </si>
  <si>
    <t xml:space="preserve">L-B20 · Bierzo La del Vivo 2023</t>
  </si>
  <si>
    <t xml:space="preserve">L-B21 · Chablis Saint-Pierre 2024 · 37,5 cl</t>
  </si>
  <si>
    <t xml:space="preserve">Rouges</t>
  </si>
  <si>
    <t xml:space="preserve">ROUGES</t>
  </si>
  <si>
    <t xml:space="preserve">L-R01 · Chiroubles Domaine Piron 2024</t>
  </si>
  <si>
    <t xml:space="preserve">L-R02 · Saint-Amour Domaine Piron 2024</t>
  </si>
  <si>
    <t xml:space="preserve">L-R03 · Moulin-à-Vent Les Michelons 2014</t>
  </si>
  <si>
    <t xml:space="preserve">L-R04 · Bourgogne Pinot noir Nuiton-Beaunoy 2023</t>
  </si>
  <si>
    <t xml:space="preserve">L-R05 · Givry Millebuis 2023</t>
  </si>
  <si>
    <t xml:space="preserve">L-R06 · Pommard 1er Cru Les Grands Épenots 2018</t>
  </si>
  <si>
    <t xml:space="preserve">L-R07 · Beaune 1er Cru Clos des Fèves 2018</t>
  </si>
  <si>
    <t xml:space="preserve">L-R08 · Corton Grand Cru Clos du Roi 2018</t>
  </si>
  <si>
    <t xml:space="preserve">L-R09 · Gevrey-Chambertin Justice / Seuvrées 2018-2019</t>
  </si>
  <si>
    <t xml:space="preserve">L-R10 · Bourgueil Côte 50 2024</t>
  </si>
  <si>
    <t xml:space="preserve">L-R11 · Sancerre rouge Henri Bourgeois 2023</t>
  </si>
  <si>
    <t xml:space="preserve">L-R12 · Rhône Terres de Cure 2022</t>
  </si>
  <si>
    <t xml:space="preserve">L-R13 · Crozes-Hermitage Le Millepertuis 2023</t>
  </si>
  <si>
    <t xml:space="preserve">L-R14 · Châteauneuf-du-Pape Les Olivets 2023</t>
  </si>
  <si>
    <t xml:space="preserve">L-R15 · Côte-Rôtie Promesse 2023</t>
  </si>
  <si>
    <t xml:space="preserve">L-R16 · Bordeaux D de Dauzac 2022</t>
  </si>
  <si>
    <t xml:space="preserve">L-R17 · Haut-Médoc Héritage de Chasse-Spleen 2020</t>
  </si>
  <si>
    <t xml:space="preserve">L-R18 · Haut-Médoc de Giscours 2019</t>
  </si>
  <si>
    <t xml:space="preserve">L-R19 · Margaux Zédé de Labégorce 2019</t>
  </si>
  <si>
    <t xml:space="preserve">L-R20 · Pauillac Château Pichon-Longueville 2021</t>
  </si>
  <si>
    <t xml:space="preserve">L-R21 · Pauillac Les Forts de Latour 2018</t>
  </si>
  <si>
    <t xml:space="preserve">L-R22 · Pauillac Le Petit Mouton 2021</t>
  </si>
  <si>
    <t xml:space="preserve">L-R23 · Pessac-Léognan HB de Haut-Bailly 2019</t>
  </si>
  <si>
    <t xml:space="preserve">L-R24 · Pomerol Clos René 2023</t>
  </si>
  <si>
    <t xml:space="preserve">L-R25 · Saint-Émilion Grand Cru Château Laroze 2020</t>
  </si>
  <si>
    <t xml:space="preserve">L-R26 · Saint-Émilion Grand Cru Château Troplong Mondot 2019</t>
  </si>
  <si>
    <t xml:space="preserve">L-R27 · Saint-Estèphe Château Petit Bocq 2022</t>
  </si>
  <si>
    <t xml:space="preserve">L-R28 · Saint-Julien Les Fiefs de Lagrange 2019</t>
  </si>
  <si>
    <t xml:space="preserve">L-R29 · Saint-Julien Château Ducru-Beaucaillou 2019</t>
  </si>
  <si>
    <t xml:space="preserve">L-R30 · Alto Adige Pinot Nero Cantina Tramin 2025</t>
  </si>
  <si>
    <t xml:space="preserve">L-R31 · Alto Adige Lagrein Elena Walch 2025</t>
  </si>
  <si>
    <t xml:space="preserve">L-R32 · Terre Siciliane Passorosso 2019</t>
  </si>
  <si>
    <t xml:space="preserve">L-R33 · Toscana Guidalberto 2023</t>
  </si>
  <si>
    <t xml:space="preserve">L-R34 · Toscana Tignanello 2022</t>
  </si>
  <si>
    <t xml:space="preserve">L-R35 · Bolgheri Sassicaia 2018</t>
  </si>
  <si>
    <t xml:space="preserve">L-R36 · Rioja Roda Reserva 2021</t>
  </si>
  <si>
    <t xml:space="preserve">L-R37 · Ribera del Duero Alion 2020</t>
  </si>
  <si>
    <t xml:space="preserve">L-R38 · Alentejo Trincadeira « Não é tão preta » 2017</t>
  </si>
  <si>
    <t xml:space="preserve">L-R39 · Uruguay Elegancia 2018</t>
  </si>
  <si>
    <t xml:space="preserve">L-R40 · Saint-Estèphe Château Petit Bocq 2023 · 37,5 cl</t>
  </si>
  <si>
    <t xml:space="preserve">Rosés</t>
  </si>
  <si>
    <t xml:space="preserve">ROSÉS</t>
  </si>
  <si>
    <t xml:space="preserve">L-P01 · Côtes de Provence Le Merle 2025</t>
  </si>
  <si>
    <t xml:space="preserve">L-P02 · Côtes de Provence Whispering Angel 2024-2025</t>
  </si>
  <si>
    <t xml:space="preserve">Bulles</t>
  </si>
  <si>
    <t xml:space="preserve">BULLES</t>
  </si>
  <si>
    <t xml:space="preserve">L-E01 · Valdobbiadene Prosecco Superiore Col de l'Utia NM</t>
  </si>
  <si>
    <t xml:space="preserve">L-E02 · Champagne R de Ruinart Brut NM · 37,5 cl</t>
  </si>
  <si>
    <t xml:space="preserve">L-E03 · Champagne R de Ruinart Brut NM</t>
  </si>
  <si>
    <t xml:space="preserve">L-E04 · Champagne Laurent-Perrier Cuvée Rosé NM</t>
  </si>
  <si>
    <t xml:space="preserve">L-E05 · Champagne Ruinart Blanc de Blancs NM · 37,5 cl</t>
  </si>
  <si>
    <t xml:space="preserve">L-E06 · Champagne Ruinart Blanc de Blancs NM</t>
  </si>
  <si>
    <t xml:space="preserve">L-E07 · Champagne Dom Pérignon Vintage 2017</t>
  </si>
  <si>
    <t xml:space="preserve">Doux</t>
  </si>
  <si>
    <t xml:space="preserve">DOUX</t>
  </si>
  <si>
    <t xml:space="preserve">L-D01 · Sauternes Château Lange-Réglat (au verre)</t>
  </si>
  <si>
    <t xml:space="preserve">Meilleure note du plat</t>
  </si>
  <si>
    <t xml:space="preserve">Lola — Commentaires d'accord (note, justification, principes)</t>
  </si>
  <si>
    <t xml:space="preserve">Même grille que « Matrice des notes ». Couleur = note au moment de la génération : si une note est modifiée dans la matrice, ajuster ce texte à la main.</t>
  </si>
  <si>
    <t xml:space="preserve">3/5 — Blanc correct sur le bœuf cru, mais le sel du parmesan autorise et appelle un rouge léger (P28, P20).</t>
  </si>
  <si>
    <t xml:space="preserve">4/5 — Le citron vert nature plafonne l'accord (P7, P35) ; tension saline d'un vin de bord d'eau sur le bar cru (P9).</t>
  </si>
  <si>
    <t xml:space="preserve">4/5 — Blanc tendu, léger, sans bois : profil qui convient, sans point d'ancrage décisif (P20, P23) ; l'émulsion à l'œuf de la tartare plafonne l'accord (P10, P35).</t>
  </si>
  <si>
    <t xml:space="preserve">4/5 — Blanc tendu, léger, sans bois : profil qui convient, sans point d'ancrage décisif (P20, P3).</t>
  </si>
  <si>
    <t xml:space="preserve">4/5 — Le vinaigre à l'échalote plafonne l'accord (P11, P35) ; acidité littorale et salinité en écho à l'iode (P9).</t>
  </si>
  <si>
    <t xml:space="preserve">5/5 — L'acidité coupe le beurre, la salinité répond à l'iode (P9, P3).</t>
  </si>
  <si>
    <t xml:space="preserve">4/5 — Blanc tendu, léger, sans bois : profil qui convient, sans point d'ancrage décisif (P20, P34).</t>
  </si>
  <si>
    <t xml:space="preserve">2/5 — Blanc sec qui paraît maigre et dur face à la sauce aigre-douce (P22).</t>
  </si>
  <si>
    <t xml:space="preserve">4/5 — La mayonnaise plafonne l'accord (P10, P35) ; acidité et salinité à la hauteur de la pomme verte et du crabe (P23, P9).</t>
  </si>
  <si>
    <t xml:space="preserve">2/5 — Blanc sec trop maigre face au gras (P20) ; sans le sucre qui répond au sel (P4).</t>
  </si>
  <si>
    <t xml:space="preserve">3/5 — Trop léger, il disparaît derrière le plat (P20).</t>
  </si>
  <si>
    <t xml:space="preserve">4/5 — Le citron de la sauce vierge plafonne l'accord (P11, P35) ; notes d'herbes en miroir de la sauce vierge (P25).</t>
  </si>
  <si>
    <t xml:space="preserve">4/5 — Blanc tendu, léger, sans bois : profil qui convient, sans point d'ancrage décisif (P20, P23).</t>
  </si>
  <si>
    <t xml:space="preserve">4/5 — Blanc tendu, léger, sans bois : profil qui convient, sans point d'ancrage décisif (P20, P3) ; l'émulsion beurre-œuf-citron plafonne l'accord (P10, P35).</t>
  </si>
  <si>
    <t xml:space="preserve">5/5 — Blanc septentrional tendu et sans bois : il coupe le beurre noisette et respecte la sole (P42, P3, P19).</t>
  </si>
  <si>
    <t xml:space="preserve">4/5 — La base mayonnaise plafonne l'accord (P10, P35) ; blanc très tendu à la hauteur des condiments (P23).</t>
  </si>
  <si>
    <t xml:space="preserve">2/5 — Vin sec qui paraît maigre face à la laque sucrée (P22) ; umami qui durcit l'acidité (P29).</t>
  </si>
  <si>
    <t xml:space="preserve">4/5 — La sauce au citron plafonne l'accord (P11, P35) ; notes herbacées en miroir de la sauge (P25).</t>
  </si>
  <si>
    <t xml:space="preserve">3/5 — Blanc sans la structure qu'appelle la viande (P21, P20).</t>
  </si>
  <si>
    <t xml:space="preserve">2/5 — Trop léger, il disparaît derrière le plat (P20).</t>
  </si>
  <si>
    <t xml:space="preserve">1/5 — Vin sec face au sucre du dessert : il paraît amer et maigre (P22).</t>
  </si>
  <si>
    <t xml:space="preserve">1/5 — Vin sec face au sucre du dessert : il paraît amer et maigre (P22, P15).</t>
  </si>
  <si>
    <t xml:space="preserve">1/5 — Vin sec face au sucre du dessert : il paraît amer et maigre (P22, P7, P35).</t>
  </si>
  <si>
    <t xml:space="preserve">3/5 — Blanc tendu sans bois, sûr sur pâte fraîche ou pressée, sans garantie sur un bleu (P5, P18).</t>
  </si>
  <si>
    <t xml:space="preserve">4/5 — Blanc tendu, de poids moyen, sans bois : profil qui convient, sans point d'ancrage décisif (P20, P23) ; l'émulsion à l'œuf de la tartare plafonne l'accord (P10, P35).</t>
  </si>
  <si>
    <t xml:space="preserve">4/5 — Blanc tendu, de poids moyen, sans bois : profil qui convient, sans point d'ancrage décisif (P20, P3).</t>
  </si>
  <si>
    <t xml:space="preserve">4/5 — Blanc tendu, de poids moyen, sans bois : profil qui convient, sans point d'ancrage décisif (P20, P34).</t>
  </si>
  <si>
    <t xml:space="preserve">4/5 — Blanc tendu, de poids moyen, sans bois : profil qui convient, sans point d'ancrage décisif (P20, P23).</t>
  </si>
  <si>
    <t xml:space="preserve">4/5 — Blanc tendu, de poids moyen, sans bois : profil qui convient, sans point d'ancrage décisif (P20, P3) ; l'émulsion beurre-œuf-citron plafonne l'accord (P10, P35).</t>
  </si>
  <si>
    <t xml:space="preserve">2/5 — Blanc sans la structure qu'appelle la viande (P21, P20).</t>
  </si>
  <si>
    <t xml:space="preserve">5/5 — L'élevage sur lies donne la chair qui répond au beurre noisette, sans bois (P39, P3).</t>
  </si>
  <si>
    <t xml:space="preserve">5/5 — Élevé sur lies : chair pour la bisque, acidité pour la crème (P39, P3).</t>
  </si>
  <si>
    <t xml:space="preserve">4/5 — L'émulsion beurre-œuf-citron plafonne l'accord (P10, P35) ; l'élevage sur lies donne la chair qui répond à la mousseline (P39).</t>
  </si>
  <si>
    <t xml:space="preserve">5/5 — Élevage sur lies : chair et acidité pour la sauce crémée (P39, P42).</t>
  </si>
  <si>
    <t xml:space="preserve">2/5 — Le bois couvre la finesse et amplifie l'amertume (P30).</t>
  </si>
  <si>
    <t xml:space="preserve">2/5 — Le bois couvre la finesse et amplifie l'amertume (P19).</t>
  </si>
  <si>
    <t xml:space="preserve">2/5 — Le bois couvre la finesse et amplifie l'amertume (P34).</t>
  </si>
  <si>
    <t xml:space="preserve">3/5 — Le bois couvre la finesse et amplifie l'amertume (P19).</t>
  </si>
  <si>
    <t xml:space="preserve">1/5 — Vin sec, rond ou boisé, que le sucre rend amer et alcooleux (P22, P19).</t>
  </si>
  <si>
    <t xml:space="preserve">4/5 — Blanc tendu, de poids moyen, boisé : profil qui convient, sans point d'ancrage décisif (P20, P3).</t>
  </si>
  <si>
    <t xml:space="preserve">3/5 — Blanc tendu et patiné, bien sur pâte pressée ; son bois gêne sur un chèvre (P5, P19, P18).</t>
  </si>
  <si>
    <t xml:space="preserve">5/5 — Même terroir que l'escargot (origine à confirmer) ; l'acidité coupe le beurre persillé (P2, P3).</t>
  </si>
  <si>
    <t xml:space="preserve">4/5 — Élevé sur lies : chair pour la bisque, acidité pour la crème (P39, P3) ; trop léger, il disparaît derrière le plat (P20).</t>
  </si>
  <si>
    <t xml:space="preserve">4/5 — Blanc tendu, léger, sans bois : profil qui convient, sans point d'ancrage décisif (P20, P23) ; le citron de la sauce vierge plafonne l'accord (P11, P35).</t>
  </si>
  <si>
    <t xml:space="preserve">4/5 — Blanc tendu, léger, sans bois : profil qui convient, sans point d'ancrage décisif (P20, P23) ; la sauce au citron plafonne l'accord (P11, P35).</t>
  </si>
  <si>
    <t xml:space="preserve">4/5 — Élevage sur lies : chair et acidité pour la sauce crémée (P39, P42) ; trop léger, il disparaît derrière le plat (P20).</t>
  </si>
  <si>
    <t xml:space="preserve">2/5 — Le bois couvre la finesse et amplifie l'amertume (P19) ; acidité trop faible face au citron vert (P23).</t>
  </si>
  <si>
    <t xml:space="preserve">2/5 — Le bois couvre la finesse et amplifie l'amertume (P34) ; acidité trop faible face aux câpres et cornichons (P23).</t>
  </si>
  <si>
    <t xml:space="preserve">2/5 — Le bois couvre la finesse et amplifie l'amertume (P19) ; acidité trop faible face au beurre noisette (P3).</t>
  </si>
  <si>
    <t xml:space="preserve">2/5 — Le bois couvre la finesse et amplifie l'amertume (P19) ; acidité trop faible face à l'iode (P9).</t>
  </si>
  <si>
    <t xml:space="preserve">2/5 — Le bois couvre la finesse et amplifie l'amertume (P19) ; acidité trop faible face au beurre à l'ail (P3).</t>
  </si>
  <si>
    <t xml:space="preserve">2/5 — Le bois couvre la finesse et amplifie l'amertume (P34) ; acidité trop faible face à la friture et le fromage (P34).</t>
  </si>
  <si>
    <t xml:space="preserve">2/5 — Le bois couvre la finesse et amplifie l'amertume (P34) ; acidité trop faible face à la friture (P34).</t>
  </si>
  <si>
    <t xml:space="preserve">2/5 — Le bois couvre la finesse et amplifie l'amertume (P19) ; acidité trop faible face à la Granny Smith (P23).</t>
  </si>
  <si>
    <t xml:space="preserve">4/5 — Blanc souple, de poids moyen, peu boisé : profil qui convient, sans point d'ancrage décisif (P20, P3).</t>
  </si>
  <si>
    <t xml:space="preserve">2/5 — Le bois couvre la finesse et amplifie l'amertume (P19) ; acidité trop faible face à la tomate et le citron (P23).</t>
  </si>
  <si>
    <t xml:space="preserve">4/5 — Blanc souple, de poids moyen, peu boisé : profil qui convient, sans point d'ancrage décisif (P20, P23).</t>
  </si>
  <si>
    <t xml:space="preserve">3/5 — Acidité trop faible face à la mousseline (P3).</t>
  </si>
  <si>
    <t xml:space="preserve">2/5 — Le bois couvre la finesse et amplifie l'amertume (P19) ; acidité trop faible face aux câpres et cornichons (P23).</t>
  </si>
  <si>
    <t xml:space="preserve">2/5 — Le bois couvre la finesse et amplifie l'amertume (P19) ; acidité trop faible face au citron (P23).</t>
  </si>
  <si>
    <t xml:space="preserve">3/5 — Acidité trop faible face aux condiments (P23).</t>
  </si>
  <si>
    <t xml:space="preserve">2/5 — Acidité trop faible face au beurre et la réduction vinaigrée (P3).</t>
  </si>
  <si>
    <t xml:space="preserve">2/5 — Blanc peu acide qui manque de tension face au sel et au gras (P5, P3).</t>
  </si>
  <si>
    <t xml:space="preserve">4/5 — Blanc souple, léger, peu boisé : profil qui convient, sans point d'ancrage décisif (P20, P23).</t>
  </si>
  <si>
    <t xml:space="preserve">2/5 — Acidité trop faible face au beurre et la réduction vinaigrée (P3) ; trop léger, il disparaît derrière le plat (P20).</t>
  </si>
  <si>
    <t xml:space="preserve">1/5 — Le bois couvre la finesse et amplifie l'amertume (P30) ; trop puissant, il écrase le plat (P20).</t>
  </si>
  <si>
    <t xml:space="preserve">1/5 — Le bois couvre la finesse et amplifie l'amertume (P19) ; trop puissant, il écrase le plat (P20).</t>
  </si>
  <si>
    <t xml:space="preserve">3/5 — Blanc ample qui tient le gras (P20) ; mais sans le sucre qui ferait l'accord (P4).</t>
  </si>
  <si>
    <t xml:space="preserve">5/5 — Blanc ample et patiné qui répond à l'onctuosité et au sous-bois (P40, P25).</t>
  </si>
  <si>
    <t xml:space="preserve">5/5 — Blanc ample et patiné en miroir des morilles ; bois fondu à sa place sur la crème (P25, P19).</t>
  </si>
  <si>
    <t xml:space="preserve">4/5 — Blanc tendu, ample, boisé, patiné : profil qui convient, sans point d'ancrage décisif (P20, P3).</t>
  </si>
  <si>
    <t xml:space="preserve">1/5 — Le bois couvre la finesse et amplifie l'amertume (P19) ; acidité trop faible face au citron vert (P23) ; trop puissant, il écrase le plat (P20).</t>
  </si>
  <si>
    <t xml:space="preserve">1/5 — Le bois couvre la finesse et amplifie l'amertume (P34) ; acidité trop faible face aux câpres et cornichons (P23).</t>
  </si>
  <si>
    <t xml:space="preserve">1/5 — Le bois couvre la finesse et amplifie l'amertume (P19) ; acidité trop faible face au beurre noisette (P3).</t>
  </si>
  <si>
    <t xml:space="preserve">1/5 — Le bois couvre la finesse et amplifie l'amertume (P19) ; acidité trop faible face à l'iode (P9) ; trop puissant, il écrase le plat (P20).</t>
  </si>
  <si>
    <t xml:space="preserve">1/5 — Le bois couvre la finesse et amplifie l'amertume (P19) ; acidité trop faible face au beurre à l'ail (P3).</t>
  </si>
  <si>
    <t xml:space="preserve">1/5 — Le bois couvre la finesse et amplifie l'amertume (P34) ; acidité trop faible face à la friture et le fromage (P34).</t>
  </si>
  <si>
    <t xml:space="preserve">1/5 — Le bois couvre la finesse et amplifie l'amertume (P34) ; acidité trop faible face à la friture (P34).</t>
  </si>
  <si>
    <t xml:space="preserve">1/5 — Le bois couvre la finesse et amplifie l'amertume (P19) ; acidité trop faible face à la Granny Smith (P23) ; trop puissant, il écrase le plat (P20).</t>
  </si>
  <si>
    <t xml:space="preserve">1/5 — Le bois couvre la finesse et amplifie l'amertume (P19) ; acidité trop faible face à la tomate et le citron (P23).</t>
  </si>
  <si>
    <t xml:space="preserve">2/5 — Le bois couvre la finesse et amplifie l'amertume (P19) ; acidité trop faible face à la mousseline (P3).</t>
  </si>
  <si>
    <t xml:space="preserve">1/5 — Le bois couvre la finesse et amplifie l'amertume (P19) ; acidité trop faible face aux câpres et cornichons (P23).</t>
  </si>
  <si>
    <t xml:space="preserve">4/5 — Blanc souple, ample, boisé : profil qui convient, sans point d'ancrage décisif (P20, P3).</t>
  </si>
  <si>
    <t xml:space="preserve">1/5 — Le bois couvre la finesse et amplifie l'amertume (P19) ; acidité trop faible face au citron (P23).</t>
  </si>
  <si>
    <t xml:space="preserve">2/5 — Le bois couvre la finesse et amplifie l'amertume (P19) ; acidité trop faible face aux condiments (P23).</t>
  </si>
  <si>
    <t xml:space="preserve">4/5 — Blanc souple, ample, boisé, patiné : profil qui convient, sans point d'ancrage décisif (P20, P3).</t>
  </si>
  <si>
    <t xml:space="preserve">3/5 — Blanc ample et patiné, bien sur pâte pressée affinée, lourd sur pâte fraîche (P5, P18).</t>
  </si>
  <si>
    <t xml:space="preserve">4/5 — Blanc tendu, ample, boisé : profil qui convient, sans point d'ancrage décisif (P20, P3).</t>
  </si>
  <si>
    <t xml:space="preserve">2/5 — Le bois couvre la finesse et amplifie l'amertume (P30) ; trop puissant, il écrase le plat (P20).</t>
  </si>
  <si>
    <t xml:space="preserve">4/5 — Blanc souple, ample, peu boisé : profil qui convient, sans point d'ancrage décisif (P20, P3).</t>
  </si>
  <si>
    <t xml:space="preserve">4/5 — Blanc souple, ample, peu boisé : profil qui convient, sans point d'ancrage décisif (P20, P23).</t>
  </si>
  <si>
    <t xml:space="preserve">3/5 — Rondeur et richesse alcoolique pour la laque caramélisée (P14) ; mais sec face au sucre (P22).</t>
  </si>
  <si>
    <t xml:space="preserve">1/5 — Le bois couvre la finesse et amplifie l'amertume (P30) ; acidité trop faible face à l'huile et le parmesan (P23) ; trop puissant, il écrase le plat (P20).</t>
  </si>
  <si>
    <t xml:space="preserve">1/5 — Acidité trop faible face au citron vert (P23) ; le bois couvre la finesse et amplifie l'amertume (P19) ; trop puissant, il écrase le plat (P20).</t>
  </si>
  <si>
    <t xml:space="preserve">1/5 — Acidité trop faible face aux câpres et cornichons (P23) ; le bois couvre la finesse et amplifie l'amertume (P34).</t>
  </si>
  <si>
    <t xml:space="preserve">1/5 — Acidité trop faible face au beurre noisette (P3) ; le bois couvre la finesse et amplifie l'amertume (P19).</t>
  </si>
  <si>
    <t xml:space="preserve">1/5 — Acidité trop faible face à l'iode (P9) ; le bois couvre la finesse et amplifie l'amertume (P19) ; trop puissant, il écrase le plat (P20).</t>
  </si>
  <si>
    <t xml:space="preserve">1/5 — Acidité trop faible face au beurre à l'ail (P3) ; le bois couvre la finesse et amplifie l'amertume (P19).</t>
  </si>
  <si>
    <t xml:space="preserve">1/5 — Acidité trop faible face à la friture et le fromage (P34) ; le bois couvre la finesse et amplifie l'amertume (P34).</t>
  </si>
  <si>
    <t xml:space="preserve">1/5 — Acidité trop faible face à la friture (P34) ; le bois couvre la finesse et amplifie l'amertume (P34).</t>
  </si>
  <si>
    <t xml:space="preserve">3/5 — Acidité trop faible face au beurre d'escargot (P3).</t>
  </si>
  <si>
    <t xml:space="preserve">1/5 — Acidité trop faible face à la Granny Smith (P23) ; le bois couvre la finesse et amplifie l'amertume (P19) ; trop puissant, il écrase le plat (P20).</t>
  </si>
  <si>
    <t xml:space="preserve">3/5 — Acidité trop faible face à la bisque crémeuse (P3).</t>
  </si>
  <si>
    <t xml:space="preserve">1/5 — Acidité trop faible face à la tomate et le citron (P23) ; le bois couvre la finesse et amplifie l'amertume (P19).</t>
  </si>
  <si>
    <t xml:space="preserve">3/5 — Acidité trop faible face à la marinade (P23).</t>
  </si>
  <si>
    <t xml:space="preserve">2/5 — Acidité trop faible face à la mousseline (P3).</t>
  </si>
  <si>
    <t xml:space="preserve">1/5 — Acidité trop faible face aux câpres et cornichons (P23) ; le bois couvre la finesse et amplifie l'amertume (P19).</t>
  </si>
  <si>
    <t xml:space="preserve">3/5 — Acidité trop faible face au parmesan et l'onctuosité (P3).</t>
  </si>
  <si>
    <t xml:space="preserve">1/5 — Acidité trop faible face au citron (P23) ; le bois couvre la finesse et amplifie l'amertume (P19).</t>
  </si>
  <si>
    <t xml:space="preserve">3/5 — Acidité trop faible face à la sauce crémée (P3).</t>
  </si>
  <si>
    <t xml:space="preserve">3/5 — Acidité trop faible face à la laque (P3).</t>
  </si>
  <si>
    <t xml:space="preserve">2/5 — Acidité trop faible face aux condiments (P23).</t>
  </si>
  <si>
    <t xml:space="preserve">2/5 — Acidité trop faible face au poivre et la crème (P13).</t>
  </si>
  <si>
    <t xml:space="preserve">3/5 — Acidité trop faible face au citron vert (P23).</t>
  </si>
  <si>
    <t xml:space="preserve">3/5 — Acidité trop faible face aux câpres et cornichons (P23).</t>
  </si>
  <si>
    <t xml:space="preserve">3/5 — Acidité trop faible face au beurre noisette (P3).</t>
  </si>
  <si>
    <t xml:space="preserve">3/5 — Acidité trop faible face à l'iode (P9).</t>
  </si>
  <si>
    <t xml:space="preserve">3/5 — Acidité trop faible face au beurre à l'ail (P3).</t>
  </si>
  <si>
    <t xml:space="preserve">3/5 — Acidité trop faible face à la friture et le fromage (P34).</t>
  </si>
  <si>
    <t xml:space="preserve">3/5 — Acidité trop faible face à la friture (P34).</t>
  </si>
  <si>
    <t xml:space="preserve">4/5 — Blanc souple, léger, sans bois : profil qui convient, sans point d'ancrage décisif (P20, P3).</t>
  </si>
  <si>
    <t xml:space="preserve">3/5 — Acidité trop faible face à la Granny Smith (P23).</t>
  </si>
  <si>
    <t xml:space="preserve">4/5 — Notes d'herbes en miroir de la sauce vierge (P25) ; acidité trop faible face à la tomate et le citron (P23).</t>
  </si>
  <si>
    <t xml:space="preserve">4/5 — Blanc souple, léger, sans bois : profil qui convient, sans point d'ancrage décisif (P20, P23).</t>
  </si>
  <si>
    <t xml:space="preserve">4/5 — Notes herbacées en miroir de la sauge (P25) ; acidité trop faible face au citron (P23) ; la sauce au citron plafonne l'accord (P11, P35).</t>
  </si>
  <si>
    <t xml:space="preserve">3/5 — Le bois couvre la finesse et amplifie l'amertume (P30).</t>
  </si>
  <si>
    <t xml:space="preserve">3/5 — Le bois couvre la finesse et amplifie l'amertume (P34).</t>
  </si>
  <si>
    <t xml:space="preserve">4/5 — Blanc tendu, de poids moyen, peu boisé : profil qui convient, sans point d'ancrage décisif (P20, P3).</t>
  </si>
  <si>
    <t xml:space="preserve">4/5 — Notes d'herbes en miroir de la sauce vierge (P25) ; le bois couvre la finesse et amplifie l'amertume (P19).</t>
  </si>
  <si>
    <t xml:space="preserve">4/5 — Blanc tendu, de poids moyen, peu boisé : profil qui convient, sans point d'ancrage décisif (P20, P23).</t>
  </si>
  <si>
    <t xml:space="preserve">4/5 — Blanc tendu, de poids moyen, peu boisé : profil qui convient, sans point d'ancrage décisif (P20, P3) ; l'émulsion beurre-œuf-citron plafonne l'accord (P10, P35).</t>
  </si>
  <si>
    <t xml:space="preserve">3/5 — Passage partiel sous voile qui répond à l'umami (P25, P29) ; mais sec face à la laque sucrée (P22).</t>
  </si>
  <si>
    <t xml:space="preserve">4/5 — Notes herbacées en miroir de la sauge (P25) ; le bois couvre la finesse et amplifie l'amertume (P19) ; la sauce au citron plafonne l'accord (P11, P35).</t>
  </si>
  <si>
    <t xml:space="preserve">4/5 — Tendu et texturé, en partie élevé sous voile : le profil qui tient trois fromages (P5, P18).</t>
  </si>
  <si>
    <t xml:space="preserve">5/5 — Rouge léger, vif et peu tannique : il épouse le bœuf cru sans durcir sur la roquette (P30, P28, P37).</t>
  </si>
  <si>
    <t xml:space="preserve">2/5 — Rouge : son tanin durcit au contact du poisson cru (P27) ; seule sa légèreté limite les dégâts (P20).</t>
  </si>
  <si>
    <t xml:space="preserve">2/5 — Rouge : son tanin durcit au contact de la panure (P34) ; seule sa légèreté limite les dégâts (P20).</t>
  </si>
  <si>
    <t xml:space="preserve">2/5 — Rouge : son tanin durcit au contact de la chair fine (P24) ; seule sa légèreté limite les dégâts (P20).</t>
  </si>
  <si>
    <t xml:space="preserve">2/5 — Rouge : son tanin durcit au contact de l'iode (goût métallique) (P27) ; seule sa légèreté limite les dégâts (P20).</t>
  </si>
  <si>
    <t xml:space="preserve">2/5 — Rouge : son tanin durcit au contact de l'iode (P27) ; seule sa légèreté limite les dégâts (P20).</t>
  </si>
  <si>
    <t xml:space="preserve">2/5 — Rouge : son tanin durcit au contact du fromage, ingrédient principal (P5) ; seule sa légèreté limite les dégâts (P20).</t>
  </si>
  <si>
    <t xml:space="preserve">2/5 — Rouge : son tanin durcit au contact de la panure et l'iode (P34) ; seule sa légèreté limite les dégâts (P20).</t>
  </si>
  <si>
    <t xml:space="preserve">4/5 — Rouge léger très peu tannique : profil qui convient, sans point d'ancrage décisif (P20, P29).</t>
  </si>
  <si>
    <t xml:space="preserve">1/5 — Tanin durci par le sucre et le vinaigre de la sauce (P22, P23).</t>
  </si>
  <si>
    <t xml:space="preserve">2/5 — Rouge : son tanin durcit au contact du curry (P6) ; seule sa légèreté limite les dégâts (P20).</t>
  </si>
  <si>
    <t xml:space="preserve">2/5 — Rouge sec sans le sucre qui répond au sel (P4) ; tanin léger, mais fruit perdu sur le gras (P20).</t>
  </si>
  <si>
    <t xml:space="preserve">2/5 — Rouge : son tanin durcit au contact du homard (P27) ; seule sa légèreté limite les dégâts (P20).</t>
  </si>
  <si>
    <t xml:space="preserve">4/5 — Rouge léger très peu tannique : profil qui convient, sans point d'ancrage décisif (P20, P27) ; le citron de la sauce vierge plafonne l'accord (P11, P35).</t>
  </si>
  <si>
    <t xml:space="preserve">5/5 — Rouge léger servi frais sur un thon charnu, tanin discret face à l'umami (P27, P26).</t>
  </si>
  <si>
    <t xml:space="preserve">2/5 — Rouge : son tanin durcit au contact du cabillaud et les crevettes (P27) ; seule sa légèreté limite les dégâts (P20).</t>
  </si>
  <si>
    <t xml:space="preserve">2/5 — Rouge : son tanin durcit au contact de la sole (P27) ; seule sa légèreté limite les dégâts (P20).</t>
  </si>
  <si>
    <t xml:space="preserve">3/5 — Rouge léger très peu tannique : profil qui convient, sans point d'ancrage décisif (P20, P27).</t>
  </si>
  <si>
    <t xml:space="preserve">2/5 — Tanin léger, mais durci par l'umami et le sucre (P29, P22).</t>
  </si>
  <si>
    <t xml:space="preserve">2/5 — Rouge : son tanin durcit au contact du beurre et le citron (P3) ; seule sa légèreté limite les dégâts (P20).</t>
  </si>
  <si>
    <t xml:space="preserve">2/5 — Rouge : son tanin durcit au contact de la sauce blanche (P24) ; seule sa légèreté limite les dégâts (P20).</t>
  </si>
  <si>
    <t xml:space="preserve">4/5 — L'émulsion à l'œuf plafonne l'accord (P10, P35) ; rouge juteux et vif, tanins fins pour la viande crue (P21, P23).</t>
  </si>
  <si>
    <t xml:space="preserve">4/5 — Trame acide et tanins souples face à la béarnaise (P3, P21) ; trop léger, il disparaît derrière le plat (P20).</t>
  </si>
  <si>
    <t xml:space="preserve">2/5 — Rouge léger, mais le fromage repousse le tanin (P5).</t>
  </si>
  <si>
    <t xml:space="preserve">4/5 — Rouge de poids moyen aux tanins fins : profil qui convient, sans point d'ancrage décisif (P20, P30).</t>
  </si>
  <si>
    <t xml:space="preserve">1/5 — Rouge : son tanin durcit au contact du poisson cru (P27).</t>
  </si>
  <si>
    <t xml:space="preserve">1/5 — Rouge : son tanin durcit au contact de la panure (P34).</t>
  </si>
  <si>
    <t xml:space="preserve">1/5 — Rouge : son tanin durcit au contact de la chair fine (P24).</t>
  </si>
  <si>
    <t xml:space="preserve">1/5 — Rouge : son tanin durcit au contact de l'iode (goût métallique) (P27).</t>
  </si>
  <si>
    <t xml:space="preserve">1/5 — Rouge : son tanin durcit au contact de l'iode (P27).</t>
  </si>
  <si>
    <t xml:space="preserve">1/5 — Rouge : son tanin durcit au contact du fromage, ingrédient principal (P5).</t>
  </si>
  <si>
    <t xml:space="preserve">1/5 — Rouge : son tanin durcit au contact de la panure et l'iode (P34).</t>
  </si>
  <si>
    <t xml:space="preserve">4/5 — Rouge de poids moyen aux tanins fins : profil qui convient, sans point d'ancrage décisif (P20, P29).</t>
  </si>
  <si>
    <t xml:space="preserve">1/5 — Rouge : son tanin durcit au contact du curry (P6).</t>
  </si>
  <si>
    <t xml:space="preserve">1/5 — Rouge : son tanin durcit au contact du homard (P27).</t>
  </si>
  <si>
    <t xml:space="preserve">2/5 — Tanin trop présent pour la chair iodée et la tomate (P27) ; acidité trop faible face à la tomate et le citron (P23).</t>
  </si>
  <si>
    <t xml:space="preserve">1/5 — Rouge : son tanin durcit au contact du cabillaud et les crevettes (P27).</t>
  </si>
  <si>
    <t xml:space="preserve">1/5 — Rouge : son tanin durcit au contact de la sole (P27).</t>
  </si>
  <si>
    <t xml:space="preserve">2/5 — Tanin trop présent pour le thon cru (P27) ; acidité trop faible face aux câpres et cornichons (P23).</t>
  </si>
  <si>
    <t xml:space="preserve">1/5 — Rouge : son tanin durcit au contact du beurre et le citron (P3).</t>
  </si>
  <si>
    <t xml:space="preserve">1/5 — Rouge : son tanin durcit au contact de la sauce blanche (P24).</t>
  </si>
  <si>
    <t xml:space="preserve">4/5 — Rouge de poids moyen aux tanins fins : profil qui convient, sans point d'ancrage décisif (P20, P40).</t>
  </si>
  <si>
    <t xml:space="preserve">4/5 — Rouge de poids moyen aux tanins fins : profil qui convient, sans point d'ancrage décisif (P20, P13).</t>
  </si>
  <si>
    <t xml:space="preserve">3/5 — Acidité trop faible face au beurre et la réduction vinaigrée (P3).</t>
  </si>
  <si>
    <t xml:space="preserve">1/5 — Rouge jeune tannique, durci par le fromage (P5, P29).</t>
  </si>
  <si>
    <t xml:space="preserve">4/5 — Rouge puissant aux tanins fondus, patiné : profil qui convient, sans point d'ancrage décisif (P20, P29).</t>
  </si>
  <si>
    <t xml:space="preserve">1/5 — Tanin qui heurte le gras fondant, sans l'opposition du sucre (P4, P20).</t>
  </si>
  <si>
    <t xml:space="preserve">1/5 — Tanin trop présent pour la chair iodée et la tomate (P27) ; le bois couvre la finesse et amplifie l'amertume (P19).</t>
  </si>
  <si>
    <t xml:space="preserve">1/5 — Tanin trop présent pour le thon cru (P27) ; le bois couvre la finesse et amplifie l'amertume (P19) ; acidité trop faible face aux câpres et cornichons (P23).</t>
  </si>
  <si>
    <t xml:space="preserve">5/5 — Notes tertiaires de sous-bois en miroir des champignons, tanins fondus que le parmesan ne durcit pas (P25, P40, P37).</t>
  </si>
  <si>
    <t xml:space="preserve">1/5 — Tanin durci par l'umami et le sucre de la laque (P29, P22).</t>
  </si>
  <si>
    <t xml:space="preserve">4/5 — Rouge puissant aux tanins fondus, patiné : profil qui convient, sans point d'ancrage décisif (P20, P30).</t>
  </si>
  <si>
    <t xml:space="preserve">5/5 — Rouge patiné aux tanins fondus sur la laque caramélisée (P40, P14).</t>
  </si>
  <si>
    <t xml:space="preserve">5/5 — Tanins fondus et trame acide : la passerelle entre la crème et le poivre (P13, P21).</t>
  </si>
  <si>
    <t xml:space="preserve">5/5 — Notes tertiaires en miroir des morilles, tanins fondus (P25, P40).</t>
  </si>
  <si>
    <t xml:space="preserve">3/5 — Rouge évolué aux tanins fondus, bien sur pâte pressée, risqué sur pâte fraîche (P5, P18).</t>
  </si>
  <si>
    <t xml:space="preserve">4/5 — Rouge léger aux tanins fins : profil qui convient, sans point d'ancrage décisif (P20, P30).</t>
  </si>
  <si>
    <t xml:space="preserve">4/5 — Même terroir que l'escargot (origine à confirmer), rouge léger possible (P2).</t>
  </si>
  <si>
    <t xml:space="preserve">4/5 — Rouge léger aux tanins fins : profil qui convient, sans point d'ancrage décisif (P20, P29).</t>
  </si>
  <si>
    <t xml:space="preserve">4/5 — Même terroir que l'escargot (origine à confirmer), rouge léger possible (P2) ; le bois couvre la finesse et amplifie l'amertume (P19).</t>
  </si>
  <si>
    <t xml:space="preserve">1/5 — Le bois couvre la finesse et amplifie l'amertume (P19) ; tanin trop présent pour la chair iodée et la tomate (P27).</t>
  </si>
  <si>
    <t xml:space="preserve">1/5 — Le bois couvre la finesse et amplifie l'amertume (P19) ; tanin trop présent pour le thon cru (P27) ; acidité trop faible face aux câpres et cornichons (P23).</t>
  </si>
  <si>
    <t xml:space="preserve">1/5 — Le bois couvre la finesse et amplifie l'amertume (P30) ; tanin trop présent pour l'amertume de la roquette (P30) ; trop puissant, il écrase le plat (P20).</t>
  </si>
  <si>
    <t xml:space="preserve">3/5 — Tanin trop présent pour l'umami de l'escargot (P29) ; le bois couvre la finesse et amplifie l'amertume (P19).</t>
  </si>
  <si>
    <t xml:space="preserve">2/5 — Tanin trop présent pour l'umami et l'amertume du broccolini (P29) ; le bois couvre la finesse et amplifie l'amertume (P19).</t>
  </si>
  <si>
    <t xml:space="preserve">4/5 — Notes tertiaires de sous-bois en miroir des champignons, tanins fondus que le parmesan ne durcit pas (P25, P40, P37).</t>
  </si>
  <si>
    <t xml:space="preserve">3/5 — Tanin trop présent pour l'amertume des chiconettes (P30).</t>
  </si>
  <si>
    <t xml:space="preserve">4/5 — Rouge patiné aux tanins fondus sur la laque caramélisée (P40, P14) ; tanin trop présent pour la viande blanche fondante (P40).</t>
  </si>
  <si>
    <t xml:space="preserve">1/5 — Tanin trop présent pour la viande crue et maigre (P21) ; le bois couvre la finesse et amplifie l'amertume (P19) ; acidité trop faible face aux condiments (P23).</t>
  </si>
  <si>
    <t xml:space="preserve">2/5 — Tanin trop présent pour l'émulsion (P10) ; acidité trop faible face au beurre et la réduction vinaigrée (P3).</t>
  </si>
  <si>
    <t xml:space="preserve">1/5 — Le bois couvre la finesse et amplifie l'amertume (P30) ; tanin trop présent pour l'amertume de la roquette (P30).</t>
  </si>
  <si>
    <t xml:space="preserve">3/5 — Tanin trop présent pour l'umami des champignons et du parmesan (P29).</t>
  </si>
  <si>
    <t xml:space="preserve">4/5 — Rouge de poids moyen aux tanins présents : profil qui convient, sans point d'ancrage décisif (P20, P29).</t>
  </si>
  <si>
    <t xml:space="preserve">1/5 — Tanin trop présent pour l'amertume de la roquette (P30) ; le bois couvre la finesse et amplifie l'amertume (P30) ; trop puissant, il écrase le plat (P20).</t>
  </si>
  <si>
    <t xml:space="preserve">2/5 — Tanin trop présent pour l'umami de l'escargot (P29) ; le bois couvre la finesse et amplifie l'amertume (P19).</t>
  </si>
  <si>
    <t xml:space="preserve">1/5 — Tanin trop présent pour l'umami et l'amertume du broccolini (P29) ; le bois couvre la finesse et amplifie l'amertume (P19).</t>
  </si>
  <si>
    <t xml:space="preserve">2/5 — Tanin trop présent pour l'umami des champignons et du parmesan (P29).</t>
  </si>
  <si>
    <t xml:space="preserve">2/5 — Tanin trop présent pour l'amertume des chiconettes (P30).</t>
  </si>
  <si>
    <t xml:space="preserve">3/5 — Tanin trop présent pour la viande blanche fondante (P40).</t>
  </si>
  <si>
    <t xml:space="preserve">3/5 — Tanin trop présent pour le poivre (P13).</t>
  </si>
  <si>
    <t xml:space="preserve">3/5 — Tanin trop présent pour l'umami des morilles (P29).</t>
  </si>
  <si>
    <t xml:space="preserve">2/5 — Le bois couvre la finesse et amplifie l'amertume (P19) ; tanin trop présent pour l'umami de l'escargot (P29).</t>
  </si>
  <si>
    <t xml:space="preserve">1/5 — Le bois couvre la finesse et amplifie l'amertume (P19) ; tanin trop présent pour l'umami et l'amertume du broccolini (P29).</t>
  </si>
  <si>
    <t xml:space="preserve">2/5 — Tanin trop présent pour l'umami des champignons et du parmesan (P29) ; le bois couvre la finesse et amplifie l'amertume (P19).</t>
  </si>
  <si>
    <t xml:space="preserve">2/5 — Tanin trop présent pour l'amertume des chiconettes (P30) ; le bois couvre la finesse et amplifie l'amertume (P19).</t>
  </si>
  <si>
    <t xml:space="preserve">3/5 — Tanin trop présent pour la viande blanche fondante (P40) ; le bois couvre la finesse et amplifie l'amertume (P19).</t>
  </si>
  <si>
    <t xml:space="preserve">1/5 — Le bois couvre la finesse et amplifie l'amertume (P19) ; tanin trop présent pour la viande crue et maigre (P21) ; acidité trop faible face aux condiments (P23).</t>
  </si>
  <si>
    <t xml:space="preserve">4/5 — Tanins fondus et trame acide : la passerelle entre la crème et le poivre (P13, P21) ; le bois couvre la finesse et amplifie l'amertume (P19).</t>
  </si>
  <si>
    <t xml:space="preserve">2/5 — Tanin trop présent pour l'émulsion (P10) ; le bois couvre la finesse et amplifie l'amertume (P19) ; acidité trop faible face au beurre et la réduction vinaigrée (P3).</t>
  </si>
  <si>
    <t xml:space="preserve">3/5 — Tanin trop présent pour la chair iodée et la tomate (P27).</t>
  </si>
  <si>
    <t xml:space="preserve">3/5 — Tanin trop présent pour le thon cru (P27).</t>
  </si>
  <si>
    <t xml:space="preserve">2/5 — Tanin trop présent pour la chair iodée et la tomate (P27) ; le bois couvre la finesse et amplifie l'amertume (P19).</t>
  </si>
  <si>
    <t xml:space="preserve">2/5 — Tanin trop présent pour le thon cru (P27) ; le bois couvre la finesse et amplifie l'amertume (P19).</t>
  </si>
  <si>
    <t xml:space="preserve">2/5 — Tanin trop présent pour l'amertume de la roquette (P30) ; le bois couvre la finesse et amplifie l'amertume (P30).</t>
  </si>
  <si>
    <t xml:space="preserve">3/5 — Tanin trop présent pour l'umami de l'escargot (P29).</t>
  </si>
  <si>
    <t xml:space="preserve">3/5 — Tanin trop présent pour l'umami et l'amertume du broccolini (P29).</t>
  </si>
  <si>
    <t xml:space="preserve">2/5 — Tanin trop présent pour la viande crue et maigre (P21) ; acidité trop faible face aux condiments (P23).</t>
  </si>
  <si>
    <t xml:space="preserve">3/5 — Tanins jeunes durcis par le poivre ; carafer (P13, P43).</t>
  </si>
  <si>
    <t xml:space="preserve">3/5 — L'umami des morilles durcit ce rouge jeune ; carafer (P29, P43).</t>
  </si>
  <si>
    <t xml:space="preserve">4/5 — Le poivre de la syrah fait miroir à la sauce (P25, P13) ; tanins jeunes durcis par le poivre ; carafer (P13, P43).</t>
  </si>
  <si>
    <t xml:space="preserve">4/5 — Richesse alcoolique qui développe les notes caramélisées (P14) ; tanin trop présent pour la viande blanche fondante (P40).</t>
  </si>
  <si>
    <t xml:space="preserve">4/5 — Rouge de poids moyen aux tanins présents : profil qui convient, sans point d'ancrage décisif (P20, P13).</t>
  </si>
  <si>
    <t xml:space="preserve">1/5 — Tanin trop présent pour l'umami de l'escargot (P29) ; le bois couvre la finesse et amplifie l'amertume (P19).</t>
  </si>
  <si>
    <t xml:space="preserve">1/5 — Tanin trop présent pour le thon cru (P27) ; le bois couvre la finesse et amplifie l'amertume (P19).</t>
  </si>
  <si>
    <t xml:space="preserve">1/5 — Tanin trop présent pour l'umami des champignons et du parmesan (P29) ; le bois couvre la finesse et amplifie l'amertume (P19).</t>
  </si>
  <si>
    <t xml:space="preserve">1/5 — Tanin trop présent pour l'amertume des chiconettes (P30) ; le bois couvre la finesse et amplifie l'amertume (P19).</t>
  </si>
  <si>
    <t xml:space="preserve">1/5 — Tanin trop présent pour la viande blanche fondante (P40) ; le bois couvre la finesse et amplifie l'amertume (P19).</t>
  </si>
  <si>
    <t xml:space="preserve">1/5 — Tanin trop présent pour la viande crue et maigre (P21) ; le bois couvre la finesse et amplifie l'amertume (P19).</t>
  </si>
  <si>
    <t xml:space="preserve">2/5 — Tanin trop présent pour le poivre (P13) ; tanins jeunes durcis par le poivre ; carafer (P13, P43) ; le bois couvre la finesse et amplifie l'amertume (P19).</t>
  </si>
  <si>
    <t xml:space="preserve">2/5 — Tanin trop présent pour l'umami des morilles (P29) ; l'umami des morilles durcit ce rouge jeune ; carafer (P29, P43).</t>
  </si>
  <si>
    <t xml:space="preserve">2/5 — Tanin trop présent pour l'émulsion (P10) ; le bois couvre la finesse et amplifie l'amertume (P19).</t>
  </si>
  <si>
    <t xml:space="preserve">1/5 — Tanin trop présent pour l'umami de l'escargot (P29) ; le bois couvre la finesse et amplifie l'amertume (P19) ; trop puissant, il écrase le plat (P20).</t>
  </si>
  <si>
    <t xml:space="preserve">1/5 — Tanin trop présent pour l'umami et l'amertume du broccolini (P29) ; le bois couvre la finesse et amplifie l'amertume (P19) ; trop puissant, il écrase le plat (P20).</t>
  </si>
  <si>
    <t xml:space="preserve">2/5 — Tanin trop présent pour la viande blanche fondante (P40) ; le bois couvre la finesse et amplifie l'amertume (P19).</t>
  </si>
  <si>
    <t xml:space="preserve">2/5 — Tanin trop présent pour le poivre (P13) ; le bois couvre la finesse et amplifie l'amertume (P19).</t>
  </si>
  <si>
    <t xml:space="preserve">2/5 — Tanin trop présent pour l'umami des morilles (P29) ; le bois couvre la finesse et amplifie l'amertume (P19).</t>
  </si>
  <si>
    <t xml:space="preserve">4/5 — Rouge de poids moyen aux tanins fondus, patiné : profil qui convient, sans point d'ancrage décisif (P20, P29).</t>
  </si>
  <si>
    <t xml:space="preserve">4/5 — Rouge de poids moyen aux tanins fondus, patiné : profil qui convient, sans point d'ancrage décisif (P20, P30).</t>
  </si>
  <si>
    <t xml:space="preserve">2/5 — Tanins assouplis, mais le fromage durcit encore ce rouge (P5, P18).</t>
  </si>
  <si>
    <t xml:space="preserve">2/5 — Tanin trop présent pour l'émulsion (P10).</t>
  </si>
  <si>
    <t xml:space="preserve">2/5 — Tanin trop présent pour la viande blanche fondante (P40).</t>
  </si>
  <si>
    <t xml:space="preserve">2/5 — Tanin trop présent pour le poivre (P13) ; tanins jeunes durcis par le poivre ; carafer (P13, P43).</t>
  </si>
  <si>
    <t xml:space="preserve">3/5 — Tanin trop présent pour la viande crue et maigre (P21).</t>
  </si>
  <si>
    <t xml:space="preserve">3/5 — Tanin trop présent pour l'émulsion (P10).</t>
  </si>
  <si>
    <t xml:space="preserve">2/5 — Tanin trop présent pour la viande crue et maigre (P21) ; le bois couvre la finesse et amplifie l'amertume (P19).</t>
  </si>
  <si>
    <t xml:space="preserve">1/5 — Le bois couvre la finesse et amplifie l'amertume (P19) ; tanin trop présent pour l'umami de l'escargot (P29) ; trop puissant, il écrase le plat (P20).</t>
  </si>
  <si>
    <t xml:space="preserve">1/5 — Le bois couvre la finesse et amplifie l'amertume (P19) ; tanin trop présent pour l'umami et l'amertume du broccolini (P29) ; trop puissant, il écrase le plat (P20).</t>
  </si>
  <si>
    <t xml:space="preserve">2/5 — Le bois couvre la finesse et amplifie l'amertume (P19) ; tanin trop présent pour le poivre (P13) ; tanins jeunes durcis par le poivre ; carafer (P13, P43).</t>
  </si>
  <si>
    <t xml:space="preserve">2/5 — Le bois couvre la finesse et amplifie l'amertume (P19) ; tanin trop présent pour l'umami des morilles (P29).</t>
  </si>
  <si>
    <t xml:space="preserve">4/5 — Rouge de poids moyen aux tanins fondus, patiné : profil qui convient, sans point d'ancrage décisif (P20, P40).</t>
  </si>
  <si>
    <t xml:space="preserve">4/5 — Rouge de poids moyen aux tanins fondus, patiné : profil qui convient, sans point d'ancrage décisif (P20, P13).</t>
  </si>
  <si>
    <t xml:space="preserve">4/5 — Rouge puissant aux tanins fondus, patiné : profil qui convient, sans point d'ancrage décisif (P20, P13).</t>
  </si>
  <si>
    <t xml:space="preserve">3/5 — Rosé souple, léger, sans bois : profil qui convient, sans point d'ancrage décisif (P20, P3).</t>
  </si>
  <si>
    <t xml:space="preserve">3/5 — Acidité trop faible face à la tomate et le citron (P23).</t>
  </si>
  <si>
    <t xml:space="preserve">4/5 — Rosé souple, léger, sans bois : profil qui convient, sans point d'ancrage décisif (P20, P23).</t>
  </si>
  <si>
    <t xml:space="preserve">3/5 — Acidité trop faible face au citron (P23).</t>
  </si>
  <si>
    <t xml:space="preserve">2/5 — Rosé léger, sans la tension ni la patine qu'appellent trois fromages (P5, P20).</t>
  </si>
  <si>
    <t xml:space="preserve">3/5 — La bulle ne trouve pas d'ancrage dans le beurre d'escargot (P41).</t>
  </si>
  <si>
    <t xml:space="preserve">3/5 — Bulle sur la friture (P34) ; dosage peut-être Extra Dry, mais moins sucré que la sauce (à confirmer) (P22).</t>
  </si>
  <si>
    <t xml:space="preserve">3/5 — La bulle ne trouve pas d'ancrage sur le thon et l'umami (P41).</t>
  </si>
  <si>
    <t xml:space="preserve">3/5 — Effervescent trop vif pour l'onctuosité et le sous-bois (P41, P20) ; trop léger, il disparaît derrière le plat (P20).</t>
  </si>
  <si>
    <t xml:space="preserve">3/5 — Blanc de blancs trop fin pour la crème aux morilles (P41, P20) ; trop léger, il disparaît derrière le plat (P20).</t>
  </si>
  <si>
    <t xml:space="preserve">3/5 — Bulle sans l'ampleur ni la richesse qu'appelle la laque (P14, P20) ; trop léger, il disparaît derrière le plat (P20).</t>
  </si>
  <si>
    <t xml:space="preserve">2/5 — Bulle légère et peu alcoolisée, mais moins sucrée que le sorbet (P22, P20).</t>
  </si>
  <si>
    <t xml:space="preserve">2/5 — Bulle légère et peu d'alcool, mais moins sucrée que le sorbet ; agrume et vodka plafonnent (P22, P35, P7).</t>
  </si>
  <si>
    <t xml:space="preserve">4/5 — Effervescent vineux : profil qui convient, sans point d'ancrage décisif (P20, P23) ; le citron vert nature plafonne l'accord (P7, P35).</t>
  </si>
  <si>
    <t xml:space="preserve">4/5 — L'émulsion à l'œuf de la tartare plafonne l'accord (P10, P35) ; la bulle et l'acidité nettoient la friture (P34).</t>
  </si>
  <si>
    <t xml:space="preserve">4/5 — Effervescent vineux : profil qui convient, sans point d'ancrage décisif (P20, P3).</t>
  </si>
  <si>
    <t xml:space="preserve">4/5 — Effervescent vineux : profil qui convient, sans point d'ancrage décisif (P20, P9) ; le vinaigre à l'échalote plafonne l'accord (P11, P35).</t>
  </si>
  <si>
    <t xml:space="preserve">5/5 — La bulle et l'acidité coupent la friture et le fromage (P34, P3).</t>
  </si>
  <si>
    <t xml:space="preserve">5/5 — Bulle septentrionale qui nettoie la friture et répond à l'iode de la crevette (P34, P42, P41).</t>
  </si>
  <si>
    <t xml:space="preserve">2/5 — La bulle nettoie la friture (P34) ; mais un brut paraît maigre face au sucre (P22).</t>
  </si>
  <si>
    <t xml:space="preserve">4/5 — Effervescent vineux : profil qui convient, sans point d'ancrage décisif (P20, P23) ; la mayonnaise plafonne l'accord (P10, P35).</t>
  </si>
  <si>
    <t xml:space="preserve">5/5 — Effervescent vineux : la bulle coupe la crème, les pinots répondent à la bisque (P41, P3).</t>
  </si>
  <si>
    <t xml:space="preserve">4/5 — Effervescent vineux : profil qui convient, sans point d'ancrage décisif (P20, P23) ; le citron de la sauce vierge plafonne l'accord (P11, P35).</t>
  </si>
  <si>
    <t xml:space="preserve">4/5 — Effervescent vineux : profil qui convient, sans point d'ancrage décisif (P20, P3) ; l'émulsion beurre-œuf-citron plafonne l'accord (P10, P35).</t>
  </si>
  <si>
    <t xml:space="preserve">4/5 — Effervescent vineux : profil qui convient, sans point d'ancrage décisif (P20, P23) ; la base mayonnaise plafonne l'accord (P10, P35).</t>
  </si>
  <si>
    <t xml:space="preserve">3/5 — Effervescent trop vif pour l'onctuosité et le sous-bois (P41, P20).</t>
  </si>
  <si>
    <t xml:space="preserve">4/5 — Effervescent vineux : profil qui convient, sans point d'ancrage décisif (P20, P23) ; la sauce au citron plafonne l'accord (P11, P35).</t>
  </si>
  <si>
    <t xml:space="preserve">4/5 — Effervescent vineux qui tient la volaille et la crème, sans miroir des morilles (P41, P25).</t>
  </si>
  <si>
    <t xml:space="preserve">5/5 — Effervescent vineux, taillé pour la crème et les plats de brasserie (P41, P42).</t>
  </si>
  <si>
    <t xml:space="preserve">3/5 — Bulle sans l'ampleur ni la richesse qu'appelle la laque (P14, P20).</t>
  </si>
  <si>
    <t xml:space="preserve">2/5 — Tanin trop présent pour le poisson cru (P27) ; acidité trop faible face au citron vert (P23).</t>
  </si>
  <si>
    <t xml:space="preserve">3/5 — Tanin trop présent pour la panure (P34) ; acidité trop faible face aux câpres et cornichons (P23).</t>
  </si>
  <si>
    <t xml:space="preserve">2/5 — Tanin trop présent pour la chair fine (P24) ; acidité trop faible face au beurre noisette (P3).</t>
  </si>
  <si>
    <t xml:space="preserve">2/5 — Tanin trop présent pour l'iode (goût métallique) (P27) ; acidité trop faible face à l'iode (P9).</t>
  </si>
  <si>
    <t xml:space="preserve">2/5 — Tanin trop présent pour l'iode (P27) ; acidité trop faible face au beurre à l'ail (P3).</t>
  </si>
  <si>
    <t xml:space="preserve">3/5 — Tanin trop présent pour le fromage, ingrédient principal (P5) ; acidité trop faible face à la friture et le fromage (P34).</t>
  </si>
  <si>
    <t xml:space="preserve">3/5 — Tanin trop présent pour la panure et l'iode (P34) ; acidité trop faible face à la friture (P34).</t>
  </si>
  <si>
    <t xml:space="preserve">2/5 — Tanin trop présent pour le curry (P6) ; acidité trop faible face à la Granny Smith (P23).</t>
  </si>
  <si>
    <t xml:space="preserve">2/5 — Tanin trop présent pour le cabillaud et les crevettes (P27) ; acidité trop faible face à la mousseline (P3).</t>
  </si>
  <si>
    <t xml:space="preserve">2/5 — Tanin trop présent pour la sole (P27) ; acidité trop faible face au beurre noisette (P3).</t>
  </si>
  <si>
    <t xml:space="preserve">2/5 — Tanin trop présent pour le beurre et le citron (P3) ; acidité trop faible face au citron (P23).</t>
  </si>
  <si>
    <t xml:space="preserve">4/5 — Effervescent rosé vineux : profil qui convient, sans point d'ancrage décisif (P20, P3).</t>
  </si>
  <si>
    <t xml:space="preserve">4/5 — Le citron vert nature plafonne l'accord (P7, P35) ; blanc de blancs tendu, fait pour le poisson cru (P41).</t>
  </si>
  <si>
    <t xml:space="preserve">4/5 — Effervescent blanc de blancs : profil qui convient, sans point d'ancrage décisif (P20, P3).</t>
  </si>
  <si>
    <t xml:space="preserve">4/5 — Le vinaigre à l'échalote plafonne l'accord (P11, P35) ; blanc de blancs tendu sur l'iode (P41).</t>
  </si>
  <si>
    <t xml:space="preserve">4/5 — Effervescent blanc de blancs : profil qui convient, sans point d'ancrage décisif (P20, P23) ; la mayonnaise plafonne l'accord (P10, P35).</t>
  </si>
  <si>
    <t xml:space="preserve">4/5 — Effervescent blanc de blancs : profil qui convient, sans point d'ancrage décisif (P20, P23) ; le citron de la sauce vierge plafonne l'accord (P11, P35).</t>
  </si>
  <si>
    <t xml:space="preserve">4/5 — Effervescent blanc de blancs : profil qui convient, sans point d'ancrage décisif (P20, P3) ; l'émulsion beurre-œuf-citron plafonne l'accord (P10, P35).</t>
  </si>
  <si>
    <t xml:space="preserve">4/5 — Effervescent blanc de blancs : profil qui convient, sans point d'ancrage décisif (P20, P23) ; la base mayonnaise plafonne l'accord (P10, P35).</t>
  </si>
  <si>
    <t xml:space="preserve">4/5 — Effervescent blanc de blancs : profil qui convient, sans point d'ancrage décisif (P20, P23) ; la sauce au citron plafonne l'accord (P11, P35).</t>
  </si>
  <si>
    <t xml:space="preserve">3/5 — Trop puissant, il écrase le plat (P20).</t>
  </si>
  <si>
    <t xml:space="preserve">4/5 — Blanc de blancs tendu, fait pour le poisson cru (P41) ; trop puissant, il écrase le plat (P20) ; le citron vert nature plafonne l'accord (P7, P35).</t>
  </si>
  <si>
    <t xml:space="preserve">4/5 — Blanc de blancs tendu sur l'iode (P41) ; trop puissant, il écrase le plat (P20) ; le vinaigre à l'échalote plafonne l'accord (P11, P35).</t>
  </si>
  <si>
    <t xml:space="preserve">1/5 — Liquoreux hors de propos sur un plat salé qui n'appelle pas de sucre (P20, P4).</t>
  </si>
  <si>
    <t xml:space="preserve">3/5 — Sucre au niveau de la sauce aigre-douce (P22) ; mais liquoreux lourd sur la friture (P20).</t>
  </si>
  <si>
    <t xml:space="preserve">5/5 — Opposition sucre ↔ sel sur le foie gras (P4) ; sa fraîcheur allège le gras (P3).</t>
  </si>
  <si>
    <t xml:space="preserve">3/5 — Sucre au niveau de la laque et richesse pour le caramélisé (P22, P14) ; mais trop lourd sur des légumes (P20).</t>
  </si>
  <si>
    <t xml:space="preserve">5/5 — Liquoreux au moins aussi sucré que la crème ; l'élevage en fût fait miroir à la vanille, la richesse développe le caramel (P22, P25, P14).</t>
  </si>
  <si>
    <t xml:space="preserve">2/5 — Sucre suffisant, mais le chocolat chaud appelle un muté ; aucun sur la carte (P15, P22).</t>
  </si>
  <si>
    <t xml:space="preserve">2/5 — Liquoreux blanc écrasé par le chocolat 70 % ; il faudrait un muté, absent de la carte (P15, P20).</t>
  </si>
  <si>
    <t xml:space="preserve">2/5 — Sucre suffisant, mais pas les notes torréfiées d'un vin oxydatif (P22, P25).</t>
  </si>
  <si>
    <t xml:space="preserve">3/5 — Assez sucré pour le sorbet, mais trop lourd pour un dessert léger et froid (P22, P20).</t>
  </si>
  <si>
    <t xml:space="preserve">4/5 — Sucre au niveau de la crème anglaise, notes de miel proches des amandes caramélisées ; un peu riche pour la meringue (P22, P25, P20).</t>
  </si>
  <si>
    <t xml:space="preserve">4/5 — Sucre et richesse pour la pomme caramélisée ; acidité un peu juste face au fruit (P22, P14, P23).</t>
  </si>
  <si>
    <t xml:space="preserve">2/5 — Sucre suffisant, mais le gianduja appelle un muté oxydatif ; aucun sur la carte (P15, P22).</t>
  </si>
  <si>
    <t xml:space="preserve">4/5 — Sucre et richesse pour le praliné ; miroir partiel, le vin n'a pas de notes oxydatives (P22, P14, P25).</t>
  </si>
  <si>
    <t xml:space="preserve">2/5 — Le sucre adoucit le citron du sorbet, mais son alcool s'ajoute à la vodka ; accord déconseillé (P7, P22, P35).</t>
  </si>
  <si>
    <t xml:space="preserve">3/5 — Parfait sur un bleu, trop sucré sur les autres fromages (P4, P18).</t>
  </si>
  <si>
    <t xml:space="preserve">Lola — Meilleurs accords</t>
  </si>
  <si>
    <t xml:space="preserve">Tout est calculé par formule à partir de « Matrice des notes » ; en cas d'égalité, le premier vin dans l'ordre de la carte est retenu.</t>
  </si>
  <si>
    <t xml:space="preserve">Plat</t>
  </si>
  <si>
    <t xml:space="preserve">Type</t>
  </si>
  <si>
    <t xml:space="preserve">Meilleure note</t>
  </si>
  <si>
    <t xml:space="preserve">Nb de vins notés 4 ou 5</t>
  </si>
  <si>
    <t xml:space="preserve">Meilleur vin</t>
  </si>
  <si>
    <t xml:space="preserve">Prix du meilleur vin (€)</t>
  </si>
  <si>
    <t xml:space="preserve">Par vin</t>
  </si>
  <si>
    <t xml:space="preserve">Note moyenne</t>
  </si>
  <si>
    <t xml:space="preserve">Nb de plats notés 4 ou 5</t>
  </si>
  <si>
    <t xml:space="preserve">Nb de 5</t>
  </si>
  <si>
    <t xml:space="preserve">Catégorie plat</t>
  </si>
  <si>
    <t xml:space="preserve">Principes de Pat</t>
  </si>
  <si>
    <t xml:space="preserve">Commentaire</t>
  </si>
  <si>
    <t xml:space="preserve">P28, P20</t>
  </si>
  <si>
    <t xml:space="preserve">Blanc correct sur le bœuf cru, mais le sel du parmesan autorise et appelle un rouge léger (P28, P20).</t>
  </si>
  <si>
    <t xml:space="preserve">P7, P35, P9</t>
  </si>
  <si>
    <t xml:space="preserve">Le citron vert nature plafonne l'accord (P7, P35) ; tension saline d'un vin de bord d'eau sur le bar cru (P9).</t>
  </si>
  <si>
    <t xml:space="preserve">P20, P23, P10, P35</t>
  </si>
  <si>
    <t xml:space="preserve">Blanc tendu, léger, sans bois : profil qui convient, sans point d'ancrage décisif (P20, P23) ; l'émulsion à l'œuf de la tartare plafonne l'accord (P10, P35).</t>
  </si>
  <si>
    <t xml:space="preserve">P20, P3</t>
  </si>
  <si>
    <t xml:space="preserve">Blanc tendu, léger, sans bois : profil qui convient, sans point d'ancrage décisif (P20, P3).</t>
  </si>
  <si>
    <t xml:space="preserve">P11, P35, P9</t>
  </si>
  <si>
    <t xml:space="preserve">Le vinaigre à l'échalote plafonne l'accord (P11, P35) ; acidité littorale et salinité en écho à l'iode (P9).</t>
  </si>
  <si>
    <t xml:space="preserve">P9, P3</t>
  </si>
  <si>
    <t xml:space="preserve">L'acidité coupe le beurre, la salinité répond à l'iode (P9, P3).</t>
  </si>
  <si>
    <t xml:space="preserve">P20, P34</t>
  </si>
  <si>
    <t xml:space="preserve">Blanc tendu, léger, sans bois : profil qui convient, sans point d'ancrage décisif (P20, P34).</t>
  </si>
  <si>
    <t xml:space="preserve">P22</t>
  </si>
  <si>
    <t xml:space="preserve">Blanc sec qui paraît maigre et dur face à la sauce aigre-douce (P22).</t>
  </si>
  <si>
    <t xml:space="preserve">P10, P35, P23, P9</t>
  </si>
  <si>
    <t xml:space="preserve">La mayonnaise plafonne l'accord (P10, P35) ; acidité et salinité à la hauteur de la pomme verte et du crabe (P23, P9).</t>
  </si>
  <si>
    <t xml:space="preserve">P20, P4</t>
  </si>
  <si>
    <t xml:space="preserve">Blanc sec trop maigre face au gras (P20) ; sans le sucre qui répond au sel (P4).</t>
  </si>
  <si>
    <t xml:space="preserve">P20</t>
  </si>
  <si>
    <t xml:space="preserve">Trop léger, il disparaît derrière le plat (P20).</t>
  </si>
  <si>
    <t xml:space="preserve">P11, P35, P25</t>
  </si>
  <si>
    <t xml:space="preserve">Le citron de la sauce vierge plafonne l'accord (P11, P35) ; notes d'herbes en miroir de la sauce vierge (P25).</t>
  </si>
  <si>
    <t xml:space="preserve">P20, P23</t>
  </si>
  <si>
    <t xml:space="preserve">Blanc tendu, léger, sans bois : profil qui convient, sans point d'ancrage décisif (P20, P23).</t>
  </si>
  <si>
    <t xml:space="preserve">P20, P3, P10, P35</t>
  </si>
  <si>
    <t xml:space="preserve">Blanc tendu, léger, sans bois : profil qui convient, sans point d'ancrage décisif (P20, P3) ; l'émulsion beurre-œuf-citron plafonne l'accord (P10, P35).</t>
  </si>
  <si>
    <t xml:space="preserve">P42, P3, P19</t>
  </si>
  <si>
    <t xml:space="preserve">Blanc septentrional tendu et sans bois : il coupe le beurre noisette et respecte la sole (P42, P3, P19).</t>
  </si>
  <si>
    <t xml:space="preserve">P10, P35, P23</t>
  </si>
  <si>
    <t xml:space="preserve">La base mayonnaise plafonne l'accord (P10, P35) ; blanc très tendu à la hauteur des condiments (P23).</t>
  </si>
  <si>
    <t xml:space="preserve">P22, P29</t>
  </si>
  <si>
    <t xml:space="preserve">Vin sec qui paraît maigre face à la laque sucrée (P22) ; umami qui durcit l'acidité (P29).</t>
  </si>
  <si>
    <t xml:space="preserve">La sauce au citron plafonne l'accord (P11, P35) ; notes herbacées en miroir de la sauge (P25).</t>
  </si>
  <si>
    <t xml:space="preserve">P21, P20</t>
  </si>
  <si>
    <t xml:space="preserve">Blanc sans la structure qu'appelle la viande (P21, P20).</t>
  </si>
  <si>
    <t xml:space="preserve">Vin sec face au sucre du dessert : il paraît amer et maigre (P22).</t>
  </si>
  <si>
    <t xml:space="preserve">P22, P15</t>
  </si>
  <si>
    <t xml:space="preserve">Vin sec face au sucre du dessert : il paraît amer et maigre (P22, P15).</t>
  </si>
  <si>
    <t xml:space="preserve">P22, P7, P35</t>
  </si>
  <si>
    <t xml:space="preserve">Vin sec face au sucre du dessert : il paraît amer et maigre (P22, P7, P35).</t>
  </si>
  <si>
    <t xml:space="preserve">P5, P18</t>
  </si>
  <si>
    <t xml:space="preserve">Blanc tendu sans bois, sûr sur pâte fraîche ou pressée, sans garantie sur un bleu (P5, P18).</t>
  </si>
  <si>
    <t xml:space="preserve">Blanc tendu, de poids moyen, sans bois : profil qui convient, sans point d'ancrage décisif (P20, P23) ; l'émulsion à l'œuf de la tartare plafonne l'accord (P10, P35).</t>
  </si>
  <si>
    <t xml:space="preserve">Blanc tendu, de poids moyen, sans bois : profil qui convient, sans point d'ancrage décisif (P20, P3).</t>
  </si>
  <si>
    <t xml:space="preserve">Blanc tendu, de poids moyen, sans bois : profil qui convient, sans point d'ancrage décisif (P20, P34).</t>
  </si>
  <si>
    <t xml:space="preserve">Blanc tendu, de poids moyen, sans bois : profil qui convient, sans point d'ancrage décisif (P20, P23).</t>
  </si>
  <si>
    <t xml:space="preserve">Blanc tendu, de poids moyen, sans bois : profil qui convient, sans point d'ancrage décisif (P20, P3) ; l'émulsion beurre-œuf-citron plafonne l'accord (P10, P35).</t>
  </si>
  <si>
    <t xml:space="preserve">P39, P3</t>
  </si>
  <si>
    <t xml:space="preserve">L'élevage sur lies donne la chair qui répond au beurre noisette, sans bois (P39, P3).</t>
  </si>
  <si>
    <t xml:space="preserve">Élevé sur lies : chair pour la bisque, acidité pour la crème (P39, P3).</t>
  </si>
  <si>
    <t xml:space="preserve">P10, P35, P39</t>
  </si>
  <si>
    <t xml:space="preserve">L'émulsion beurre-œuf-citron plafonne l'accord (P10, P35) ; l'élevage sur lies donne la chair qui répond à la mousseline (P39).</t>
  </si>
  <si>
    <t xml:space="preserve">P39, P42</t>
  </si>
  <si>
    <t xml:space="preserve">Élevage sur lies : chair et acidité pour la sauce crémée (P39, P42).</t>
  </si>
  <si>
    <t xml:space="preserve">P30</t>
  </si>
  <si>
    <t xml:space="preserve">Le bois couvre la finesse et amplifie l'amertume (P30).</t>
  </si>
  <si>
    <t xml:space="preserve">P19</t>
  </si>
  <si>
    <t xml:space="preserve">Le bois couvre la finesse et amplifie l'amertume (P19).</t>
  </si>
  <si>
    <t xml:space="preserve">P34</t>
  </si>
  <si>
    <t xml:space="preserve">Le bois couvre la finesse et amplifie l'amertume (P34).</t>
  </si>
  <si>
    <t xml:space="preserve">P22, P19</t>
  </si>
  <si>
    <t xml:space="preserve">Vin sec, rond ou boisé, que le sucre rend amer et alcooleux (P22, P19).</t>
  </si>
  <si>
    <t xml:space="preserve">Blanc tendu, de poids moyen, boisé : profil qui convient, sans point d'ancrage décisif (P20, P3).</t>
  </si>
  <si>
    <t xml:space="preserve">P5, P19, P18</t>
  </si>
  <si>
    <t xml:space="preserve">Blanc tendu et patiné, bien sur pâte pressée ; son bois gêne sur un chèvre (P5, P19, P18).</t>
  </si>
  <si>
    <t xml:space="preserve">P2, P3</t>
  </si>
  <si>
    <t xml:space="preserve">Même terroir que l'escargot (origine à confirmer) ; l'acidité coupe le beurre persillé (P2, P3).</t>
  </si>
  <si>
    <t xml:space="preserve">P39, P3, P20</t>
  </si>
  <si>
    <t xml:space="preserve">Élevé sur lies : chair pour la bisque, acidité pour la crème (P39, P3) ; trop léger, il disparaît derrière le plat (P20).</t>
  </si>
  <si>
    <t xml:space="preserve">P20, P23, P11, P35</t>
  </si>
  <si>
    <t xml:space="preserve">Blanc tendu, léger, sans bois : profil qui convient, sans point d'ancrage décisif (P20, P23) ; le citron de la sauce vierge plafonne l'accord (P11, P35).</t>
  </si>
  <si>
    <t xml:space="preserve">Blanc tendu, léger, sans bois : profil qui convient, sans point d'ancrage décisif (P20, P23) ; la sauce au citron plafonne l'accord (P11, P35).</t>
  </si>
  <si>
    <t xml:space="preserve">P39, P42, P20</t>
  </si>
  <si>
    <t xml:space="preserve">Élevage sur lies : chair et acidité pour la sauce crémée (P39, P42) ; trop léger, il disparaît derrière le plat (P20).</t>
  </si>
  <si>
    <t xml:space="preserve">P19, P23</t>
  </si>
  <si>
    <t xml:space="preserve">Le bois couvre la finesse et amplifie l'amertume (P19) ; acidité trop faible face au citron vert (P23).</t>
  </si>
  <si>
    <t xml:space="preserve">P34, P23</t>
  </si>
  <si>
    <t xml:space="preserve">Le bois couvre la finesse et amplifie l'amertume (P34) ; acidité trop faible face aux câpres et cornichons (P23).</t>
  </si>
  <si>
    <t xml:space="preserve">P19, P3</t>
  </si>
  <si>
    <t xml:space="preserve">Le bois couvre la finesse et amplifie l'amertume (P19) ; acidité trop faible face au beurre noisette (P3).</t>
  </si>
  <si>
    <t xml:space="preserve">P19, P9</t>
  </si>
  <si>
    <t xml:space="preserve">Le bois couvre la finesse et amplifie l'amertume (P19) ; acidité trop faible face à l'iode (P9).</t>
  </si>
  <si>
    <t xml:space="preserve">Le bois couvre la finesse et amplifie l'amertume (P19) ; acidité trop faible face au beurre à l'ail (P3).</t>
  </si>
  <si>
    <t xml:space="preserve">Le bois couvre la finesse et amplifie l'amertume (P34) ; acidité trop faible face à la friture et le fromage (P34).</t>
  </si>
  <si>
    <t xml:space="preserve">Le bois couvre la finesse et amplifie l'amertume (P34) ; acidité trop faible face à la friture (P34).</t>
  </si>
  <si>
    <t xml:space="preserve">Le bois couvre la finesse et amplifie l'amertume (P19) ; acidité trop faible face à la Granny Smith (P23).</t>
  </si>
  <si>
    <t xml:space="preserve">Blanc souple, de poids moyen, peu boisé : profil qui convient, sans point d'ancrage décisif (P20, P3).</t>
  </si>
  <si>
    <t xml:space="preserve">Le bois couvre la finesse et amplifie l'amertume (P19) ; acidité trop faible face à la tomate et le citron (P23).</t>
  </si>
  <si>
    <t xml:space="preserve">Blanc souple, de poids moyen, peu boisé : profil qui convient, sans point d'ancrage décisif (P20, P23).</t>
  </si>
  <si>
    <t xml:space="preserve">P3</t>
  </si>
  <si>
    <t xml:space="preserve">Acidité trop faible face à la mousseline (P3).</t>
  </si>
  <si>
    <t xml:space="preserve">Le bois couvre la finesse et amplifie l'amertume (P19) ; acidité trop faible face aux câpres et cornichons (P23).</t>
  </si>
  <si>
    <t xml:space="preserve">Le bois couvre la finesse et amplifie l'amertume (P19) ; acidité trop faible face au citron (P23).</t>
  </si>
  <si>
    <t xml:space="preserve">P23</t>
  </si>
  <si>
    <t xml:space="preserve">Acidité trop faible face aux condiments (P23).</t>
  </si>
  <si>
    <t xml:space="preserve">Acidité trop faible face au beurre et la réduction vinaigrée (P3).</t>
  </si>
  <si>
    <t xml:space="preserve">P5, P3</t>
  </si>
  <si>
    <t xml:space="preserve">Blanc peu acide qui manque de tension face au sel et au gras (P5, P3).</t>
  </si>
  <si>
    <t xml:space="preserve">Blanc souple, léger, peu boisé : profil qui convient, sans point d'ancrage décisif (P20, P23).</t>
  </si>
  <si>
    <t xml:space="preserve">P3, P20</t>
  </si>
  <si>
    <t xml:space="preserve">Acidité trop faible face au beurre et la réduction vinaigrée (P3) ; trop léger, il disparaît derrière le plat (P20).</t>
  </si>
  <si>
    <t xml:space="preserve">P30, P20</t>
  </si>
  <si>
    <t xml:space="preserve">Le bois couvre la finesse et amplifie l'amertume (P30) ; trop puissant, il écrase le plat (P20).</t>
  </si>
  <si>
    <t xml:space="preserve">P19, P20</t>
  </si>
  <si>
    <t xml:space="preserve">Le bois couvre la finesse et amplifie l'amertume (P19) ; trop puissant, il écrase le plat (P20).</t>
  </si>
  <si>
    <t xml:space="preserve">Blanc ample qui tient le gras (P20) ; mais sans le sucre qui ferait l'accord (P4).</t>
  </si>
  <si>
    <t xml:space="preserve">P40, P25</t>
  </si>
  <si>
    <t xml:space="preserve">Blanc ample et patiné qui répond à l'onctuosité et au sous-bois (P40, P25).</t>
  </si>
  <si>
    <t xml:space="preserve">P25, P19</t>
  </si>
  <si>
    <t xml:space="preserve">Blanc ample et patiné en miroir des morilles ; bois fondu à sa place sur la crème (P25, P19).</t>
  </si>
  <si>
    <t xml:space="preserve">Blanc tendu, ample, boisé, patiné : profil qui convient, sans point d'ancrage décisif (P20, P3).</t>
  </si>
  <si>
    <t xml:space="preserve">P19, P23, P20</t>
  </si>
  <si>
    <t xml:space="preserve">Le bois couvre la finesse et amplifie l'amertume (P19) ; acidité trop faible face au citron vert (P23) ; trop puissant, il écrase le plat (P20).</t>
  </si>
  <si>
    <t xml:space="preserve">P19, P9, P20</t>
  </si>
  <si>
    <t xml:space="preserve">Le bois couvre la finesse et amplifie l'amertume (P19) ; acidité trop faible face à l'iode (P9) ; trop puissant, il écrase le plat (P20).</t>
  </si>
  <si>
    <t xml:space="preserve">Le bois couvre la finesse et amplifie l'amertume (P19) ; acidité trop faible face à la Granny Smith (P23) ; trop puissant, il écrase le plat (P20).</t>
  </si>
  <si>
    <t xml:space="preserve">Le bois couvre la finesse et amplifie l'amertume (P19) ; acidité trop faible face à la mousseline (P3).</t>
  </si>
  <si>
    <t xml:space="preserve">Blanc souple, ample, boisé : profil qui convient, sans point d'ancrage décisif (P20, P3).</t>
  </si>
  <si>
    <t xml:space="preserve">Le bois couvre la finesse et amplifie l'amertume (P19) ; acidité trop faible face aux condiments (P23).</t>
  </si>
  <si>
    <t xml:space="preserve">Blanc souple, ample, boisé, patiné : profil qui convient, sans point d'ancrage décisif (P20, P3).</t>
  </si>
  <si>
    <t xml:space="preserve">Blanc ample et patiné, bien sur pâte pressée affinée, lourd sur pâte fraîche (P5, P18).</t>
  </si>
  <si>
    <t xml:space="preserve">Blanc tendu, ample, boisé : profil qui convient, sans point d'ancrage décisif (P20, P3).</t>
  </si>
  <si>
    <t xml:space="preserve">Blanc souple, ample, peu boisé : profil qui convient, sans point d'ancrage décisif (P20, P3).</t>
  </si>
  <si>
    <t xml:space="preserve">P19, P23, P20, P31</t>
  </si>
  <si>
    <t xml:space="preserve">Le bois couvre la finesse et amplifie l'amertume (P19) ; acidité trop faible face à la Granny Smith (P23) ; trop puissant, il écrase le plat (P20) ; l'alcool attise le curry (P31).</t>
  </si>
  <si>
    <t xml:space="preserve">Blanc souple, ample, peu boisé : profil qui convient, sans point d'ancrage décisif (P20, P23).</t>
  </si>
  <si>
    <t xml:space="preserve">P14, P22</t>
  </si>
  <si>
    <t xml:space="preserve">Rondeur et richesse alcoolique pour la laque caramélisée (P14) ; mais sec face au sucre (P22).</t>
  </si>
  <si>
    <t xml:space="preserve">P30, P23, P20</t>
  </si>
  <si>
    <t xml:space="preserve">Le bois couvre la finesse et amplifie l'amertume (P30) ; acidité trop faible face à l'huile et le parmesan (P23) ; trop puissant, il écrase le plat (P20).</t>
  </si>
  <si>
    <t xml:space="preserve">P23, P19, P20</t>
  </si>
  <si>
    <t xml:space="preserve">Acidité trop faible face au citron vert (P23) ; le bois couvre la finesse et amplifie l'amertume (P19) ; trop puissant, il écrase le plat (P20).</t>
  </si>
  <si>
    <t xml:space="preserve">P23, P34</t>
  </si>
  <si>
    <t xml:space="preserve">Acidité trop faible face aux câpres et cornichons (P23) ; le bois couvre la finesse et amplifie l'amertume (P34).</t>
  </si>
  <si>
    <t xml:space="preserve">P3, P19</t>
  </si>
  <si>
    <t xml:space="preserve">Acidité trop faible face au beurre noisette (P3) ; le bois couvre la finesse et amplifie l'amertume (P19).</t>
  </si>
  <si>
    <t xml:space="preserve">P9, P19, P20</t>
  </si>
  <si>
    <t xml:space="preserve">Acidité trop faible face à l'iode (P9) ; le bois couvre la finesse et amplifie l'amertume (P19) ; trop puissant, il écrase le plat (P20).</t>
  </si>
  <si>
    <t xml:space="preserve">Acidité trop faible face au beurre à l'ail (P3) ; le bois couvre la finesse et amplifie l'amertume (P19).</t>
  </si>
  <si>
    <t xml:space="preserve">Acidité trop faible face à la friture et le fromage (P34) ; le bois couvre la finesse et amplifie l'amertume (P34).</t>
  </si>
  <si>
    <t xml:space="preserve">Acidité trop faible face à la friture (P34) ; le bois couvre la finesse et amplifie l'amertume (P34).</t>
  </si>
  <si>
    <t xml:space="preserve">Acidité trop faible face au beurre d'escargot (P3).</t>
  </si>
  <si>
    <t xml:space="preserve">P23, P19, P20, P31</t>
  </si>
  <si>
    <t xml:space="preserve">Acidité trop faible face à la Granny Smith (P23) ; le bois couvre la finesse et amplifie l'amertume (P19) ; trop puissant, il écrase le plat (P20) ; l'alcool attise le curry (P31).</t>
  </si>
  <si>
    <t xml:space="preserve">Acidité trop faible face à la bisque crémeuse (P3).</t>
  </si>
  <si>
    <t xml:space="preserve">P23, P19</t>
  </si>
  <si>
    <t xml:space="preserve">Acidité trop faible face à la tomate et le citron (P23) ; le bois couvre la finesse et amplifie l'amertume (P19).</t>
  </si>
  <si>
    <t xml:space="preserve">Acidité trop faible face à la marinade (P23).</t>
  </si>
  <si>
    <t xml:space="preserve">Acidité trop faible face aux câpres et cornichons (P23) ; le bois couvre la finesse et amplifie l'amertume (P19).</t>
  </si>
  <si>
    <t xml:space="preserve">Acidité trop faible face au parmesan et l'onctuosité (P3).</t>
  </si>
  <si>
    <t xml:space="preserve">Acidité trop faible face au citron (P23) ; le bois couvre la finesse et amplifie l'amertume (P19).</t>
  </si>
  <si>
    <t xml:space="preserve">Acidité trop faible face à la sauce crémée (P3).</t>
  </si>
  <si>
    <t xml:space="preserve">Acidité trop faible face à la laque (P3).</t>
  </si>
  <si>
    <t xml:space="preserve">P13</t>
  </si>
  <si>
    <t xml:space="preserve">Acidité trop faible face au poivre et la crème (P13).</t>
  </si>
  <si>
    <t xml:space="preserve">Acidité trop faible face au citron vert (P23).</t>
  </si>
  <si>
    <t xml:space="preserve">Acidité trop faible face aux câpres et cornichons (P23).</t>
  </si>
  <si>
    <t xml:space="preserve">Acidité trop faible face au beurre noisette (P3).</t>
  </si>
  <si>
    <t xml:space="preserve">P9</t>
  </si>
  <si>
    <t xml:space="preserve">Acidité trop faible face à l'iode (P9).</t>
  </si>
  <si>
    <t xml:space="preserve">Acidité trop faible face au beurre à l'ail (P3).</t>
  </si>
  <si>
    <t xml:space="preserve">Acidité trop faible face à la friture et le fromage (P34).</t>
  </si>
  <si>
    <t xml:space="preserve">Acidité trop faible face à la friture (P34).</t>
  </si>
  <si>
    <t xml:space="preserve">Blanc souple, léger, sans bois : profil qui convient, sans point d'ancrage décisif (P20, P3).</t>
  </si>
  <si>
    <t xml:space="preserve">Acidité trop faible face à la Granny Smith (P23).</t>
  </si>
  <si>
    <t xml:space="preserve">P25, P23, P11, P35</t>
  </si>
  <si>
    <t xml:space="preserve">Notes d'herbes en miroir de la sauce vierge (P25) ; acidité trop faible face à la tomate et le citron (P23) ; le citron de la sauce vierge plafonne l'accord (P11, P35).</t>
  </si>
  <si>
    <t xml:space="preserve">Blanc souple, léger, sans bois : profil qui convient, sans point d'ancrage décisif (P20, P23).</t>
  </si>
  <si>
    <t xml:space="preserve">Notes herbacées en miroir de la sauge (P25) ; acidité trop faible face au citron (P23) ; la sauce au citron plafonne l'accord (P11, P35).</t>
  </si>
  <si>
    <t xml:space="preserve">Blanc tendu, de poids moyen, peu boisé : profil qui convient, sans point d'ancrage décisif (P20, P3).</t>
  </si>
  <si>
    <t xml:space="preserve">P25, P19, P11, P35</t>
  </si>
  <si>
    <t xml:space="preserve">Notes d'herbes en miroir de la sauce vierge (P25) ; le bois couvre la finesse et amplifie l'amertume (P19) ; le citron de la sauce vierge plafonne l'accord (P11, P35).</t>
  </si>
  <si>
    <t xml:space="preserve">Blanc tendu, de poids moyen, peu boisé : profil qui convient, sans point d'ancrage décisif (P20, P23).</t>
  </si>
  <si>
    <t xml:space="preserve">Blanc tendu, de poids moyen, peu boisé : profil qui convient, sans point d'ancrage décisif (P20, P3) ; l'émulsion beurre-œuf-citron plafonne l'accord (P10, P35).</t>
  </si>
  <si>
    <t xml:space="preserve">P25, P29, P22</t>
  </si>
  <si>
    <t xml:space="preserve">Passage partiel sous voile qui répond à l'umami (P25, P29) ; mais sec face à la laque sucrée (P22).</t>
  </si>
  <si>
    <t xml:space="preserve">Notes herbacées en miroir de la sauge (P25) ; le bois couvre la finesse et amplifie l'amertume (P19) ; la sauce au citron plafonne l'accord (P11, P35).</t>
  </si>
  <si>
    <t xml:space="preserve">Tendu et texturé, en partie élevé sous voile : le profil qui tient trois fromages (P5, P18).</t>
  </si>
  <si>
    <t xml:space="preserve">P30, P28, P37</t>
  </si>
  <si>
    <t xml:space="preserve">Rouge léger, vif et peu tannique : il épouse le bœuf cru sans durcir sur la roquette (P30, P28, P37).</t>
  </si>
  <si>
    <t xml:space="preserve">P27, P20</t>
  </si>
  <si>
    <t xml:space="preserve">Rouge : son tanin durcit au contact du poisson cru (P27) ; seule sa légèreté limite les dégâts (P20).</t>
  </si>
  <si>
    <t xml:space="preserve">P34, P20</t>
  </si>
  <si>
    <t xml:space="preserve">Rouge : son tanin durcit au contact de la panure (P34) ; seule sa légèreté limite les dégâts (P20).</t>
  </si>
  <si>
    <t xml:space="preserve">P24, P20</t>
  </si>
  <si>
    <t xml:space="preserve">Rouge : son tanin durcit au contact de la chair fine (P24) ; seule sa légèreté limite les dégâts (P20).</t>
  </si>
  <si>
    <t xml:space="preserve">Rouge : son tanin durcit au contact de l'iode (goût métallique) (P27) ; seule sa légèreté limite les dégâts (P20).</t>
  </si>
  <si>
    <t xml:space="preserve">Rouge : son tanin durcit au contact de l'iode (P27) ; seule sa légèreté limite les dégâts (P20).</t>
  </si>
  <si>
    <t xml:space="preserve">P5, P20</t>
  </si>
  <si>
    <t xml:space="preserve">Rouge : son tanin durcit au contact du fromage, ingrédient principal (P5) ; seule sa légèreté limite les dégâts (P20).</t>
  </si>
  <si>
    <t xml:space="preserve">Rouge : son tanin durcit au contact de la panure et l'iode (P34) ; seule sa légèreté limite les dégâts (P20).</t>
  </si>
  <si>
    <t xml:space="preserve">P20, P29</t>
  </si>
  <si>
    <t xml:space="preserve">Rouge léger très peu tannique : profil qui convient, sans point d'ancrage décisif (P20, P29).</t>
  </si>
  <si>
    <t xml:space="preserve">P22, P23</t>
  </si>
  <si>
    <t xml:space="preserve">Tanin durci par le sucre et le vinaigre de la sauce (P22, P23).</t>
  </si>
  <si>
    <t xml:space="preserve">P6, P20</t>
  </si>
  <si>
    <t xml:space="preserve">Rouge : son tanin durcit au contact du curry (P6) ; seule sa légèreté limite les dégâts (P20).</t>
  </si>
  <si>
    <t xml:space="preserve">P4, P20</t>
  </si>
  <si>
    <t xml:space="preserve">Rouge sec sans le sucre qui répond au sel (P4) ; tanin léger, mais fruit perdu sur le gras (P20).</t>
  </si>
  <si>
    <t xml:space="preserve">Rouge : son tanin durcit au contact du homard (P27) ; seule sa légèreté limite les dégâts (P20).</t>
  </si>
  <si>
    <t xml:space="preserve">P20, P27, P11, P35</t>
  </si>
  <si>
    <t xml:space="preserve">Rouge léger très peu tannique : profil qui convient, sans point d'ancrage décisif (P20, P27) ; le citron de la sauce vierge plafonne l'accord (P11, P35).</t>
  </si>
  <si>
    <t xml:space="preserve">P27, P26</t>
  </si>
  <si>
    <t xml:space="preserve">Rouge léger servi frais sur un thon charnu, tanin discret face à l'umami (P27, P26).</t>
  </si>
  <si>
    <t xml:space="preserve">Rouge : son tanin durcit au contact du cabillaud et les crevettes (P27) ; seule sa légèreté limite les dégâts (P20).</t>
  </si>
  <si>
    <t xml:space="preserve">Rouge : son tanin durcit au contact de la sole (P27) ; seule sa légèreté limite les dégâts (P20).</t>
  </si>
  <si>
    <t xml:space="preserve">P20, P27</t>
  </si>
  <si>
    <t xml:space="preserve">Rouge léger très peu tannique : profil qui convient, sans point d'ancrage décisif (P20, P27).</t>
  </si>
  <si>
    <t xml:space="preserve">P29, P22</t>
  </si>
  <si>
    <t xml:space="preserve">Tanin léger, mais durci par l'umami et le sucre (P29, P22).</t>
  </si>
  <si>
    <t xml:space="preserve">Rouge : son tanin durcit au contact du beurre et le citron (P3) ; seule sa légèreté limite les dégâts (P20).</t>
  </si>
  <si>
    <t xml:space="preserve">Rouge : son tanin durcit au contact de la sauce blanche (P24) ; seule sa légèreté limite les dégâts (P20).</t>
  </si>
  <si>
    <t xml:space="preserve">P10, P35, P21, P23</t>
  </si>
  <si>
    <t xml:space="preserve">L'émulsion à l'œuf plafonne l'accord (P10, P35) ; rouge juteux et vif, tanins fins pour la viande crue (P21, P23).</t>
  </si>
  <si>
    <t xml:space="preserve">P3, P21, P20, P10, P35</t>
  </si>
  <si>
    <t xml:space="preserve">Trame acide et tanins souples face à la béarnaise (P3, P21) ; trop léger, il disparaît derrière le plat (P20) ; l'émulsion de la béarnaise plafonne l'accord (P10, P35).</t>
  </si>
  <si>
    <t xml:space="preserve">P5</t>
  </si>
  <si>
    <t xml:space="preserve">Rouge léger, mais le fromage repousse le tanin (P5).</t>
  </si>
  <si>
    <t xml:space="preserve">P20, P30</t>
  </si>
  <si>
    <t xml:space="preserve">Rouge de poids moyen aux tanins fins : profil qui convient, sans point d'ancrage décisif (P20, P30).</t>
  </si>
  <si>
    <t xml:space="preserve">P27</t>
  </si>
  <si>
    <t xml:space="preserve">Rouge : son tanin durcit au contact du poisson cru (P27).</t>
  </si>
  <si>
    <t xml:space="preserve">Rouge : son tanin durcit au contact de la panure (P34).</t>
  </si>
  <si>
    <t xml:space="preserve">P24</t>
  </si>
  <si>
    <t xml:space="preserve">Rouge : son tanin durcit au contact de la chair fine (P24).</t>
  </si>
  <si>
    <t xml:space="preserve">Rouge : son tanin durcit au contact de l'iode (goût métallique) (P27).</t>
  </si>
  <si>
    <t xml:space="preserve">Rouge : son tanin durcit au contact de l'iode (P27).</t>
  </si>
  <si>
    <t xml:space="preserve">Rouge : son tanin durcit au contact du fromage, ingrédient principal (P5).</t>
  </si>
  <si>
    <t xml:space="preserve">Rouge : son tanin durcit au contact de la panure et l'iode (P34).</t>
  </si>
  <si>
    <t xml:space="preserve">Rouge de poids moyen aux tanins fins : profil qui convient, sans point d'ancrage décisif (P20, P29).</t>
  </si>
  <si>
    <t xml:space="preserve">P6</t>
  </si>
  <si>
    <t xml:space="preserve">Rouge : son tanin durcit au contact du curry (P6).</t>
  </si>
  <si>
    <t xml:space="preserve">Rouge : son tanin durcit au contact du homard (P27).</t>
  </si>
  <si>
    <t xml:space="preserve">P27, P23</t>
  </si>
  <si>
    <t xml:space="preserve">Tanin trop présent pour la chair iodée et la tomate (P27) ; acidité trop faible face à la tomate et le citron (P23).</t>
  </si>
  <si>
    <t xml:space="preserve">Rouge : son tanin durcit au contact du cabillaud et les crevettes (P27).</t>
  </si>
  <si>
    <t xml:space="preserve">Rouge : son tanin durcit au contact de la sole (P27).</t>
  </si>
  <si>
    <t xml:space="preserve">Tanin trop présent pour le thon cru (P27) ; acidité trop faible face aux câpres et cornichons (P23).</t>
  </si>
  <si>
    <t xml:space="preserve">Rouge : son tanin durcit au contact du beurre et le citron (P3).</t>
  </si>
  <si>
    <t xml:space="preserve">Rouge : son tanin durcit au contact de la sauce blanche (P24).</t>
  </si>
  <si>
    <t xml:space="preserve">P20, P40</t>
  </si>
  <si>
    <t xml:space="preserve">Rouge de poids moyen aux tanins fins : profil qui convient, sans point d'ancrage décisif (P20, P40).</t>
  </si>
  <si>
    <t xml:space="preserve">P20, P13</t>
  </si>
  <si>
    <t xml:space="preserve">Rouge de poids moyen aux tanins fins : profil qui convient, sans point d'ancrage décisif (P20, P13).</t>
  </si>
  <si>
    <t xml:space="preserve">P5, P29</t>
  </si>
  <si>
    <t xml:space="preserve">Rouge jeune tannique, durci par le fromage (P5, P29).</t>
  </si>
  <si>
    <t xml:space="preserve">Rouge puissant aux tanins fondus, patiné : profil qui convient, sans point d'ancrage décisif (P20, P29).</t>
  </si>
  <si>
    <t xml:space="preserve">Tanin qui heurte le gras fondant, sans l'opposition du sucre (P4, P20).</t>
  </si>
  <si>
    <t xml:space="preserve">P27, P19, P23</t>
  </si>
  <si>
    <t xml:space="preserve">Tanin trop présent pour la chair iodée et la tomate (P27) ; le bois couvre la finesse et amplifie l'amertume (P19) ; acidité trop faible face à la tomate et le citron (P23).</t>
  </si>
  <si>
    <t xml:space="preserve">Tanin trop présent pour le thon cru (P27) ; le bois couvre la finesse et amplifie l'amertume (P19) ; acidité trop faible face aux câpres et cornichons (P23).</t>
  </si>
  <si>
    <t xml:space="preserve">P25, P40, P37</t>
  </si>
  <si>
    <t xml:space="preserve">Notes tertiaires de sous-bois en miroir des champignons, tanins fondus que le parmesan ne durcit pas (P25, P40, P37).</t>
  </si>
  <si>
    <t xml:space="preserve">Tanin durci par l'umami et le sucre de la laque (P29, P22).</t>
  </si>
  <si>
    <t xml:space="preserve">Rouge puissant aux tanins fondus, patiné : profil qui convient, sans point d'ancrage décisif (P20, P30).</t>
  </si>
  <si>
    <t xml:space="preserve">P40, P14</t>
  </si>
  <si>
    <t xml:space="preserve">Rouge patiné aux tanins fondus sur la laque caramélisée (P40, P14).</t>
  </si>
  <si>
    <t xml:space="preserve">P13, P21</t>
  </si>
  <si>
    <t xml:space="preserve">Tanins fondus et trame acide : la passerelle entre la crème et le poivre (P13, P21).</t>
  </si>
  <si>
    <t xml:space="preserve">P25, P40</t>
  </si>
  <si>
    <t xml:space="preserve">Notes tertiaires en miroir des morilles, tanins fondus (P25, P40).</t>
  </si>
  <si>
    <t xml:space="preserve">Rouge évolué aux tanins fondus, bien sur pâte pressée, risqué sur pâte fraîche (P5, P18).</t>
  </si>
  <si>
    <t xml:space="preserve">Rouge léger aux tanins fins : profil qui convient, sans point d'ancrage décisif (P20, P30).</t>
  </si>
  <si>
    <t xml:space="preserve">P2</t>
  </si>
  <si>
    <t xml:space="preserve">Même terroir que l'escargot (origine à confirmer), rouge léger possible (P2).</t>
  </si>
  <si>
    <t xml:space="preserve">Rouge léger aux tanins fins : profil qui convient, sans point d'ancrage décisif (P20, P29).</t>
  </si>
  <si>
    <t xml:space="preserve">P2, P19</t>
  </si>
  <si>
    <t xml:space="preserve">Même terroir que l'escargot (origine à confirmer), rouge léger possible (P2) ; le bois couvre la finesse et amplifie l'amertume (P19).</t>
  </si>
  <si>
    <t xml:space="preserve">P19, P27, P23</t>
  </si>
  <si>
    <t xml:space="preserve">Le bois couvre la finesse et amplifie l'amertume (P19) ; tanin trop présent pour la chair iodée et la tomate (P27) ; acidité trop faible face à la tomate et le citron (P23).</t>
  </si>
  <si>
    <t xml:space="preserve">Le bois couvre la finesse et amplifie l'amertume (P19) ; tanin trop présent pour le thon cru (P27) ; acidité trop faible face aux câpres et cornichons (P23).</t>
  </si>
  <si>
    <t xml:space="preserve">Le bois couvre la finesse et amplifie l'amertume (P30) ; tanin trop présent pour l'amertume de la roquette (P30) ; trop puissant, il écrase le plat (P20).</t>
  </si>
  <si>
    <t xml:space="preserve">P29, P19</t>
  </si>
  <si>
    <t xml:space="preserve">Tanin trop présent pour l'umami de l'escargot (P29) ; le bois couvre la finesse et amplifie l'amertume (P19).</t>
  </si>
  <si>
    <t xml:space="preserve">Tanin trop présent pour l'umami et l'amertume du broccolini (P29) ; le bois couvre la finesse et amplifie l'amertume (P19).</t>
  </si>
  <si>
    <t xml:space="preserve">P25, P40, P37, P29</t>
  </si>
  <si>
    <t xml:space="preserve">Notes tertiaires de sous-bois en miroir des champignons, tanins fondus que le parmesan ne durcit pas (P25, P40, P37) ; tanin trop présent pour l'umami des champignons et du parmesan (P29).</t>
  </si>
  <si>
    <t xml:space="preserve">Tanin trop présent pour l'amertume des chiconettes (P30).</t>
  </si>
  <si>
    <t xml:space="preserve">Rouge patiné aux tanins fondus sur la laque caramélisée (P40, P14) ; tanin trop présent pour la viande blanche fondante (P40).</t>
  </si>
  <si>
    <t xml:space="preserve">P21, P19, P23</t>
  </si>
  <si>
    <t xml:space="preserve">Tanin trop présent pour la viande crue et maigre (P21) ; le bois couvre la finesse et amplifie l'amertume (P19) ; acidité trop faible face aux condiments (P23).</t>
  </si>
  <si>
    <t xml:space="preserve">P10, P3</t>
  </si>
  <si>
    <t xml:space="preserve">Tanin trop présent pour l'émulsion (P10) ; acidité trop faible face au beurre et la réduction vinaigrée (P3).</t>
  </si>
  <si>
    <t xml:space="preserve">Le bois couvre la finesse et amplifie l'amertume (P30) ; tanin trop présent pour l'amertume de la roquette (P30).</t>
  </si>
  <si>
    <t xml:space="preserve">P29</t>
  </si>
  <si>
    <t xml:space="preserve">Tanin trop présent pour l'umami des champignons et du parmesan (P29).</t>
  </si>
  <si>
    <t xml:space="preserve">Rouge de poids moyen aux tanins présents : profil qui convient, sans point d'ancrage décisif (P20, P29).</t>
  </si>
  <si>
    <t xml:space="preserve">Tanin trop présent pour l'amertume de la roquette (P30) ; le bois couvre la finesse et amplifie l'amertume (P30) ; trop puissant, il écrase le plat (P20).</t>
  </si>
  <si>
    <t xml:space="preserve">P40</t>
  </si>
  <si>
    <t xml:space="preserve">Tanin trop présent pour la viande blanche fondante (P40).</t>
  </si>
  <si>
    <t xml:space="preserve">Tanin trop présent pour le poivre (P13).</t>
  </si>
  <si>
    <t xml:space="preserve">Tanin trop présent pour l'umami des morilles (P29).</t>
  </si>
  <si>
    <t xml:space="preserve">P19, P29</t>
  </si>
  <si>
    <t xml:space="preserve">Le bois couvre la finesse et amplifie l'amertume (P19) ; tanin trop présent pour l'umami de l'escargot (P29).</t>
  </si>
  <si>
    <t xml:space="preserve">Le bois couvre la finesse et amplifie l'amertume (P19) ; tanin trop présent pour l'umami et l'amertume du broccolini (P29).</t>
  </si>
  <si>
    <t xml:space="preserve">Tanin trop présent pour l'umami des champignons et du parmesan (P29) ; le bois couvre la finesse et amplifie l'amertume (P19).</t>
  </si>
  <si>
    <t xml:space="preserve">P30, P19</t>
  </si>
  <si>
    <t xml:space="preserve">Tanin trop présent pour l'amertume des chiconettes (P30) ; le bois couvre la finesse et amplifie l'amertume (P19).</t>
  </si>
  <si>
    <t xml:space="preserve">P40, P19</t>
  </si>
  <si>
    <t xml:space="preserve">Tanin trop présent pour la viande blanche fondante (P40) ; le bois couvre la finesse et amplifie l'amertume (P19).</t>
  </si>
  <si>
    <t xml:space="preserve">P19, P21, P23</t>
  </si>
  <si>
    <t xml:space="preserve">Le bois couvre la finesse et amplifie l'amertume (P19) ; tanin trop présent pour la viande crue et maigre (P21) ; acidité trop faible face aux condiments (P23).</t>
  </si>
  <si>
    <t xml:space="preserve">P13, P21, P19</t>
  </si>
  <si>
    <t xml:space="preserve">Tanins fondus et trame acide : la passerelle entre la crème et le poivre (P13, P21) ; le bois couvre la finesse et amplifie l'amertume (P19).</t>
  </si>
  <si>
    <t xml:space="preserve">P10, P19, P3</t>
  </si>
  <si>
    <t xml:space="preserve">Tanin trop présent pour l'émulsion (P10) ; le bois couvre la finesse et amplifie l'amertume (P19) ; acidité trop faible face au beurre et la réduction vinaigrée (P3).</t>
  </si>
  <si>
    <t xml:space="preserve">Tanin trop présent pour la chair iodée et la tomate (P27).</t>
  </si>
  <si>
    <t xml:space="preserve">Tanin trop présent pour le thon cru (P27).</t>
  </si>
  <si>
    <t xml:space="preserve">P27, P19</t>
  </si>
  <si>
    <t xml:space="preserve">Tanin trop présent pour la chair iodée et la tomate (P27) ; le bois couvre la finesse et amplifie l'amertume (P19).</t>
  </si>
  <si>
    <t xml:space="preserve">Tanin trop présent pour le thon cru (P27) ; le bois couvre la finesse et amplifie l'amertume (P19).</t>
  </si>
  <si>
    <t xml:space="preserve">Tanin trop présent pour l'amertume de la roquette (P30) ; le bois couvre la finesse et amplifie l'amertume (P30).</t>
  </si>
  <si>
    <t xml:space="preserve">Tanin trop présent pour l'umami de l'escargot (P29).</t>
  </si>
  <si>
    <t xml:space="preserve">Tanin trop présent pour l'umami et l'amertume du broccolini (P29).</t>
  </si>
  <si>
    <t xml:space="preserve">P21, P23</t>
  </si>
  <si>
    <t xml:space="preserve">Tanin trop présent pour la viande crue et maigre (P21) ; acidité trop faible face aux condiments (P23).</t>
  </si>
  <si>
    <t xml:space="preserve">P13, P43</t>
  </si>
  <si>
    <t xml:space="preserve">Tanins jeunes durcis par le poivre ; carafer (P13, P43).</t>
  </si>
  <si>
    <t xml:space="preserve">P29, P43</t>
  </si>
  <si>
    <t xml:space="preserve">L'umami des morilles durcit ce rouge jeune ; carafer (P29, P43).</t>
  </si>
  <si>
    <t xml:space="preserve">P25, P13, P43</t>
  </si>
  <si>
    <t xml:space="preserve">Le poivre de la syrah fait miroir à la sauce (P25, P13) ; tanins jeunes durcis par le poivre ; carafer (P13, P43).</t>
  </si>
  <si>
    <t xml:space="preserve">P14, P40</t>
  </si>
  <si>
    <t xml:space="preserve">Richesse alcoolique qui développe les notes caramélisées (P14) ; tanin trop présent pour la viande blanche fondante (P40).</t>
  </si>
  <si>
    <t xml:space="preserve">Rouge de poids moyen aux tanins présents : profil qui convient, sans point d'ancrage décisif (P20, P13).</t>
  </si>
  <si>
    <t xml:space="preserve">P21, P19</t>
  </si>
  <si>
    <t xml:space="preserve">Tanin trop présent pour la viande crue et maigre (P21) ; le bois couvre la finesse et amplifie l'amertume (P19).</t>
  </si>
  <si>
    <t xml:space="preserve">P13, P43, P19</t>
  </si>
  <si>
    <t xml:space="preserve">Tanin trop présent pour le poivre (P13) ; tanins jeunes durcis par le poivre ; carafer (P13, P43) ; le bois couvre la finesse et amplifie l'amertume (P19).</t>
  </si>
  <si>
    <t xml:space="preserve">P29, P43, P19</t>
  </si>
  <si>
    <t xml:space="preserve">Tanin trop présent pour l'umami des morilles (P29) ; l'umami des morilles durcit ce rouge jeune ; carafer (P29, P43) ; le bois couvre la finesse et amplifie l'amertume (P19).</t>
  </si>
  <si>
    <t xml:space="preserve">P10, P19</t>
  </si>
  <si>
    <t xml:space="preserve">Tanin trop présent pour l'émulsion (P10) ; le bois couvre la finesse et amplifie l'amertume (P19).</t>
  </si>
  <si>
    <t xml:space="preserve">P29, P19, P20</t>
  </si>
  <si>
    <t xml:space="preserve">Tanin trop présent pour l'umami de l'escargot (P29) ; le bois couvre la finesse et amplifie l'amertume (P19) ; trop puissant, il écrase le plat (P20).</t>
  </si>
  <si>
    <t xml:space="preserve">P27, P19, P23, P20</t>
  </si>
  <si>
    <t xml:space="preserve">Tanin trop présent pour la chair iodée et la tomate (P27) ; le bois couvre la finesse et amplifie l'amertume (P19) ; acidité trop faible face à la tomate et le citron (P23) ; trop puissant, il écrase le plat (P20).</t>
  </si>
  <si>
    <t xml:space="preserve">Tanin trop présent pour l'umami et l'amertume du broccolini (P29) ; le bois couvre la finesse et amplifie l'amertume (P19) ; trop puissant, il écrase le plat (P20).</t>
  </si>
  <si>
    <t xml:space="preserve">Tanin trop présent pour le thon cru (P27) ; le bois couvre la finesse et amplifie l'amertume (P19) ; acidité trop faible face aux câpres et cornichons (P23) ; trop puissant, il écrase le plat (P20).</t>
  </si>
  <si>
    <t xml:space="preserve">P21, P19, P23, P20</t>
  </si>
  <si>
    <t xml:space="preserve">Tanin trop présent pour la viande crue et maigre (P21) ; le bois couvre la finesse et amplifie l'amertume (P19) ; acidité trop faible face aux condiments (P23) ; trop puissant, il écrase le plat (P20).</t>
  </si>
  <si>
    <t xml:space="preserve">P13, P19</t>
  </si>
  <si>
    <t xml:space="preserve">Tanin trop présent pour le poivre (P13) ; le bois couvre la finesse et amplifie l'amertume (P19).</t>
  </si>
  <si>
    <t xml:space="preserve">Tanin trop présent pour l'umami des morilles (P29) ; le bois couvre la finesse et amplifie l'amertume (P19).</t>
  </si>
  <si>
    <t xml:space="preserve">Rouge de poids moyen aux tanins fondus, patiné : profil qui convient, sans point d'ancrage décisif (P20, P29).</t>
  </si>
  <si>
    <t xml:space="preserve">Rouge de poids moyen aux tanins fondus, patiné : profil qui convient, sans point d'ancrage décisif (P20, P30).</t>
  </si>
  <si>
    <t xml:space="preserve">Tanins assouplis, mais le fromage durcit encore ce rouge (P5, P18).</t>
  </si>
  <si>
    <t xml:space="preserve">P10</t>
  </si>
  <si>
    <t xml:space="preserve">Tanin trop présent pour l'émulsion (P10).</t>
  </si>
  <si>
    <t xml:space="preserve">Tanin trop présent pour le poivre (P13) ; tanins jeunes durcis par le poivre ; carafer (P13, P43).</t>
  </si>
  <si>
    <t xml:space="preserve">Tanin trop présent pour l'umami des morilles (P29) ; l'umami des morilles durcit ce rouge jeune ; carafer (P29, P43).</t>
  </si>
  <si>
    <t xml:space="preserve">P21</t>
  </si>
  <si>
    <t xml:space="preserve">Tanin trop présent pour la viande crue et maigre (P21).</t>
  </si>
  <si>
    <t xml:space="preserve">P19, P29, P20</t>
  </si>
  <si>
    <t xml:space="preserve">Le bois couvre la finesse et amplifie l'amertume (P19) ; tanin trop présent pour l'umami de l'escargot (P29) ; trop puissant, il écrase le plat (P20).</t>
  </si>
  <si>
    <t xml:space="preserve">P19, P27, P23, P20</t>
  </si>
  <si>
    <t xml:space="preserve">Le bois couvre la finesse et amplifie l'amertume (P19) ; tanin trop présent pour la chair iodée et la tomate (P27) ; acidité trop faible face à la tomate et le citron (P23) ; trop puissant, il écrase le plat (P20).</t>
  </si>
  <si>
    <t xml:space="preserve">Le bois couvre la finesse et amplifie l'amertume (P19) ; tanin trop présent pour l'umami et l'amertume du broccolini (P29) ; trop puissant, il écrase le plat (P20).</t>
  </si>
  <si>
    <t xml:space="preserve">Le bois couvre la finesse et amplifie l'amertume (P19) ; tanin trop présent pour le thon cru (P27) ; acidité trop faible face aux câpres et cornichons (P23) ; trop puissant, il écrase le plat (P20).</t>
  </si>
  <si>
    <t xml:space="preserve">P19, P21, P23, P20</t>
  </si>
  <si>
    <t xml:space="preserve">Le bois couvre la finesse et amplifie l'amertume (P19) ; tanin trop présent pour la viande crue et maigre (P21) ; acidité trop faible face aux condiments (P23) ; trop puissant, il écrase le plat (P20).</t>
  </si>
  <si>
    <t xml:space="preserve">P19, P13, P43</t>
  </si>
  <si>
    <t xml:space="preserve">Le bois couvre la finesse et amplifie l'amertume (P19) ; tanin trop présent pour le poivre (P13) ; tanins jeunes durcis par le poivre ; carafer (P13, P43).</t>
  </si>
  <si>
    <t xml:space="preserve">P19, P29, P43</t>
  </si>
  <si>
    <t xml:space="preserve">Le bois couvre la finesse et amplifie l'amertume (P19) ; tanin trop présent pour l'umami des morilles (P29) ; l'umami des morilles durcit ce rouge jeune ; carafer (P29, P43).</t>
  </si>
  <si>
    <t xml:space="preserve">Rouge de poids moyen aux tanins fondus, patiné : profil qui convient, sans point d'ancrage décisif (P20, P40).</t>
  </si>
  <si>
    <t xml:space="preserve">Rouge de poids moyen aux tanins fondus, patiné : profil qui convient, sans point d'ancrage décisif (P20, P13).</t>
  </si>
  <si>
    <t xml:space="preserve">Rouge puissant aux tanins fondus, patiné : profil qui convient, sans point d'ancrage décisif (P20, P13).</t>
  </si>
  <si>
    <t xml:space="preserve">Rosé souple, léger, sans bois : profil qui convient, sans point d'ancrage décisif (P20, P3).</t>
  </si>
  <si>
    <t xml:space="preserve">Acidité trop faible face à la tomate et le citron (P23).</t>
  </si>
  <si>
    <t xml:space="preserve">Rosé souple, léger, sans bois : profil qui convient, sans point d'ancrage décisif (P20, P23).</t>
  </si>
  <si>
    <t xml:space="preserve">Acidité trop faible face au citron (P23).</t>
  </si>
  <si>
    <t xml:space="preserve">Rosé léger, sans la tension ni la patine qu'appellent trois fromages (P5, P20).</t>
  </si>
  <si>
    <t xml:space="preserve">P41</t>
  </si>
  <si>
    <t xml:space="preserve">La bulle ne trouve pas d'ancrage dans le beurre d'escargot (P41).</t>
  </si>
  <si>
    <t xml:space="preserve">P34, P22</t>
  </si>
  <si>
    <t xml:space="preserve">Bulle sur la friture (P34) ; dosage peut-être Extra Dry, mais moins sucré que la sauce (à confirmer) (P22).</t>
  </si>
  <si>
    <t xml:space="preserve">La bulle ne trouve pas d'ancrage sur le thon et l'umami (P41).</t>
  </si>
  <si>
    <t xml:space="preserve">P41, P20</t>
  </si>
  <si>
    <t xml:space="preserve">Effervescent trop vif pour l'onctuosité et le sous-bois (P41, P20) ; trop léger, il disparaît derrière le plat (P20).</t>
  </si>
  <si>
    <t xml:space="preserve">Blanc de blancs trop fin pour la crème aux morilles (P41, P20) ; trop léger, il disparaît derrière le plat (P20).</t>
  </si>
  <si>
    <t xml:space="preserve">P14, P20</t>
  </si>
  <si>
    <t xml:space="preserve">Bulle sans l'ampleur ni la richesse qu'appelle la laque (P14, P20) ; trop léger, il disparaît derrière le plat (P20).</t>
  </si>
  <si>
    <t xml:space="preserve">P22, P20</t>
  </si>
  <si>
    <t xml:space="preserve">Bulle légère et peu alcoolisée, mais moins sucrée que le sorbet (P22, P20).</t>
  </si>
  <si>
    <t xml:space="preserve">P22, P35, P7</t>
  </si>
  <si>
    <t xml:space="preserve">Bulle légère et peu d'alcool, mais moins sucrée que le sorbet ; agrume et vodka plafonnent (P22, P35, P7).</t>
  </si>
  <si>
    <t xml:space="preserve">P20, P23, P7, P35</t>
  </si>
  <si>
    <t xml:space="preserve">Effervescent vineux : profil qui convient, sans point d'ancrage décisif (P20, P23) ; le citron vert nature plafonne l'accord (P7, P35).</t>
  </si>
  <si>
    <t xml:space="preserve">P10, P35, P34</t>
  </si>
  <si>
    <t xml:space="preserve">L'émulsion à l'œuf de la tartare plafonne l'accord (P10, P35) ; la bulle et l'acidité nettoient la friture (P34).</t>
  </si>
  <si>
    <t xml:space="preserve">Effervescent vineux : profil qui convient, sans point d'ancrage décisif (P20, P3).</t>
  </si>
  <si>
    <t xml:space="preserve">P20, P9, P11, P35</t>
  </si>
  <si>
    <t xml:space="preserve">Effervescent vineux : profil qui convient, sans point d'ancrage décisif (P20, P9) ; le vinaigre à l'échalote plafonne l'accord (P11, P35).</t>
  </si>
  <si>
    <t xml:space="preserve">P34, P3</t>
  </si>
  <si>
    <t xml:space="preserve">La bulle et l'acidité coupent la friture et le fromage (P34, P3).</t>
  </si>
  <si>
    <t xml:space="preserve">P34, P42, P41</t>
  </si>
  <si>
    <t xml:space="preserve">Bulle septentrionale qui nettoie la friture et répond à l'iode de la crevette (P34, P42, P41).</t>
  </si>
  <si>
    <t xml:space="preserve">La bulle nettoie la friture (P34) ; mais un brut paraît maigre face au sucre (P22).</t>
  </si>
  <si>
    <t xml:space="preserve">Effervescent vineux : profil qui convient, sans point d'ancrage décisif (P20, P23) ; la mayonnaise plafonne l'accord (P10, P35).</t>
  </si>
  <si>
    <t xml:space="preserve">P41, P3</t>
  </si>
  <si>
    <t xml:space="preserve">Effervescent vineux : la bulle coupe la crème, les pinots répondent à la bisque (P41, P3).</t>
  </si>
  <si>
    <t xml:space="preserve">Effervescent vineux : profil qui convient, sans point d'ancrage décisif (P20, P23) ; le citron de la sauce vierge plafonne l'accord (P11, P35).</t>
  </si>
  <si>
    <t xml:space="preserve">Effervescent vineux : profil qui convient, sans point d'ancrage décisif (P20, P3) ; l'émulsion beurre-œuf-citron plafonne l'accord (P10, P35).</t>
  </si>
  <si>
    <t xml:space="preserve">Effervescent vineux : profil qui convient, sans point d'ancrage décisif (P20, P23) ; la base mayonnaise plafonne l'accord (P10, P35).</t>
  </si>
  <si>
    <t xml:space="preserve">Effervescent trop vif pour l'onctuosité et le sous-bois (P41, P20).</t>
  </si>
  <si>
    <t xml:space="preserve">Effervescent vineux : profil qui convient, sans point d'ancrage décisif (P20, P23) ; la sauce au citron plafonne l'accord (P11, P35).</t>
  </si>
  <si>
    <t xml:space="preserve">P41, P25</t>
  </si>
  <si>
    <t xml:space="preserve">Effervescent vineux qui tient la volaille et la crème, sans miroir des morilles (P41, P25).</t>
  </si>
  <si>
    <t xml:space="preserve">P41, P42</t>
  </si>
  <si>
    <t xml:space="preserve">Effervescent vineux, taillé pour la crème et les plats de brasserie (P41, P42).</t>
  </si>
  <si>
    <t xml:space="preserve">Bulle sans l'ampleur ni la richesse qu'appelle la laque (P14, P20).</t>
  </si>
  <si>
    <t xml:space="preserve">Tanin trop présent pour le poisson cru (P27) ; acidité trop faible face au citron vert (P23).</t>
  </si>
  <si>
    <t xml:space="preserve">Tanin trop présent pour la panure (P34) ; acidité trop faible face aux câpres et cornichons (P23).</t>
  </si>
  <si>
    <t xml:space="preserve">P24, P3</t>
  </si>
  <si>
    <t xml:space="preserve">Tanin trop présent pour la chair fine (P24) ; acidité trop faible face au beurre noisette (P3).</t>
  </si>
  <si>
    <t xml:space="preserve">P27, P9</t>
  </si>
  <si>
    <t xml:space="preserve">Tanin trop présent pour l'iode (goût métallique) (P27) ; acidité trop faible face à l'iode (P9).</t>
  </si>
  <si>
    <t xml:space="preserve">P27, P3</t>
  </si>
  <si>
    <t xml:space="preserve">Tanin trop présent pour l'iode (P27) ; acidité trop faible face au beurre à l'ail (P3).</t>
  </si>
  <si>
    <t xml:space="preserve">P5, P34</t>
  </si>
  <si>
    <t xml:space="preserve">Tanin trop présent pour le fromage, ingrédient principal (P5) ; acidité trop faible face à la friture et le fromage (P34).</t>
  </si>
  <si>
    <t xml:space="preserve">Tanin trop présent pour la panure et l'iode (P34) ; acidité trop faible face à la friture (P34).</t>
  </si>
  <si>
    <t xml:space="preserve">P6, P23</t>
  </si>
  <si>
    <t xml:space="preserve">Tanin trop présent pour le curry (P6) ; acidité trop faible face à la Granny Smith (P23).</t>
  </si>
  <si>
    <t xml:space="preserve">Tanin trop présent pour le cabillaud et les crevettes (P27) ; acidité trop faible face à la mousseline (P3).</t>
  </si>
  <si>
    <t xml:space="preserve">Tanin trop présent pour la sole (P27) ; acidité trop faible face au beurre noisette (P3).</t>
  </si>
  <si>
    <t xml:space="preserve">P3, P23</t>
  </si>
  <si>
    <t xml:space="preserve">Tanin trop présent pour le beurre et le citron (P3) ; acidité trop faible face au citron (P23).</t>
  </si>
  <si>
    <t xml:space="preserve">Effervescent rosé vineux : profil qui convient, sans point d'ancrage décisif (P20, P3).</t>
  </si>
  <si>
    <t xml:space="preserve">P7, P35, P41</t>
  </si>
  <si>
    <t xml:space="preserve">Le citron vert nature plafonne l'accord (P7, P35) ; blanc de blancs tendu, fait pour le poisson cru (P41).</t>
  </si>
  <si>
    <t xml:space="preserve">Effervescent blanc de blancs : profil qui convient, sans point d'ancrage décisif (P20, P3).</t>
  </si>
  <si>
    <t xml:space="preserve">P11, P35, P41</t>
  </si>
  <si>
    <t xml:space="preserve">Le vinaigre à l'échalote plafonne l'accord (P11, P35) ; blanc de blancs tendu sur l'iode (P41).</t>
  </si>
  <si>
    <t xml:space="preserve">Effervescent blanc de blancs : profil qui convient, sans point d'ancrage décisif (P20, P23) ; la mayonnaise plafonne l'accord (P10, P35).</t>
  </si>
  <si>
    <t xml:space="preserve">Effervescent blanc de blancs : profil qui convient, sans point d'ancrage décisif (P20, P23) ; le citron de la sauce vierge plafonne l'accord (P11, P35).</t>
  </si>
  <si>
    <t xml:space="preserve">Effervescent blanc de blancs : profil qui convient, sans point d'ancrage décisif (P20, P3) ; l'émulsion beurre-œuf-citron plafonne l'accord (P10, P35).</t>
  </si>
  <si>
    <t xml:space="preserve">Effervescent blanc de blancs : profil qui convient, sans point d'ancrage décisif (P20, P23) ; la base mayonnaise plafonne l'accord (P10, P35).</t>
  </si>
  <si>
    <t xml:space="preserve">Effervescent blanc de blancs : profil qui convient, sans point d'ancrage décisif (P20, P23) ; la sauce au citron plafonne l'accord (P11, P35).</t>
  </si>
  <si>
    <t xml:space="preserve">Trop puissant, il écrase le plat (P20).</t>
  </si>
  <si>
    <t xml:space="preserve">P41, P20, P7, P35</t>
  </si>
  <si>
    <t xml:space="preserve">Blanc de blancs tendu, fait pour le poisson cru (P41) ; trop puissant, il écrase le plat (P20) ; le citron vert nature plafonne l'accord (P7, P35).</t>
  </si>
  <si>
    <t xml:space="preserve">P41, P20, P11, P35</t>
  </si>
  <si>
    <t xml:space="preserve">Blanc de blancs tendu sur l'iode (P41) ; trop puissant, il écrase le plat (P20) ; le vinaigre à l'échalote plafonne l'accord (P11, P35).</t>
  </si>
  <si>
    <t xml:space="preserve">Liquoreux hors de propos sur un plat salé qui n'appelle pas de sucre (P20, P4).</t>
  </si>
  <si>
    <t xml:space="preserve">Sucre au niveau de la sauce aigre-douce (P22) ; mais liquoreux lourd sur la friture (P20).</t>
  </si>
  <si>
    <t xml:space="preserve">P4, P3</t>
  </si>
  <si>
    <t xml:space="preserve">Opposition sucre ↔ sel sur le foie gras (P4) ; sa fraîcheur allège le gras (P3).</t>
  </si>
  <si>
    <t xml:space="preserve">P22, P14, P20</t>
  </si>
  <si>
    <t xml:space="preserve">Sucre au niveau de la laque et richesse pour le caramélisé (P22, P14) ; mais trop lourd sur des légumes (P20).</t>
  </si>
  <si>
    <t xml:space="preserve">P22, P25, P14</t>
  </si>
  <si>
    <t xml:space="preserve">Liquoreux au moins aussi sucré que la crème ; l'élevage en fût fait miroir à la vanille, la richesse développe le caramel (P22, P25, P14).</t>
  </si>
  <si>
    <t xml:space="preserve">P15, P22</t>
  </si>
  <si>
    <t xml:space="preserve">Sucre suffisant, mais le chocolat chaud appelle un muté ; aucun sur la carte (P15, P22).</t>
  </si>
  <si>
    <t xml:space="preserve">P15, P20</t>
  </si>
  <si>
    <t xml:space="preserve">Liquoreux blanc écrasé par le chocolat 70 % ; il faudrait un muté, absent de la carte (P15, P20).</t>
  </si>
  <si>
    <t xml:space="preserve">P22, P25</t>
  </si>
  <si>
    <t xml:space="preserve">Sucre suffisant, mais pas les notes torréfiées d'un vin oxydatif (P22, P25).</t>
  </si>
  <si>
    <t xml:space="preserve">Assez sucré pour le sorbet, mais trop lourd pour un dessert léger et froid (P22, P20).</t>
  </si>
  <si>
    <t xml:space="preserve">P22, P25, P20</t>
  </si>
  <si>
    <t xml:space="preserve">Sucre au niveau de la crème anglaise, notes de miel proches des amandes caramélisées ; un peu riche pour la meringue (P22, P25, P20).</t>
  </si>
  <si>
    <t xml:space="preserve">P22, P14, P23</t>
  </si>
  <si>
    <t xml:space="preserve">Sucre et richesse pour la pomme caramélisée ; acidité un peu juste face au fruit (P22, P14, P23).</t>
  </si>
  <si>
    <t xml:space="preserve">Sucre suffisant, mais le gianduja appelle un muté oxydatif ; aucun sur la carte (P15, P22).</t>
  </si>
  <si>
    <t xml:space="preserve">P22, P14, P25</t>
  </si>
  <si>
    <t xml:space="preserve">Sucre et richesse pour le praliné ; miroir partiel, le vin n'a pas de notes oxydatives (P22, P14, P25).</t>
  </si>
  <si>
    <t xml:space="preserve">P7, P22, P35</t>
  </si>
  <si>
    <t xml:space="preserve">Le sucre adoucit le citron du sorbet, mais son alcool s'ajoute à la vodka ; accord déconseillé (P7, P22, P35).</t>
  </si>
  <si>
    <t xml:space="preserve">P4, P18</t>
  </si>
  <si>
    <t xml:space="preserve">Parfait sur un bleu, trop sucré sur les autres fromages (P4, P18).</t>
  </si>
  <si>
    <t xml:space="preserve">Principes de Pat (principes_pat_V4, 43 principes validés) : utilisation dans la matrice</t>
  </si>
  <si>
    <t xml:space="preserve">Nombre de notes qui citent chaque principe, compté par formule dans l'onglet « Détail (filtrable) ».</t>
  </si>
  <si>
    <t xml:space="preserve">N°</t>
  </si>
  <si>
    <t xml:space="preserve">Titre</t>
  </si>
  <si>
    <t xml:space="preserve">Règle</t>
  </si>
  <si>
    <t xml:space="preserve">Nb de notes qui le citent</t>
  </si>
  <si>
    <t xml:space="preserve">Pourquoi non utilisé</t>
  </si>
  <si>
    <t xml:space="preserve">Les points d'ancrage</t>
  </si>
  <si>
    <t xml:space="preserve">Pour construire un accord, identifier 1 à 3 éléments du plat (texture, sauce, épice, condiment, herbe, saveur dominante) sur lesquels accrocher le vin. Le vin n'épouse jamais le plat dans sa totalité, mais via ses points d'ancrage.</t>
  </si>
  <si>
    <t xml:space="preserve">Méthode appliquée à chaque plat (ligne « Ancrages » de l'onglet Analyse) ; elle fonde toutes les notes sans être citée note par note.</t>
  </si>
  <si>
    <t xml:space="preserve">La résonance des sols et des terroirs</t>
  </si>
  <si>
    <t xml:space="preserve">Un vin du même environnement géographique que le plat (même région, même type de sol) marche souvent mieux qu'un grand vin prestigieux d'ailleurs. Le cochon broute la végétation que la vigne respire — d'où Gamay du Valais sur charcuterie suisse, Grenache du Rhône Sud sur daube provençale.</t>
  </si>
  <si>
    <t xml:space="preserve">Acidité ↔ gras</t>
  </si>
  <si>
    <t xml:space="preserve">L'acidité du vin coupe le gras du plat ; inversement, un plat gras adoucit la perception d'acidité du vin. Règle centrale pour tout plat à matière grasse (saumon fumé, foie gras, fromages crémeux).</t>
  </si>
  <si>
    <t xml:space="preserve">Sucre ↔ sel : l'accord d'opposition classique</t>
  </si>
  <si>
    <t xml:space="preserve">Le sucre du vin neutralise le sel du plat et vice-versa. Archétypes : Roquefort + Sauternes, Munster + Gewurz VT, foie gras au sel + Jurançon moelleux. C'est l'accord d'opposition le moins risqué — bien maîtriser avant les opposés plus complexes (amer/acide, amer/sucre).</t>
  </si>
  <si>
    <t xml:space="preserve">Le fromage repousse de facto le tanin</t>
  </si>
  <si>
    <t xml:space="preserve">Sur tous les fromages, éviter les rouges jeunes tanniques. Préférer rouge évolué peu coloré (Poulsard, Trousseau patiné), blanc tendu, ou vin doux selon le type (sucré sur bleu, blanc sur pâte pressée locale).</t>
  </si>
  <si>
    <t xml:space="preserve">Plats épicés ↔ jamais de rouge jeune tannique</t>
  </si>
  <si>
    <t xml:space="preserve">Le piment, les épices fortes durcissent les tanins jeunes — l'accord vire métallique, abrasif. Sur curry, plats indiens/thaï/tex-mex/mexicains : blanc tendu en acidité, ou moelleux équilibré (le sucre enveloppe la chaleur). Les rouges si on y tient : sur sols frais (altitude, schistes, exposition nord) qui apportent de la fraîcheur au vin.</t>
  </si>
  <si>
    <t xml:space="preserve">Agrumes seuls = incompatibles, agrumes adoucis = possibles</t>
  </si>
  <si>
    <t xml:space="preserve">Le citron, le pamplemousse, les agrumes nature sont incompatibles avec le vin (acidité agressive). Mais en dessert sucré (tarte au citron, fruits de la passion), le sucre adoucit l'agrume — un effervescent sucré-acidulé peu alcoolisé (Clairette de Die, Cerdon) crée alors un accord étincelant.</t>
  </si>
  <si>
    <t xml:space="preserve">L'asperge n'est pas si réfractaire — point d'ancrage : terre + végétal</t>
  </si>
  <si>
    <t xml:space="preserve">L'asperge n'est pas l'ennemie du vin. Son vrai point d'ancrage est sa nature terreuse et végétale, pas son amertume. Cépages aromatiques au profil terreux (muscat, chasselas vieilles vignes, aligoté patiné de 4-6 ans, viognier pour ses amers) ou pinot noir septentrional finement végétal.</t>
  </si>
  <si>
    <t xml:space="preserve">Aucun plat du menu ne contient d'asperge.</t>
  </si>
  <si>
    <t xml:space="preserve">Anchois et iodés salins ↔ acidité littorale</t>
  </si>
  <si>
    <t xml:space="preserve">L'anchois (et la salinité concentrée en général) appelle des blancs nerveux et tranchants en acidité, idéalement de sols proches de la mer ou des fleuves : exemple: Muscadet, Chablis, Cassis. Effervescents cohérents : Champagne, Vouvray, Saumur. La proximité géographique avec l'eau est protectrice.</t>
  </si>
  <si>
    <t xml:space="preserve">Œufs : difficiles partout, sauf l'œuf en meurette</t>
  </si>
  <si>
    <t xml:space="preserve">La texture des œufs (durs, mayonnaise, omelette, brouillés) déstabilise le vin. Exception majeure : l'œuf en meurette — la sauce au vin rouge devient le point d'ancrage et appelle un rouge souple et juteux qui prolonge la réduction.</t>
  </si>
  <si>
    <t xml:space="preserve">Vinaigrette et moutarde franche ↔ incompatibles avec le vin</t>
  </si>
  <si>
    <t xml:space="preserve">Le piquant vinaigré déstabilise les rouges comme les blancs : pas d'accord viable. Si vinaigrette inévitable, en réduire la part dans le plat ou opter pour un vin tendu très acide qui partage le terrain (un blanc nerveux, un effervescent extra-brut).</t>
  </si>
  <si>
    <t xml:space="preserve">Avec les soupes on peut boire du vin (mais subtilement)</t>
  </si>
  <si>
    <t xml:space="preserve">L'idée scolaire « avec les soupes on boit de l'eau » est obsolète. L'onctuosité étouffe certes le vin, mais un blanc désaltérant et tendu peut tenir. À éviter : tout vin riche qui doublerait la consistance.</t>
  </si>
  <si>
    <t xml:space="preserve">Aucune soupe ni velouté au menu (la bisque des ravioles est une sauce, traitée par le n°24).</t>
  </si>
  <si>
    <t xml:space="preserve">Poivre + viande ↔ tanins fondus et trame acide</t>
  </si>
  <si>
    <t xml:space="preserve">Sur foie gras poêlé + poivre, ou bœuf au poivre, ou tout plat où le poivre marque, un vin rouge avec des tanins fondus et une trame acide crée la passerelle entre la texture grasse et le piquant épicé (exemple: vieux grand cru bourguignon).</t>
  </si>
  <si>
    <t xml:space="preserve">notes caramélisées - richesse alcoolique</t>
  </si>
  <si>
    <t xml:space="preserve">Quand une cuisson donne des notes caramélisées : un vin avec une richesse alcoolique permet de développer ces notes.</t>
  </si>
  <si>
    <t xml:space="preserve">Chocolat noir ↔ VDN par opposition</t>
  </si>
  <si>
    <t xml:space="preserve">Le chocolat noir relève des accords d'opposition réussis. VDN muté (exemple: Maury, Banyuls) : amertume cacao contre amertume noix, sucre du vin compensant la charge cacaotée. La mousse au chocolat reste l'accord parfait le plus difficile — le vin doit garder sa fraîcheur sans se faire écraser.</t>
  </si>
  <si>
    <t xml:space="preserve">Ordre de service : du plus tendu vers le plus puissant, du sec vers le doux</t>
  </si>
  <si>
    <t xml:space="preserve">Commencer un repas par les bulles ou un blanc tendu et léger ; monter en puissance ; finir par le sucre (dessert). Ne jamais redescendre en intensité ou retourner au sec après le sucré — l'amour-propre du vin précédent se brouille.</t>
  </si>
  <si>
    <t xml:space="preserve">Principe d'ordre de service sur un repas entier : il ne s'applique pas à un couple vin × plat.</t>
  </si>
  <si>
    <t xml:space="preserve">Accords d'opposition : commencer par sucre/sel</t>
  </si>
  <si>
    <t xml:space="preserve">L'opposition la moins risquée est sucre/sel (Roquefort + Sauternes, Munster + Gewurz VT). Plus délicates : amer/acide, amer/sucre. Maîtriser le sucre/sel d'abord, puis explorer.</t>
  </si>
  <si>
    <t xml:space="preserve">Recoupe le n°4 (question ouverte de fusion) : c'est le n°4 qui est cité, sur le foie gras et les fromages.</t>
  </si>
  <si>
    <t xml:space="preserve">Un vin pour plusieurs plats : partir du plat le plus fragile</t>
  </si>
  <si>
    <t xml:space="preserve">Quand on a plusieurs plats avec un vin, on ne cherche pas le vin idéal de chaque plat, mais le vin qui ne se brise sur aucun. On identifie d'abord ce que le plat le plus délicat ne supporte pas (pour un poisson, un tanin appuyé), puis un point d'ancrage commun aux deux plats (une sauce, une cuisson grillée, une herbe).</t>
  </si>
  <si>
    <t xml:space="preserve">Le bois couvre la finesse et amplifie l'amertume</t>
  </si>
  <si>
    <t xml:space="preserve">Un vin boisé (fût neuf, notes vanillées, toastées) couvre les saveurs délicates et amplifie l'amertume du plat. Sur poisson cru, asperge, burrata, chèvre, crustacés fins : blanc sans bois ou très peu boisé. Le bois n'a sa place que sur des plats riches (volaille crémée, viandes rôties) capables de lui répondre.</t>
  </si>
  <si>
    <t xml:space="preserve">L'équilibre des intensités : le vin pèse autant que le plat</t>
  </si>
  <si>
    <t xml:space="preserve">Un plat léger avec un vin léger, un plat riche avec un vin structuré. Un vin trop riche est écrasé par le sel ou double l'onctuosité du plat ; un vin trop léger disparaît derrière un plat puissant. Avant tout autre critère, peser le plat et le vin sur la même balance.</t>
  </si>
  <si>
    <t xml:space="preserve">Le tanin aime le gras et le saignant de la viande rouge</t>
  </si>
  <si>
    <t xml:space="preserve">Pendant du principe « le fromage repousse le tanin » : les protéines, le gras et le sang d'une viande rouge saignante ou grillée lissent les tanins et rendent le vin plus souple et plus fruité. Entrecôte, côte de bœuf, magret rosé, gigot : c'est là que le rouge structuré est à sa place. Une viande maigre ou très cuite demande au contraire des tanins plus fins.</t>
  </si>
  <si>
    <t xml:space="preserve">Le sucre du plat impose un vin au moins aussi sucré</t>
  </si>
  <si>
    <t xml:space="preserve">Le sucre dans le plat (sauce à l'orange, miel, purée de pommes, glaçage, fruits) augmente la perception de l'amertume, de l'acidité et de l'alcool du vin, et lui retire son fruit. Un rouge tannique jeune se durcit, un sec paraît maigre. Règle : le vin doit avoir au moins autant de sucre que le plat. Distinct de « sucre ↔ sel », qui traite du sucre du vin contre le sel du plat.</t>
  </si>
  <si>
    <t xml:space="preserve">L'acidité du plat impose l'acidité du vin</t>
  </si>
  <si>
    <t xml:space="preserve">Un vin moins acide que le plat paraît plat et mou. Tomate cuite, câpres, citron, vinaigre, cornichons : choisir un vin d'acidité au moins égale. Un rouge tannique sur la tomate vire au métallique. Le principe « vinaigrette ↔ incompatible » en est le cas extrême.</t>
  </si>
  <si>
    <t xml:space="preserve">La sauce et la cuisson priment sur la protéine</t>
  </si>
  <si>
    <t xml:space="preserve">Le même produit change de vin selon la sauce et la cuisson : cabillaud beurre blanc et cabillaud plancha, filet nature et filet au poivre ne s'accordent pas de la même façon. La sauce est le premier point d'ancrage, la cuisson le second : grillé et caramélisé appellent fruit noir et épices ; braisé et mijoté appellent un vin évolué ; vapeur et cru appellent un blanc tendu.</t>
  </si>
  <si>
    <t xml:space="preserve">L'accord de miroir : faire résonner un arôme commun</t>
  </si>
  <si>
    <t xml:space="preserve">Pendant des accords d'opposition : chercher un arôme partagé entre le vin et le plat. Viande fumée de la syrah sur le pigeon ou le gibier, buis et agrumes du sauvignon sur le citron du tartare, notes tertiaires (sous-bois, cuir) d'un vin évolué sur la truffe et les champignons, garrigue du grenache sur les herbes de Provence. Deux familles d'accords : miroir (complémentarité) et opposition (contraste).</t>
  </si>
  <si>
    <t xml:space="preserve">La température de service modifie l'accord</t>
  </si>
  <si>
    <t xml:space="preserve">Un rouge servi trop chaud accentue l'alcool et le tanin ; un blanc glacé perd ses arômes et son gras. Repères : effervescents et blancs tendus 8-10 °C, blancs riches 11-12 °C, rouges légers 13-14 °C, rouges structurés 16-17 °C. Un rouge léger servi frais devient le vin de passage entre poisson et viande.</t>
  </si>
  <si>
    <t xml:space="preserve">Rouge et poisson : possible si le poisson est charnu et le rouge peu tannique</t>
  </si>
  <si>
    <t xml:space="preserve">Le rouge n'est pas exclu sur le poisson. Sur un poisson charnu grillé ou rôti (thon, saumon, bar, poissons gras), un rouge léger, peu tannique et servi frais (pinot noir, Beaujolais cru, Poulsard) tient. Le tanin appuyé sur la chair iodée donne un goût métallique : c'est lui qu'il faut éviter, pas la couleur. Complément de « vin transversal ».</t>
  </si>
  <si>
    <t xml:space="preserve">Le sel adoucit le vin</t>
  </si>
  <si>
    <t xml:space="preserve">Le sel (et l'acidité) du plat atténue la perception des tanins et de l'acidité du vin, qui paraît plus fruité, plus rond, plus souple. Une viande salée et grasse lisse un rouge tannique ; charcuterie, parmesan, jambon cru supportent des rouges plus structurés qu'on ne le croit. Pendant de « sucre ↔ sel » : sel ↔ tanin.</t>
  </si>
  <si>
    <t xml:space="preserve">L'umami durcit le vin</t>
  </si>
  <si>
    <t xml:space="preserve">Les aliments riches en umami (champignons, fromages affinés, œufs, asperges, sauce soja, viande longuement cuite) accentuent le tanin, l'amertume et l'acidité du vin et lui retirent son fruit. C'est la cause commune des « réfractaires » (asperge, œufs, fromage). Correctifs : saler le plat, choisir un vin évolué aux tanins fondus ou un blanc rond, éviter le rouge jeune tannique.</t>
  </si>
  <si>
    <t xml:space="preserve">L'amertume du plat s'additionne à celle du vin</t>
  </si>
  <si>
    <t xml:space="preserve">Les aliments amers (chicon/endive, roquette, chicorée, artichaut, chou-fleur, brocoli, certaines épices comme la cardamome ou le gingembre) rendent désagréable un vin amer ou tannique. Préférer un blanc, ou un rouge peu tannique (cabernet franc, pinot noir, barbera). Le sucre du vin ou du plat (chicon braisé caramélisé) atténue l'amertume.</t>
  </si>
  <si>
    <t xml:space="preserve">L'alcool attise le piment</t>
  </si>
  <si>
    <t xml:space="preserve">Complément de « plats épicés ↔ jamais de rouge jeune tannique » : l'alcool amplifie la chaleur du piment autant que le tanin. Sur un plat pimenté, un vin peu alcoolisé (11-12,5 %) et légèrement doux (Riesling Spätlese, Gewurztraminer, Vouvray demi-sec) enveloppe la chaleur ; un rouge puissant à 15 % la brûle.</t>
  </si>
  <si>
    <t xml:space="preserve">Un grand vin se suffit à lui-même : le plat s'adapte au vin</t>
  </si>
  <si>
    <t xml:space="preserve">Sur une grande ou vieille bouteille, inverser le raisonnement : c'est le plat qui s'adapte au vin. Préparation simple, sans sauce forte ni épices, qui laisse le vin s'exprimer (volaille rôtie, viande blanche, champignons, châtaignes sur un vieux rouge). Les très grands vins s'apprécient en petit comité.</t>
  </si>
  <si>
    <t xml:space="preserve">Le raisonnement inverse (le plat s'adapte au vin) ne peut pas s'appliquer à une carte fixe ; les grandes bouteilles sont notées sur les mêmes critères.</t>
  </si>
  <si>
    <t xml:space="preserve">La saison et le contexte pèsent sur l'accord</t>
  </si>
  <si>
    <t xml:space="preserve">Les rouges corsés et généreux se goûtent mieux en hiver ; par forte chaleur, des vins frais et légers. Tenir compte aussi des convives, de l'occasion et du budget : un accord réussi n'est pas synonyme de vin cher. Un seul impératif, le plaisir doit aller crescendo.</t>
  </si>
  <si>
    <t xml:space="preserve">Contexte (saison, convives, budget) non évaluable couple par couple ; la carte d'automne a été prise telle quelle.</t>
  </si>
  <si>
    <t xml:space="preserve">La friture appelle la bulle et l'acidité</t>
  </si>
  <si>
    <t xml:space="preserve">La friture (croquettes, beignets, fish and chips, tempura) tapisse la bouche d'un gras chaud et croustillant. Un effervescent sec de méthode traditionnelle ou un blanc très tendu nettoie le palais à chaque gorgée : la bulle ajoute un effet mécanique à l'acidité. À éviter : rouge tannique (amer sur la panure), blanc boisé ou rond qui double le gras. Cas particulier de « Acidité ↔ gras ».</t>
  </si>
  <si>
    <t xml:space="preserve">Un élément réfractaire plafonne l'accord</t>
  </si>
  <si>
    <t xml:space="preserve">Quand le plat contient un réfractaire (œuf en émulsion, vinaigrette, agrume nature, bleu sans vin doux disponible), aucun vin ne fait un accord parfait : on cherche le vin qui en souffre le moins et on l'annonce comme tel. Mieux vaut un accord « correct » assumé qu'un accord parfait promis. Correctifs côté cuisine : sauce servie à part, part réduite.</t>
  </si>
  <si>
    <t xml:space="preserve">Les garnitures neutres ne sont pas des points d'ancrage</t>
  </si>
  <si>
    <t xml:space="preserve">Frites, pain, riz, pâtes nature, salade verte d'accompagnement pèsent peu dans l'accord : on ancre sur la protéine, la sauce et la cuisson. Exception : la vinaigrette de la salade d'accompagnement, qui peut ruiner un grand rouge — la servir à part ou légère. Complète « Les points d'ancrage ».</t>
  </si>
  <si>
    <t xml:space="preserve">Appliqué dans l'analyse des plats (frites, purée, salade écartées des ancrages) ; une garniture neutre ne fait varier aucune note.</t>
  </si>
  <si>
    <t xml:space="preserve">Le fromage accessoire ne dicte pas seul l'accord</t>
  </si>
  <si>
    <t xml:space="preserve">Quand le fromage n'est qu'une composante minoritaire d'un plat de viande (tranche fondue dans un burger, parmesan râpé sur des pâtes), le sel et la viande assouplissent le tanin : on évite seulement le rouge très jeune et très tannique, un rouge juteux aux tanins souples convient. Quand le fromage est l'ingrédient principal (croquette, croque, fondue, plateau), « Le fromage repousse de facto le tanin » s'applique pleinement. Nuance proposée au principe original n°5, qui vise « tous les fromages ».</t>
  </si>
  <si>
    <t xml:space="preserve">Sauce au bleu sur viande : le rouge le plus mûr, faute de vin doux</t>
  </si>
  <si>
    <t xml:space="preserve">Sur une sauce au bleu (gorgonzola, roquefort) nappant une viande rouge, l'opposition sucre ↔ sel est hors de propos (un vin doux sur une viande). Choisir le rouge le plus mûr et le plus arrondi disponible (grenache, zinfandel, raisins passerillés type ripasso ou amarone), tanins souples ; éviter le rouge jeune et austère que le bleu durcit. Complète « Sucre ↔ sel » et « Le fromage repousse de facto le tanin ».</t>
  </si>
  <si>
    <t xml:space="preserve">Aucune sauce au bleu sur une viande au menu.</t>
  </si>
  <si>
    <t xml:space="preserve">L'élevage sur lies donne de la chair sans le bois</t>
  </si>
  <si>
    <t xml:space="preserve">Un blanc élevé sur lies fines (bâtonnage) gagne gras et volume sans notes boisées. C'est l'outil des plats crémés ou de poids moyen (pâtes à la crème, volaille à la crème, poisson au beurre blanc) : l'acidité coupe la crème, la chair répond au poids du plat, sans que le bois couvre la finesse. Complète « Le bois couvre la finesse » et « L'équilibre des intensités ».</t>
  </si>
  <si>
    <t xml:space="preserve">L'âge du vin oriente le plat</t>
  </si>
  <si>
    <t xml:space="preserve">Un vin jeune apporte fruit et tanin : il cherche le grillé, le gras, le saignant. Un vin évolué a des tanins fondus et des notes tertiaires (sous-bois, cuir, champignon) : il cherche les sauces aux champignons, les viandes maigres et simples, les braisés. Un grand vin servi trop jeune sur un plat délicat montre ses tanins. Relie « Poivre + viande », « L'accord de miroir », « L'umami durcit le vin » et « Un grand vin se suffit à lui-même ».</t>
  </si>
  <si>
    <t xml:space="preserve">Effervescents : le cépage et le dosage dictent la table</t>
  </si>
  <si>
    <t xml:space="preserve">Un blanc de blancs (chardonnay) ou un cava tendu va aux iodés, aux fritures et à l'apéritif ; un champagne à dominante meunier ou pinot noir, plus vineux, tient la volaille, la crème et les plats de brasserie. Le dosage compte : brut nature ou extra-brut sur les sauces acides ou vinaigrées, brut sur la friture. Complète « Anchois et iodés salins ↔ acidité littorale ».</t>
  </si>
  <si>
    <t xml:space="preserve">Sans vin du terroir du plat, chercher le même climat</t>
  </si>
  <si>
    <t xml:space="preserve">Quand la carte n'a aucun vin de la région du plat (cuisine belge, britannique, nordique), la résonance des sols se transpose en résonance de climat : vins septentrionaux, frais et tendus (Loire, Champagne, Alsace, Moselle) pour une cuisine de mer du Nord ; vins solaires pour une cuisine méditerranéenne. Complète « La résonance des sols et des terroirs ».</t>
  </si>
  <si>
    <t xml:space="preserve">Aérer le rouge jeune avant de juger l'accord</t>
  </si>
  <si>
    <t xml:space="preserve">Un rouge jeune et structuré servi sans aération paraît plus tannique et plus fermé : l'accord se juge après carafage (1 à 2 h selon la structure). Un vin évolué se décante brièvement, surtout pour séparer le dépôt, sans l'exposer trop longtemps à l'air. Complète « La température de service modifie l'accord ».</t>
  </si>
  <si>
    <t xml:space="preserve">Lola — Méthode &amp; hypothèses</t>
  </si>
  <si>
    <t xml:space="preserve">Comment les notes ont été construites et ce qu'il faut savoir avant de les utiliser.</t>
  </si>
  <si>
    <t xml:space="preserve">Sources</t>
  </si>
  <si>
    <t xml:space="preserve">principes_pat_V4.xlsx (43 principes) ; Carte_vins_Lola_digital.xlsx (23 lignes : bulles et blancs de France) et Carte_vins_Lola_digital_partie2.xlsx (48 lignes : autres blancs, rouges, rosés, doux) : colonnes Descriptif du vin, Profil de dégustation, Cépages, Millésime, Prix et onglets Notes ; Menu_Lola_digital.xlsx (onglets Analyse et Notes). Aucune recherche internet. Rien n'a été inventé : les informations manquantes sont traitées comme hypothèses et signalées.</t>
  </si>
  <si>
    <t xml:space="preserve">1. Pour chaque plat, 1 à 3 points d'ancrage (n°1), sans les garnitures neutres (n°36) ; la sauce et la cuisson priment (n°24).
2. Pour chaque vin, un profil tiré de sa fiche : acidité, tanin, bois, poids (corps), alcool, stade d'évolution, bulle, plus les traits d'élaboration utiles (élevage sur lies, passage sous voile, blanc de blancs ou effervescent vineux, climat septentrional ou solaire, proximité de la mer ou d'un fleuve).
3. Pour chaque plat, un profil cible : acidité minimale, tanin et bois tolérés, poids, et les points d'ancrage qui méritent un accord parfait.
4. Confrontation : un vin sans défaut mais sans point d'ancrage reçoit 4 ; un vin qui touche un point d'ancrage par un principe reçoit 5 ; chaque écart (tanin, bois, acidité, poids, alcool) retire un point par degré au-delà de la tolérance. Les tanins d'un vin à maturité comptent un cran de moins (n°40).
5. Plats à profil particulier (nems, foie gras, légumes au miso, desserts, fromages) : notés vin par vin selon les n°4, 15, 18, 22.</t>
  </si>
  <si>
    <t xml:space="preserve">Échelle</t>
  </si>
  <si>
    <t xml:space="preserve">1 = pas bon du tout · 2 = médiocre · 3 = correct · 4 = très bon · 5 = accord parfait. Notes entières et absolues : elles jugent l'accord lui-même, pas le meilleur choix disponible ; un plat peut n'avoir aucun 5.</t>
  </si>
  <si>
    <t xml:space="preserve">Principes cités</t>
  </si>
  <si>
    <t xml:space="preserve">Chaque note cite au moins un principe (Pn) dans son commentaire, dans la bulle de la matrice et dans l'onglet Détail. Aucune note n'a dû être tranchée sans principe.</t>
  </si>
  <si>
    <t xml:space="preserve">Plafonds appliqués (n°35)</t>
  </si>
  <si>
    <t xml:space="preserve">Accord plafonné à 4 (aucun vin parfait) :
• Émincé de bar (citron vert nature) : n°7, n°35
• Scampis en tempura (sauce tartare, émulsion) : n°10, n°35
• Huîtres (vinaigre à l'échalote) : n°11, n°35
• Tourteau (mayonnaise curry) : n°10, n°35
• Filet de bar (sauce vierge au citron) : n°11, n°35
• Cabillaud (mousseline) : n°10, n°35
• Tartare de thon (mayonnaise) : n°10, n°35
• Tagliolini (sauce au citron) : n°11, n°35
• Tartare de bœuf (émulsion) : n°10, n°35
• Filet pur sauce béarnaise : n°10, n°35
• Colonel (sorbet citron, vodka) : plafond à 3, accord à déconseiller (n°7, n°35).</t>
  </si>
  <si>
    <t xml:space="preserve">Traitement du fromage</t>
  </si>
  <si>
    <t xml:space="preserve">Fromage principal, n°5 pleinement : croquettes au fromage (aucun rouge au-delà de 2) et assiette de 3 fromages (n°5 + n°18 : un seul vin pour trois fromages inconnus, pas de 5). Fromage minoritaire, n°37 : parmesan du carpaccio, du risotto et des tagliolini, qui n'exclut que le rouge jeune et tannique.</t>
  </si>
  <si>
    <t xml:space="preserve">Plats de type « duo »</t>
  </si>
  <si>
    <t xml:space="preserve">Duo de sorbets : parfums non précisés, le vin doit tenir sur les deux (n°18) ; seul le liquoreux atteint 3. Assiette de 3 fromages traitée de la même façon.</t>
  </si>
  <si>
    <t xml:space="preserve">Climat (n°42) et terroir (n°2)</t>
  </si>
  <si>
    <t xml:space="preserve">Spécialités belges de la mer du Nord (croquettes aux crevettes, cabillaud, soles, vol-au-vent) : pas de vin belge, on cherche des vins septentrionaux (Loire, Chablis, Champagne). Escargots : n°2 avec les vins de Bourgogne, sous réserve de l'origine.</t>
  </si>
  <si>
    <t xml:space="preserve">Manques de la carte</t>
  </si>
  <si>
    <t xml:space="preserve">Aucun vin demi-sec, aucun vin muté (VDN), aucun vin sous voile complet : les nems, les légumes au miso, les desserts au chocolat, le café glacé et la profiterole ne peuvent pas dépasser « correct » ou « médiocre ». Un seul liquoreux, servi au verre.</t>
  </si>
  <si>
    <t xml:space="preserve">Profils estimés</t>
  </si>
  <si>
    <t xml:space="preserve">Quand la fiche du vin est « profil estimé » et que le vin est aussi « à surveiller » (Nymphettes 2018, Folatières 2017, Fitapreta 2017, Elegancia 2018), il ne reçoit pas de 5 : l'accord parfait suppose un profil connu. C'est un choix de méthode, pas un principe de Pat.</t>
  </si>
  <si>
    <t xml:space="preserve">Formats</t>
  </si>
  <si>
    <t xml:space="preserve">Les demi-bouteilles (R de Ruinart, Ruinart Blanc de Blancs, Chablis Saint-Pierre, Petit Bocq) sont notées comme le même vin en 75 cl.</t>
  </si>
  <si>
    <t xml:space="preserve">Réserves reprises des fichiers sources</t>
  </si>
  <si>
    <t xml:space="preserve">Producteurs non indiqués (L-B08, B09, B10, B13, R06, R08, R12, R13) ; millésime du Gevrey (2018 ou 2019) et du Sauternes ; dosage du Prosecco ; cuvées du Sancerre, du Montagny et de l'Etna à préciser ; vins à goûter avant recommandation (Nymphettes, Clos des Mouches, Folatières, Meursault, Moulin-à-Vent 2014, Fitapreta, Elegancia) ; grands rouges jeunes à carafer (Pichon 2021, Forts de Latour 2018, Petit Mouton 2021, Troplong 2019, Ducru 2019, Alion 2020, Tignanello 2022, Sassicaia 2018, Corton 2018).</t>
  </si>
  <si>
    <t xml:space="preserve">Questions ouvertes</t>
  </si>
  <si>
    <t xml:space="preserve">n°9 (Sancerre et Loire « proches d'un fleuve » : oui), n°10 (émulsions = œuf : oui), n°11 (sauces acidulées au citron : oui). Si Pat tranche autrement, les plafonds et les 5 concernés sont à revoir : huîtres, moules, émincé de bar, scampis, tourteau, cabillaud, tartares, béarnaise, tagliolini, filet de bar.</t>
  </si>
  <si>
    <t xml:space="preserve">Modifier une note</t>
  </si>
  <si>
    <t xml:space="preserve">1. Changer le chiffre dans « Matrice des notes » : la couleur, la note moyenne du vin, la meilleure note du plat, les colonnes F et G de « Analyse des plats », tout l'onglet « Meilleurs accords » et la colonne Note de « Détail (filtrable) » se mettent à jour.
2. Mettre à jour à la main la bulle de commentaire de la cellule, la case correspondante de « Commentaires » (texte et couleur) et le commentaire et les principes de la ligne de « Détail (filtrable) » : le compteur de « Principes de Pat » suit alors automatiquement.</t>
  </si>
</sst>
</file>

<file path=xl/styles.xml><?xml version="1.0" encoding="utf-8"?>
<styleSheet xmlns="http://schemas.openxmlformats.org/spreadsheetml/2006/main">
  <numFmts count="3">
    <numFmt numFmtId="164" formatCode="General"/>
    <numFmt numFmtId="165" formatCode="General"/>
    <numFmt numFmtId="166" formatCode="0.00"/>
  </numFmts>
  <fonts count="14">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9"/>
      <name val="Arial"/>
      <family val="0"/>
      <charset val="1"/>
    </font>
    <font>
      <b val="true"/>
      <sz val="10"/>
      <name val="Arial"/>
      <family val="0"/>
      <charset val="1"/>
    </font>
    <font>
      <b val="true"/>
      <sz val="14"/>
      <color rgb="FF5B1A2E"/>
      <name val="Arial"/>
      <family val="0"/>
      <charset val="1"/>
    </font>
    <font>
      <i val="true"/>
      <sz val="9"/>
      <color rgb="FF595959"/>
      <name val="Arial"/>
      <family val="0"/>
      <charset val="1"/>
    </font>
    <font>
      <b val="true"/>
      <sz val="11"/>
      <color rgb="FFFFFFFF"/>
      <name val="Arial"/>
      <family val="0"/>
      <charset val="1"/>
    </font>
    <font>
      <sz val="10"/>
      <name val="Arial"/>
      <family val="2"/>
    </font>
    <font>
      <sz val="8"/>
      <name val="Arial"/>
      <family val="0"/>
      <charset val="1"/>
    </font>
    <font>
      <b val="true"/>
      <sz val="12"/>
      <color rgb="FF5B1A2E"/>
      <name val="Arial"/>
      <family val="0"/>
      <charset val="1"/>
    </font>
  </fonts>
  <fills count="14">
    <fill>
      <patternFill patternType="none"/>
    </fill>
    <fill>
      <patternFill patternType="gray125"/>
    </fill>
    <fill>
      <patternFill patternType="solid">
        <fgColor rgb="FF5B1A2E"/>
        <bgColor rgb="FF333333"/>
      </patternFill>
    </fill>
    <fill>
      <patternFill patternType="solid">
        <fgColor rgb="FF8C4A5E"/>
        <bgColor rgb="FF993366"/>
      </patternFill>
    </fill>
    <fill>
      <patternFill patternType="solid">
        <fgColor rgb="FFFFF8E1"/>
        <bgColor rgb="FFFDF1DC"/>
      </patternFill>
    </fill>
    <fill>
      <patternFill patternType="solid">
        <fgColor rgb="FFF6E3E8"/>
        <bgColor rgb="FFFCE9EF"/>
      </patternFill>
    </fill>
    <fill>
      <patternFill patternType="solid">
        <fgColor rgb="FFFCE9EF"/>
        <bgColor rgb="FFF6E3E8"/>
      </patternFill>
    </fill>
    <fill>
      <patternFill patternType="solid">
        <fgColor rgb="FFE8EEF7"/>
        <bgColor rgb="FFFCE9EF"/>
      </patternFill>
    </fill>
    <fill>
      <patternFill patternType="solid">
        <fgColor rgb="FFFDF1DC"/>
        <bgColor rgb="FFFFF8E1"/>
      </patternFill>
    </fill>
    <fill>
      <patternFill patternType="solid">
        <fgColor rgb="FFFFE699"/>
        <bgColor rgb="FFFDF1DC"/>
      </patternFill>
    </fill>
    <fill>
      <patternFill patternType="solid">
        <fgColor rgb="FFB6D7A8"/>
        <bgColor rgb="FFD9D9D9"/>
      </patternFill>
    </fill>
    <fill>
      <patternFill patternType="solid">
        <fgColor rgb="FF6AA84F"/>
        <bgColor rgb="FF969696"/>
      </patternFill>
    </fill>
    <fill>
      <patternFill patternType="solid">
        <fgColor rgb="FFF4B183"/>
        <bgColor rgb="FFFF99CC"/>
      </patternFill>
    </fill>
    <fill>
      <patternFill patternType="solid">
        <fgColor rgb="FFE06666"/>
        <bgColor rgb="FFFF6600"/>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left" vertical="top" textRotation="0" wrapText="fals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left" vertical="top" textRotation="0" wrapText="fals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5" fillId="7" borderId="1" xfId="0" applyFont="true" applyBorder="true" applyAlignment="true" applyProtection="false">
      <alignment horizontal="left" vertical="top" textRotation="0" wrapText="fals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center" vertical="top" textRotation="0" wrapText="false" indent="0" shrinkToFit="false"/>
      <protection locked="true" hidden="false"/>
    </xf>
    <xf numFmtId="164" fontId="5" fillId="8" borderId="1" xfId="0" applyFont="true" applyBorder="true" applyAlignment="true" applyProtection="false">
      <alignment horizontal="left" vertical="top" textRotation="0" wrapText="fals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fals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12" fillId="10" borderId="1" xfId="0" applyFont="true" applyBorder="true" applyAlignment="true" applyProtection="false">
      <alignment horizontal="left" vertical="top" textRotation="0" wrapText="true" indent="0" shrinkToFit="false"/>
      <protection locked="true" hidden="false"/>
    </xf>
    <xf numFmtId="164" fontId="12" fillId="11" borderId="1" xfId="0" applyFont="true" applyBorder="true" applyAlignment="true" applyProtection="false">
      <alignment horizontal="left" vertical="top" textRotation="0" wrapText="true" indent="0" shrinkToFit="false"/>
      <protection locked="true" hidden="false"/>
    </xf>
    <xf numFmtId="164" fontId="12" fillId="12" borderId="1" xfId="0" applyFont="true" applyBorder="true" applyAlignment="true" applyProtection="false">
      <alignment horizontal="left" vertical="top" textRotation="0" wrapText="true" indent="0" shrinkToFit="false"/>
      <protection locked="true" hidden="false"/>
    </xf>
    <xf numFmtId="164" fontId="12" fillId="13" borderId="1" xfId="0" applyFont="true" applyBorder="true" applyAlignment="true" applyProtection="false">
      <alignment horizontal="left"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5" fontId="6"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E06666"/>
        </patternFill>
      </fill>
    </dxf>
    <dxf>
      <fill>
        <patternFill>
          <bgColor rgb="FFF4B183"/>
        </patternFill>
      </fill>
    </dxf>
    <dxf>
      <fill>
        <patternFill>
          <bgColor rgb="FFFFE699"/>
        </patternFill>
      </fill>
    </dxf>
    <dxf>
      <fill>
        <patternFill>
          <bgColor rgb="FFB6D7A8"/>
        </patternFill>
      </fill>
    </dxf>
    <dxf>
      <fill>
        <patternFill>
          <bgColor rgb="FF6AA84F"/>
        </patternFill>
      </fill>
    </dxf>
    <dxf>
      <fill>
        <patternFill patternType="solid">
          <fgColor rgb="FF5B1A2E"/>
          <bgColor rgb="FF000000"/>
        </patternFill>
      </fill>
    </dxf>
    <dxf>
      <fill>
        <patternFill patternType="solid">
          <bgColor rgb="FF000000"/>
        </patternFill>
      </fill>
    </dxf>
    <dxf>
      <fill>
        <patternFill patternType="solid">
          <fgColor rgb="FFFFFFFF"/>
          <bgColor rgb="FF000000"/>
        </patternFill>
      </fill>
    </dxf>
    <dxf>
      <fill>
        <patternFill patternType="solid">
          <fgColor rgb="FF6AA84F"/>
          <bgColor rgb="FF000000"/>
        </patternFill>
      </fill>
    </dxf>
    <dxf>
      <fill>
        <patternFill patternType="solid">
          <fgColor rgb="FFB6D7A8"/>
          <bgColor rgb="FF000000"/>
        </patternFill>
      </fill>
    </dxf>
    <dxf>
      <fill>
        <patternFill patternType="solid">
          <fgColor rgb="FFE06666"/>
          <bgColor rgb="FF000000"/>
        </patternFill>
      </fill>
    </dxf>
    <dxf>
      <fill>
        <patternFill patternType="solid">
          <fgColor rgb="FFF4B183"/>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8C4A5E"/>
      <rgbColor rgb="FFFFF8E1"/>
      <rgbColor rgb="FFE8EEF7"/>
      <rgbColor rgb="FF5B1A2E"/>
      <rgbColor rgb="FFE06666"/>
      <rgbColor rgb="FF0066CC"/>
      <rgbColor rgb="FFD9D9D9"/>
      <rgbColor rgb="FF000080"/>
      <rgbColor rgb="FFFF00FF"/>
      <rgbColor rgb="FFFFFF00"/>
      <rgbColor rgb="FF00FFFF"/>
      <rgbColor rgb="FF800080"/>
      <rgbColor rgb="FF800000"/>
      <rgbColor rgb="FF008080"/>
      <rgbColor rgb="FF0000FF"/>
      <rgbColor rgb="FF00CCFF"/>
      <rgbColor rgb="FFFCE9EF"/>
      <rgbColor rgb="FFFDF1DC"/>
      <rgbColor rgb="FFFFE699"/>
      <rgbColor rgb="FFF6E3E8"/>
      <rgbColor rgb="FFFF99CC"/>
      <rgbColor rgb="FFCC99FF"/>
      <rgbColor rgb="FFF4B183"/>
      <rgbColor rgb="FF3366FF"/>
      <rgbColor rgb="FF33CCCC"/>
      <rgbColor rgb="FF99CC00"/>
      <rgbColor rgb="FFFFCC00"/>
      <rgbColor rgb="FFFF9900"/>
      <rgbColor rgb="FFFF6600"/>
      <rgbColor rgb="FF595959"/>
      <rgbColor rgb="FF969696"/>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5"/>
    <col collapsed="false" customWidth="true" hidden="false" outlineLevel="0" max="4" min="4" style="0" width="13"/>
    <col collapsed="false" customWidth="true" hidden="false" outlineLevel="0" max="5" min="5" style="0" width="9"/>
    <col collapsed="false" customWidth="true" hidden="false" outlineLevel="0" max="6" min="6" style="0" width="34"/>
    <col collapsed="false" customWidth="true" hidden="false" outlineLevel="0" max="7" min="7" style="0" width="7"/>
  </cols>
  <sheetData>
    <row r="1" customFormat="false" ht="15" hidden="false" customHeight="false" outlineLevel="0" collapsed="false">
      <c r="A1" s="1" t="s">
        <v>0</v>
      </c>
      <c r="B1" s="1" t="s">
        <v>1</v>
      </c>
      <c r="C1" s="1" t="s">
        <v>2</v>
      </c>
      <c r="D1" s="1" t="s">
        <v>3</v>
      </c>
      <c r="E1" s="1" t="s">
        <v>4</v>
      </c>
      <c r="F1" s="1" t="s">
        <v>5</v>
      </c>
      <c r="G1" s="1" t="s">
        <v>6</v>
      </c>
    </row>
    <row r="2" customFormat="false" ht="85.05" hidden="false" customHeight="false" outlineLevel="0" collapsed="false">
      <c r="A2" s="2" t="s">
        <v>7</v>
      </c>
      <c r="B2" s="3" t="s">
        <v>8</v>
      </c>
      <c r="C2" s="3" t="s">
        <v>9</v>
      </c>
      <c r="D2" s="4" t="s">
        <v>10</v>
      </c>
      <c r="E2" s="4" t="n">
        <v>26</v>
      </c>
      <c r="F2" s="3" t="str">
        <f aca="false">INDEX('Matrice des notes'!$B$6:$B$81,MATCH(G2,'Matrice des notes'!$D$6:$D$81,0))</f>
        <v>L-R01 · Chiroubles Domaine Piron 2024</v>
      </c>
      <c r="G2" s="5" t="n">
        <f aca="false">MAX('Matrice des notes'!$D$6:$D$81)</f>
        <v>5</v>
      </c>
    </row>
    <row r="3" customFormat="false" ht="105.95" hidden="false" customHeight="false" outlineLevel="0" collapsed="false">
      <c r="A3" s="2" t="s">
        <v>11</v>
      </c>
      <c r="B3" s="3" t="s">
        <v>12</v>
      </c>
      <c r="C3" s="3" t="s">
        <v>13</v>
      </c>
      <c r="D3" s="4" t="s">
        <v>10</v>
      </c>
      <c r="E3" s="4" t="n">
        <v>26</v>
      </c>
      <c r="F3" s="3" t="str">
        <f aca="false">INDEX('Matrice des notes'!$B$6:$B$81,MATCH(G3,'Matrice des notes'!$E$6:$E$81,0))</f>
        <v>L-B01 · IGP Val de Loire Sauvignon Le Petit Bourgeois 2024</v>
      </c>
      <c r="G3" s="5" t="n">
        <f aca="false">MAX('Matrice des notes'!$E$6:$E$81)</f>
        <v>4</v>
      </c>
    </row>
    <row r="4" customFormat="false" ht="95.5" hidden="false" customHeight="false" outlineLevel="0" collapsed="false">
      <c r="A4" s="2" t="s">
        <v>14</v>
      </c>
      <c r="B4" s="3" t="s">
        <v>15</v>
      </c>
      <c r="C4" s="3" t="s">
        <v>16</v>
      </c>
      <c r="D4" s="4" t="s">
        <v>10</v>
      </c>
      <c r="E4" s="4" t="n">
        <v>24</v>
      </c>
      <c r="F4" s="3" t="str">
        <f aca="false">INDEX('Matrice des notes'!$B$6:$B$81,MATCH(G4,'Matrice des notes'!$F$6:$F$81,0))</f>
        <v>L-B01 · IGP Val de Loire Sauvignon Le Petit Bourgeois 2024</v>
      </c>
      <c r="G4" s="5" t="n">
        <f aca="false">MAX('Matrice des notes'!$F$6:$F$81)</f>
        <v>4</v>
      </c>
    </row>
    <row r="5" customFormat="false" ht="74.6" hidden="false" customHeight="false" outlineLevel="0" collapsed="false">
      <c r="A5" s="2" t="s">
        <v>17</v>
      </c>
      <c r="B5" s="3" t="s">
        <v>18</v>
      </c>
      <c r="C5" s="3" t="s">
        <v>19</v>
      </c>
      <c r="D5" s="4" t="s">
        <v>10</v>
      </c>
      <c r="E5" s="4" t="n">
        <v>24</v>
      </c>
      <c r="F5" s="3" t="str">
        <f aca="false">INDEX('Matrice des notes'!$B$6:$B$81,MATCH(G5,'Matrice des notes'!$G$6:$G$81,0))</f>
        <v>L-B03 · Pouilly-Fumé de Ladoucette 2024</v>
      </c>
      <c r="G5" s="5" t="n">
        <f aca="false">MAX('Matrice des notes'!$G$6:$G$81)</f>
        <v>5</v>
      </c>
    </row>
    <row r="6" customFormat="false" ht="95.5" hidden="false" customHeight="false" outlineLevel="0" collapsed="false">
      <c r="A6" s="2" t="s">
        <v>20</v>
      </c>
      <c r="B6" s="3" t="s">
        <v>21</v>
      </c>
      <c r="C6" s="3" t="s">
        <v>22</v>
      </c>
      <c r="D6" s="4" t="s">
        <v>10</v>
      </c>
      <c r="E6" s="4" t="n">
        <v>32</v>
      </c>
      <c r="F6" s="3" t="str">
        <f aca="false">INDEX('Matrice des notes'!$B$6:$B$81,MATCH(G6,'Matrice des notes'!$H$6:$H$81,0))</f>
        <v>L-B01 · IGP Val de Loire Sauvignon Le Petit Bourgeois 2024</v>
      </c>
      <c r="G6" s="5" t="n">
        <f aca="false">MAX('Matrice des notes'!$H$6:$H$81)</f>
        <v>4</v>
      </c>
    </row>
    <row r="7" customFormat="false" ht="74.6" hidden="false" customHeight="false" outlineLevel="0" collapsed="false">
      <c r="A7" s="2" t="s">
        <v>23</v>
      </c>
      <c r="B7" s="3" t="s">
        <v>24</v>
      </c>
      <c r="C7" s="3" t="s">
        <v>25</v>
      </c>
      <c r="D7" s="4" t="s">
        <v>10</v>
      </c>
      <c r="E7" s="4" t="n">
        <v>28</v>
      </c>
      <c r="F7" s="3" t="str">
        <f aca="false">INDEX('Matrice des notes'!$B$6:$B$81,MATCH(G7,'Matrice des notes'!$I$6:$I$81,0))</f>
        <v>L-B01 · IGP Val de Loire Sauvignon Le Petit Bourgeois 2024</v>
      </c>
      <c r="G7" s="5" t="n">
        <f aca="false">MAX('Matrice des notes'!$I$6:$I$81)</f>
        <v>5</v>
      </c>
    </row>
    <row r="8" customFormat="false" ht="74.6" hidden="false" customHeight="false" outlineLevel="0" collapsed="false">
      <c r="A8" s="2" t="s">
        <v>26</v>
      </c>
      <c r="B8" s="3" t="s">
        <v>27</v>
      </c>
      <c r="C8" s="3" t="s">
        <v>28</v>
      </c>
      <c r="D8" s="4" t="s">
        <v>10</v>
      </c>
      <c r="E8" s="4" t="s">
        <v>29</v>
      </c>
      <c r="F8" s="3" t="str">
        <f aca="false">INDEX('Matrice des notes'!$B$6:$B$81,MATCH(G8,'Matrice des notes'!$J$6:$J$81,0))</f>
        <v>L-E02 · Champagne R de Ruinart Brut NM · 37,5 cl</v>
      </c>
      <c r="G8" s="5" t="n">
        <f aca="false">MAX('Matrice des notes'!$J$6:$J$81)</f>
        <v>5</v>
      </c>
    </row>
    <row r="9" customFormat="false" ht="85.05" hidden="false" customHeight="false" outlineLevel="0" collapsed="false">
      <c r="A9" s="2" t="s">
        <v>30</v>
      </c>
      <c r="B9" s="3" t="s">
        <v>31</v>
      </c>
      <c r="C9" s="3" t="s">
        <v>32</v>
      </c>
      <c r="D9" s="4" t="s">
        <v>10</v>
      </c>
      <c r="E9" s="4" t="s">
        <v>33</v>
      </c>
      <c r="F9" s="3" t="str">
        <f aca="false">INDEX('Matrice des notes'!$B$6:$B$81,MATCH(G9,'Matrice des notes'!$K$6:$K$81,0))</f>
        <v>L-E02 · Champagne R de Ruinart Brut NM · 37,5 cl</v>
      </c>
      <c r="G9" s="5" t="n">
        <f aca="false">MAX('Matrice des notes'!$K$6:$K$81)</f>
        <v>5</v>
      </c>
    </row>
    <row r="10" customFormat="false" ht="95.5" hidden="false" customHeight="false" outlineLevel="0" collapsed="false">
      <c r="A10" s="2" t="s">
        <v>34</v>
      </c>
      <c r="B10" s="3" t="s">
        <v>35</v>
      </c>
      <c r="C10" s="3" t="s">
        <v>36</v>
      </c>
      <c r="D10" s="4" t="s">
        <v>10</v>
      </c>
      <c r="E10" s="4" t="n">
        <v>25</v>
      </c>
      <c r="F10" s="3" t="str">
        <f aca="false">INDEX('Matrice des notes'!$B$6:$B$81,MATCH(G10,'Matrice des notes'!$L$6:$L$81,0))</f>
        <v>L-B05 · Petit Chablis Pas Si Petit 2023</v>
      </c>
      <c r="G10" s="5" t="n">
        <f aca="false">MAX('Matrice des notes'!$L$6:$L$81)</f>
        <v>5</v>
      </c>
    </row>
    <row r="11" customFormat="false" ht="74.6" hidden="false" customHeight="false" outlineLevel="0" collapsed="false">
      <c r="A11" s="2" t="s">
        <v>37</v>
      </c>
      <c r="B11" s="3" t="s">
        <v>38</v>
      </c>
      <c r="C11" s="3" t="s">
        <v>39</v>
      </c>
      <c r="D11" s="4" t="s">
        <v>10</v>
      </c>
      <c r="E11" s="4" t="n">
        <v>22</v>
      </c>
      <c r="F11" s="3" t="str">
        <f aca="false">INDEX('Matrice des notes'!$B$6:$B$81,MATCH(G11,'Matrice des notes'!$M$6:$M$81,0))</f>
        <v>L-E01 · Valdobbiadene Prosecco Superiore Col de l'Utia NM</v>
      </c>
      <c r="G11" s="5" t="n">
        <f aca="false">MAX('Matrice des notes'!$M$6:$M$81)</f>
        <v>3</v>
      </c>
    </row>
    <row r="12" customFormat="false" ht="85.05" hidden="false" customHeight="false" outlineLevel="0" collapsed="false">
      <c r="A12" s="2" t="s">
        <v>40</v>
      </c>
      <c r="B12" s="3" t="s">
        <v>41</v>
      </c>
      <c r="C12" s="3" t="s">
        <v>42</v>
      </c>
      <c r="D12" s="4" t="s">
        <v>10</v>
      </c>
      <c r="E12" s="4" t="n">
        <v>34</v>
      </c>
      <c r="F12" s="3" t="str">
        <f aca="false">INDEX('Matrice des notes'!$B$6:$B$81,MATCH(G12,'Matrice des notes'!$N$6:$N$81,0))</f>
        <v>L-B01 · IGP Val de Loire Sauvignon Le Petit Bourgeois 2024</v>
      </c>
      <c r="G12" s="5" t="n">
        <f aca="false">MAX('Matrice des notes'!$N$6:$N$81)</f>
        <v>4</v>
      </c>
    </row>
    <row r="13" customFormat="false" ht="74.6" hidden="false" customHeight="false" outlineLevel="0" collapsed="false">
      <c r="A13" s="2" t="s">
        <v>43</v>
      </c>
      <c r="B13" s="3" t="s">
        <v>44</v>
      </c>
      <c r="C13" s="3" t="s">
        <v>45</v>
      </c>
      <c r="D13" s="4" t="s">
        <v>10</v>
      </c>
      <c r="E13" s="4" t="n">
        <v>29</v>
      </c>
      <c r="F13" s="3" t="str">
        <f aca="false">INDEX('Matrice des notes'!$B$6:$B$81,MATCH(G13,'Matrice des notes'!$O$6:$O$81,0))</f>
        <v>L-D01 · Sauternes Château Lange-Réglat (au verre)</v>
      </c>
      <c r="G13" s="5" t="n">
        <f aca="false">MAX('Matrice des notes'!$O$6:$O$81)</f>
        <v>5</v>
      </c>
    </row>
    <row r="14" customFormat="false" ht="85.05" hidden="false" customHeight="false" outlineLevel="0" collapsed="false">
      <c r="A14" s="2" t="s">
        <v>46</v>
      </c>
      <c r="B14" s="3" t="s">
        <v>47</v>
      </c>
      <c r="C14" s="3" t="s">
        <v>48</v>
      </c>
      <c r="D14" s="4" t="s">
        <v>10</v>
      </c>
      <c r="E14" s="4" t="n">
        <v>28</v>
      </c>
      <c r="F14" s="3" t="str">
        <f aca="false">INDEX('Matrice des notes'!$B$6:$B$81,MATCH(G14,'Matrice des notes'!$P$6:$P$81,0))</f>
        <v>L-B03 · Pouilly-Fumé de Ladoucette 2024</v>
      </c>
      <c r="G14" s="5" t="n">
        <f aca="false">MAX('Matrice des notes'!$P$6:$P$81)</f>
        <v>5</v>
      </c>
    </row>
    <row r="15" customFormat="false" ht="105.95" hidden="false" customHeight="false" outlineLevel="0" collapsed="false">
      <c r="A15" s="2" t="s">
        <v>49</v>
      </c>
      <c r="B15" s="3" t="s">
        <v>50</v>
      </c>
      <c r="C15" s="3" t="s">
        <v>51</v>
      </c>
      <c r="D15" s="4" t="s">
        <v>52</v>
      </c>
      <c r="E15" s="4" t="n">
        <v>36</v>
      </c>
      <c r="F15" s="3" t="str">
        <f aca="false">INDEX('Matrice des notes'!$B$6:$B$81,MATCH(G15,'Matrice des notes'!$Q$6:$Q$81,0))</f>
        <v>L-B01 · IGP Val de Loire Sauvignon Le Petit Bourgeois 2024</v>
      </c>
      <c r="G15" s="5" t="n">
        <f aca="false">MAX('Matrice des notes'!$Q$6:$Q$81)</f>
        <v>4</v>
      </c>
    </row>
    <row r="16" customFormat="false" ht="74.6" hidden="false" customHeight="false" outlineLevel="0" collapsed="false">
      <c r="A16" s="2" t="s">
        <v>53</v>
      </c>
      <c r="B16" s="3" t="s">
        <v>54</v>
      </c>
      <c r="C16" s="3" t="s">
        <v>55</v>
      </c>
      <c r="D16" s="4" t="s">
        <v>52</v>
      </c>
      <c r="E16" s="4" t="n">
        <v>37</v>
      </c>
      <c r="F16" s="3" t="str">
        <f aca="false">INDEX('Matrice des notes'!$B$6:$B$81,MATCH(G16,'Matrice des notes'!$R$6:$R$81,0))</f>
        <v>L-R01 · Chiroubles Domaine Piron 2024</v>
      </c>
      <c r="G16" s="5" t="n">
        <f aca="false">MAX('Matrice des notes'!$R$6:$R$81)</f>
        <v>5</v>
      </c>
    </row>
    <row r="17" customFormat="false" ht="105.95" hidden="false" customHeight="false" outlineLevel="0" collapsed="false">
      <c r="A17" s="2" t="s">
        <v>56</v>
      </c>
      <c r="B17" s="3" t="s">
        <v>57</v>
      </c>
      <c r="C17" s="3" t="s">
        <v>58</v>
      </c>
      <c r="D17" s="4" t="s">
        <v>52</v>
      </c>
      <c r="E17" s="4" t="n">
        <v>42</v>
      </c>
      <c r="F17" s="3" t="str">
        <f aca="false">INDEX('Matrice des notes'!$B$6:$B$81,MATCH(G17,'Matrice des notes'!$S$6:$S$81,0))</f>
        <v>L-B01 · IGP Val de Loire Sauvignon Le Petit Bourgeois 2024</v>
      </c>
      <c r="G17" s="5" t="n">
        <f aca="false">MAX('Matrice des notes'!$S$6:$S$81)</f>
        <v>4</v>
      </c>
    </row>
    <row r="18" customFormat="false" ht="95.5" hidden="false" customHeight="false" outlineLevel="0" collapsed="false">
      <c r="A18" s="2" t="s">
        <v>59</v>
      </c>
      <c r="B18" s="3" t="s">
        <v>60</v>
      </c>
      <c r="C18" s="3" t="s">
        <v>61</v>
      </c>
      <c r="D18" s="4" t="s">
        <v>52</v>
      </c>
      <c r="E18" s="4" t="n">
        <v>45</v>
      </c>
      <c r="F18" s="3" t="str">
        <f aca="false">INDEX('Matrice des notes'!$B$6:$B$81,MATCH(G18,'Matrice des notes'!$T$6:$T$81,0))</f>
        <v>L-B01 · IGP Val de Loire Sauvignon Le Petit Bourgeois 2024</v>
      </c>
      <c r="G18" s="5" t="n">
        <f aca="false">MAX('Matrice des notes'!$T$6:$T$81)</f>
        <v>5</v>
      </c>
    </row>
    <row r="19" customFormat="false" ht="95.5" hidden="false" customHeight="false" outlineLevel="0" collapsed="false">
      <c r="A19" s="2" t="s">
        <v>62</v>
      </c>
      <c r="B19" s="3" t="s">
        <v>63</v>
      </c>
      <c r="C19" s="3" t="s">
        <v>64</v>
      </c>
      <c r="D19" s="4" t="s">
        <v>52</v>
      </c>
      <c r="E19" s="4" t="n">
        <v>38</v>
      </c>
      <c r="F19" s="3" t="str">
        <f aca="false">INDEX('Matrice des notes'!$B$6:$B$81,MATCH(G19,'Matrice des notes'!$U$6:$U$81,0))</f>
        <v>L-B01 · IGP Val de Loire Sauvignon Le Petit Bourgeois 2024</v>
      </c>
      <c r="G19" s="5" t="n">
        <f aca="false">MAX('Matrice des notes'!$U$6:$U$81)</f>
        <v>4</v>
      </c>
    </row>
    <row r="20" customFormat="false" ht="74.6" hidden="false" customHeight="false" outlineLevel="0" collapsed="false">
      <c r="A20" s="2" t="s">
        <v>65</v>
      </c>
      <c r="B20" s="3" t="s">
        <v>66</v>
      </c>
      <c r="C20" s="3" t="s">
        <v>67</v>
      </c>
      <c r="D20" s="4" t="s">
        <v>52</v>
      </c>
      <c r="E20" s="4" t="n">
        <v>36</v>
      </c>
      <c r="F20" s="3" t="str">
        <f aca="false">INDEX('Matrice des notes'!$B$6:$B$81,MATCH(G20,'Matrice des notes'!$V$6:$V$81,0))</f>
        <v>L-B08 · Puligny-Montrachet 1er Cru Champ Gain 2019</v>
      </c>
      <c r="G20" s="5" t="n">
        <f aca="false">MAX('Matrice des notes'!$V$6:$V$81)</f>
        <v>5</v>
      </c>
    </row>
    <row r="21" customFormat="false" ht="85.05" hidden="false" customHeight="false" outlineLevel="0" collapsed="false">
      <c r="A21" s="2" t="s">
        <v>68</v>
      </c>
      <c r="B21" s="3" t="s">
        <v>69</v>
      </c>
      <c r="C21" s="3" t="s">
        <v>70</v>
      </c>
      <c r="D21" s="4" t="s">
        <v>52</v>
      </c>
      <c r="E21" s="4" t="n">
        <v>30</v>
      </c>
      <c r="F21" s="3" t="str">
        <f aca="false">INDEX('Matrice des notes'!$B$6:$B$81,MATCH(G21,'Matrice des notes'!$W$6:$W$81,0))</f>
        <v>L-B14 · Châteauneuf-du-Pape blanc Renaissance 2024</v>
      </c>
      <c r="G21" s="5" t="n">
        <f aca="false">MAX('Matrice des notes'!$W$6:$W$81)</f>
        <v>3</v>
      </c>
    </row>
    <row r="22" customFormat="false" ht="116.4" hidden="false" customHeight="false" outlineLevel="0" collapsed="false">
      <c r="A22" s="2" t="s">
        <v>71</v>
      </c>
      <c r="B22" s="3" t="s">
        <v>72</v>
      </c>
      <c r="C22" s="3" t="s">
        <v>73</v>
      </c>
      <c r="D22" s="4" t="s">
        <v>52</v>
      </c>
      <c r="E22" s="4" t="n">
        <v>26</v>
      </c>
      <c r="F22" s="3" t="str">
        <f aca="false">INDEX('Matrice des notes'!$B$6:$B$81,MATCH(G22,'Matrice des notes'!$X$6:$X$81,0))</f>
        <v>L-B01 · IGP Val de Loire Sauvignon Le Petit Bourgeois 2024</v>
      </c>
      <c r="G22" s="5" t="n">
        <f aca="false">MAX('Matrice des notes'!$X$6:$X$81)</f>
        <v>4</v>
      </c>
    </row>
    <row r="23" customFormat="false" ht="85.05" hidden="false" customHeight="false" outlineLevel="0" collapsed="false">
      <c r="A23" s="2" t="s">
        <v>74</v>
      </c>
      <c r="B23" s="3" t="s">
        <v>75</v>
      </c>
      <c r="C23" s="3" t="s">
        <v>76</v>
      </c>
      <c r="D23" s="4" t="s">
        <v>52</v>
      </c>
      <c r="E23" s="4" t="n">
        <v>39</v>
      </c>
      <c r="F23" s="3" t="str">
        <f aca="false">INDEX('Matrice des notes'!$B$6:$B$81,MATCH(G23,'Matrice des notes'!$Y$6:$Y$81,0))</f>
        <v>L-B08 · Puligny-Montrachet 1er Cru Champ Gain 2019</v>
      </c>
      <c r="G23" s="5" t="n">
        <f aca="false">MAX('Matrice des notes'!$Y$6:$Y$81)</f>
        <v>5</v>
      </c>
    </row>
    <row r="24" customFormat="false" ht="95.5" hidden="false" customHeight="false" outlineLevel="0" collapsed="false">
      <c r="A24" s="2" t="s">
        <v>77</v>
      </c>
      <c r="B24" s="3" t="s">
        <v>78</v>
      </c>
      <c r="C24" s="3" t="s">
        <v>79</v>
      </c>
      <c r="D24" s="4" t="s">
        <v>52</v>
      </c>
      <c r="E24" s="4" t="n">
        <v>39</v>
      </c>
      <c r="F24" s="3" t="str">
        <f aca="false">INDEX('Matrice des notes'!$B$6:$B$81,MATCH(G24,'Matrice des notes'!$Z$6:$Z$81,0))</f>
        <v>L-B03 · Pouilly-Fumé de Ladoucette 2024</v>
      </c>
      <c r="G24" s="5" t="n">
        <f aca="false">MAX('Matrice des notes'!$Z$6:$Z$81)</f>
        <v>5</v>
      </c>
    </row>
    <row r="25" customFormat="false" ht="74.6" hidden="false" customHeight="false" outlineLevel="0" collapsed="false">
      <c r="A25" s="2" t="s">
        <v>80</v>
      </c>
      <c r="B25" s="3" t="s">
        <v>81</v>
      </c>
      <c r="C25" s="3" t="s">
        <v>82</v>
      </c>
      <c r="D25" s="4" t="s">
        <v>52</v>
      </c>
      <c r="E25" s="4" t="n">
        <v>46</v>
      </c>
      <c r="F25" s="3" t="str">
        <f aca="false">INDEX('Matrice des notes'!$B$6:$B$81,MATCH(G25,'Matrice des notes'!$AA$6:$AA$81,0))</f>
        <v>L-R03 · Moulin-à-Vent Les Michelons 2014</v>
      </c>
      <c r="G25" s="5" t="n">
        <f aca="false">MAX('Matrice des notes'!$AA$6:$AA$81)</f>
        <v>5</v>
      </c>
    </row>
    <row r="26" customFormat="false" ht="95.5" hidden="false" customHeight="false" outlineLevel="0" collapsed="false">
      <c r="A26" s="2" t="s">
        <v>83</v>
      </c>
      <c r="B26" s="3" t="s">
        <v>84</v>
      </c>
      <c r="C26" s="3" t="s">
        <v>85</v>
      </c>
      <c r="D26" s="4" t="s">
        <v>52</v>
      </c>
      <c r="E26" s="4" t="n">
        <v>29</v>
      </c>
      <c r="F26" s="3" t="str">
        <f aca="false">INDEX('Matrice des notes'!$B$6:$B$81,MATCH(G26,'Matrice des notes'!$AB$6:$AB$81,0))</f>
        <v>L-R01 · Chiroubles Domaine Piron 2024</v>
      </c>
      <c r="G26" s="5" t="n">
        <f aca="false">MAX('Matrice des notes'!$AB$6:$AB$81)</f>
        <v>4</v>
      </c>
    </row>
    <row r="27" customFormat="false" ht="85.05" hidden="false" customHeight="false" outlineLevel="0" collapsed="false">
      <c r="A27" s="2" t="s">
        <v>86</v>
      </c>
      <c r="B27" s="3" t="s">
        <v>87</v>
      </c>
      <c r="C27" s="3" t="s">
        <v>88</v>
      </c>
      <c r="D27" s="4" t="s">
        <v>52</v>
      </c>
      <c r="E27" s="4" t="n">
        <v>44</v>
      </c>
      <c r="F27" s="3" t="str">
        <f aca="false">INDEX('Matrice des notes'!$B$6:$B$81,MATCH(G27,'Matrice des notes'!$AC$6:$AC$81,0))</f>
        <v>L-R03 · Moulin-à-Vent Les Michelons 2014</v>
      </c>
      <c r="G27" s="5" t="n">
        <f aca="false">MAX('Matrice des notes'!$AC$6:$AC$81)</f>
        <v>5</v>
      </c>
    </row>
    <row r="28" customFormat="false" ht="64.15" hidden="false" customHeight="false" outlineLevel="0" collapsed="false">
      <c r="A28" s="2" t="s">
        <v>89</v>
      </c>
      <c r="B28" s="3" t="s">
        <v>90</v>
      </c>
      <c r="C28" s="3" t="s">
        <v>91</v>
      </c>
      <c r="D28" s="4" t="s">
        <v>52</v>
      </c>
      <c r="E28" s="4" t="n">
        <v>44</v>
      </c>
      <c r="F28" s="3" t="str">
        <f aca="false">INDEX('Matrice des notes'!$B$6:$B$81,MATCH(G28,'Matrice des notes'!$AD$6:$AD$81,0))</f>
        <v>L-R03 · Moulin-à-Vent Les Michelons 2014</v>
      </c>
      <c r="G28" s="5" t="n">
        <f aca="false">MAX('Matrice des notes'!$AD$6:$AD$81)</f>
        <v>5</v>
      </c>
    </row>
    <row r="29" customFormat="false" ht="74.6" hidden="false" customHeight="false" outlineLevel="0" collapsed="false">
      <c r="A29" s="2" t="s">
        <v>92</v>
      </c>
      <c r="B29" s="3" t="s">
        <v>93</v>
      </c>
      <c r="C29" s="3" t="s">
        <v>94</v>
      </c>
      <c r="D29" s="4" t="s">
        <v>52</v>
      </c>
      <c r="E29" s="4" t="n">
        <v>44</v>
      </c>
      <c r="F29" s="3" t="str">
        <f aca="false">INDEX('Matrice des notes'!$B$6:$B$81,MATCH(G29,'Matrice des notes'!$AE$6:$AE$81,0))</f>
        <v>L-R01 · Chiroubles Domaine Piron 2024</v>
      </c>
      <c r="G29" s="5" t="n">
        <f aca="false">MAX('Matrice des notes'!$AE$6:$AE$81)</f>
        <v>4</v>
      </c>
    </row>
    <row r="30" customFormat="false" ht="74.6" hidden="false" customHeight="false" outlineLevel="0" collapsed="false">
      <c r="A30" s="2" t="s">
        <v>95</v>
      </c>
      <c r="B30" s="3" t="s">
        <v>96</v>
      </c>
      <c r="C30" s="3" t="s">
        <v>97</v>
      </c>
      <c r="D30" s="4" t="s">
        <v>98</v>
      </c>
      <c r="E30" s="4" t="n">
        <v>13</v>
      </c>
      <c r="F30" s="3" t="str">
        <f aca="false">INDEX('Matrice des notes'!$B$6:$B$81,MATCH(G30,'Matrice des notes'!$AF$6:$AF$81,0))</f>
        <v>L-D01 · Sauternes Château Lange-Réglat (au verre)</v>
      </c>
      <c r="G30" s="5" t="n">
        <f aca="false">MAX('Matrice des notes'!$AF$6:$AF$81)</f>
        <v>5</v>
      </c>
    </row>
    <row r="31" customFormat="false" ht="74.6" hidden="false" customHeight="false" outlineLevel="0" collapsed="false">
      <c r="A31" s="2" t="s">
        <v>99</v>
      </c>
      <c r="B31" s="3" t="s">
        <v>100</v>
      </c>
      <c r="C31" s="3" t="s">
        <v>101</v>
      </c>
      <c r="D31" s="4" t="s">
        <v>98</v>
      </c>
      <c r="E31" s="4" t="n">
        <v>13</v>
      </c>
      <c r="F31" s="3" t="str">
        <f aca="false">INDEX('Matrice des notes'!$B$6:$B$81,MATCH(G31,'Matrice des notes'!$AG$6:$AG$81,0))</f>
        <v>L-D01 · Sauternes Château Lange-Réglat (au verre)</v>
      </c>
      <c r="G31" s="5" t="n">
        <f aca="false">MAX('Matrice des notes'!$AG$6:$AG$81)</f>
        <v>2</v>
      </c>
    </row>
    <row r="32" customFormat="false" ht="74.6" hidden="false" customHeight="false" outlineLevel="0" collapsed="false">
      <c r="A32" s="2" t="s">
        <v>102</v>
      </c>
      <c r="B32" s="3" t="s">
        <v>100</v>
      </c>
      <c r="C32" s="3" t="s">
        <v>103</v>
      </c>
      <c r="D32" s="4" t="s">
        <v>98</v>
      </c>
      <c r="E32" s="4" t="n">
        <v>14</v>
      </c>
      <c r="F32" s="3" t="str">
        <f aca="false">INDEX('Matrice des notes'!$B$6:$B$81,MATCH(G32,'Matrice des notes'!$AH$6:$AH$81,0))</f>
        <v>L-D01 · Sauternes Château Lange-Réglat (au verre)</v>
      </c>
      <c r="G32" s="5" t="n">
        <f aca="false">MAX('Matrice des notes'!$AH$6:$AH$81)</f>
        <v>2</v>
      </c>
    </row>
    <row r="33" customFormat="false" ht="74.6" hidden="false" customHeight="false" outlineLevel="0" collapsed="false">
      <c r="A33" s="2" t="s">
        <v>104</v>
      </c>
      <c r="B33" s="3" t="s">
        <v>105</v>
      </c>
      <c r="C33" s="3" t="s">
        <v>106</v>
      </c>
      <c r="D33" s="4" t="s">
        <v>98</v>
      </c>
      <c r="E33" s="4" t="n">
        <v>12</v>
      </c>
      <c r="F33" s="3" t="str">
        <f aca="false">INDEX('Matrice des notes'!$B$6:$B$81,MATCH(G33,'Matrice des notes'!$AI$6:$AI$81,0))</f>
        <v>L-D01 · Sauternes Château Lange-Réglat (au verre)</v>
      </c>
      <c r="G33" s="5" t="n">
        <f aca="false">MAX('Matrice des notes'!$AI$6:$AI$81)</f>
        <v>2</v>
      </c>
    </row>
    <row r="34" customFormat="false" ht="74.6" hidden="false" customHeight="false" outlineLevel="0" collapsed="false">
      <c r="A34" s="2" t="s">
        <v>107</v>
      </c>
      <c r="B34" s="3" t="s">
        <v>108</v>
      </c>
      <c r="C34" s="3" t="s">
        <v>109</v>
      </c>
      <c r="D34" s="4" t="s">
        <v>98</v>
      </c>
      <c r="E34" s="4" t="n">
        <v>12</v>
      </c>
      <c r="F34" s="3" t="str">
        <f aca="false">INDEX('Matrice des notes'!$B$6:$B$81,MATCH(G34,'Matrice des notes'!$AJ$6:$AJ$81,0))</f>
        <v>L-D01 · Sauternes Château Lange-Réglat (au verre)</v>
      </c>
      <c r="G34" s="5" t="n">
        <f aca="false">MAX('Matrice des notes'!$AJ$6:$AJ$81)</f>
        <v>3</v>
      </c>
    </row>
    <row r="35" customFormat="false" ht="85.05" hidden="false" customHeight="false" outlineLevel="0" collapsed="false">
      <c r="A35" s="2" t="s">
        <v>110</v>
      </c>
      <c r="B35" s="3" t="s">
        <v>111</v>
      </c>
      <c r="C35" s="3" t="s">
        <v>112</v>
      </c>
      <c r="D35" s="4" t="s">
        <v>98</v>
      </c>
      <c r="E35" s="4" t="n">
        <v>13</v>
      </c>
      <c r="F35" s="3" t="str">
        <f aca="false">INDEX('Matrice des notes'!$B$6:$B$81,MATCH(G35,'Matrice des notes'!$AK$6:$AK$81,0))</f>
        <v>L-D01 · Sauternes Château Lange-Réglat (au verre)</v>
      </c>
      <c r="G35" s="5" t="n">
        <f aca="false">MAX('Matrice des notes'!$AK$6:$AK$81)</f>
        <v>4</v>
      </c>
    </row>
    <row r="36" customFormat="false" ht="74.6" hidden="false" customHeight="false" outlineLevel="0" collapsed="false">
      <c r="A36" s="2" t="s">
        <v>113</v>
      </c>
      <c r="B36" s="3" t="s">
        <v>114</v>
      </c>
      <c r="C36" s="3" t="s">
        <v>115</v>
      </c>
      <c r="D36" s="4" t="s">
        <v>98</v>
      </c>
      <c r="E36" s="4" t="n">
        <v>15</v>
      </c>
      <c r="F36" s="3" t="str">
        <f aca="false">INDEX('Matrice des notes'!$B$6:$B$81,MATCH(G36,'Matrice des notes'!$AL$6:$AL$81,0))</f>
        <v>L-D01 · Sauternes Château Lange-Réglat (au verre)</v>
      </c>
      <c r="G36" s="5" t="n">
        <f aca="false">MAX('Matrice des notes'!$AL$6:$AL$81)</f>
        <v>4</v>
      </c>
    </row>
    <row r="37" customFormat="false" ht="74.6" hidden="false" customHeight="false" outlineLevel="0" collapsed="false">
      <c r="A37" s="2" t="s">
        <v>116</v>
      </c>
      <c r="B37" s="3" t="s">
        <v>117</v>
      </c>
      <c r="C37" s="3" t="s">
        <v>118</v>
      </c>
      <c r="D37" s="4" t="s">
        <v>98</v>
      </c>
      <c r="E37" s="4" t="n">
        <v>14</v>
      </c>
      <c r="F37" s="3" t="str">
        <f aca="false">INDEX('Matrice des notes'!$B$6:$B$81,MATCH(G37,'Matrice des notes'!$AM$6:$AM$81,0))</f>
        <v>L-D01 · Sauternes Château Lange-Réglat (au verre)</v>
      </c>
      <c r="G37" s="5" t="n">
        <f aca="false">MAX('Matrice des notes'!$AM$6:$AM$81)</f>
        <v>2</v>
      </c>
    </row>
    <row r="38" customFormat="false" ht="64.15" hidden="false" customHeight="false" outlineLevel="0" collapsed="false">
      <c r="A38" s="2" t="s">
        <v>119</v>
      </c>
      <c r="B38" s="3" t="s">
        <v>96</v>
      </c>
      <c r="C38" s="3" t="s">
        <v>120</v>
      </c>
      <c r="D38" s="4" t="s">
        <v>98</v>
      </c>
      <c r="E38" s="4" t="n">
        <v>16</v>
      </c>
      <c r="F38" s="3" t="str">
        <f aca="false">INDEX('Matrice des notes'!$B$6:$B$81,MATCH(G38,'Matrice des notes'!$AN$6:$AN$81,0))</f>
        <v>L-D01 · Sauternes Château Lange-Réglat (au verre)</v>
      </c>
      <c r="G38" s="5" t="n">
        <f aca="false">MAX('Matrice des notes'!$AN$6:$AN$81)</f>
        <v>4</v>
      </c>
    </row>
    <row r="39" customFormat="false" ht="85.05" hidden="false" customHeight="false" outlineLevel="0" collapsed="false">
      <c r="A39" s="2" t="s">
        <v>121</v>
      </c>
      <c r="B39" s="3" t="s">
        <v>122</v>
      </c>
      <c r="C39" s="3" t="s">
        <v>123</v>
      </c>
      <c r="D39" s="4" t="s">
        <v>98</v>
      </c>
      <c r="E39" s="4" t="n">
        <v>15</v>
      </c>
      <c r="F39" s="3" t="str">
        <f aca="false">INDEX('Matrice des notes'!$B$6:$B$81,MATCH(G39,'Matrice des notes'!$AO$6:$AO$81,0))</f>
        <v>L-E01 · Valdobbiadene Prosecco Superiore Col de l'Utia NM</v>
      </c>
      <c r="G39" s="5" t="n">
        <f aca="false">MAX('Matrice des notes'!$AO$6:$AO$81)</f>
        <v>2</v>
      </c>
    </row>
    <row r="40" customFormat="false" ht="95.5" hidden="false" customHeight="false" outlineLevel="0" collapsed="false">
      <c r="A40" s="2" t="s">
        <v>124</v>
      </c>
      <c r="B40" s="3" t="s">
        <v>125</v>
      </c>
      <c r="C40" s="3" t="s">
        <v>126</v>
      </c>
      <c r="D40" s="4" t="s">
        <v>98</v>
      </c>
      <c r="E40" s="4" t="n">
        <v>15</v>
      </c>
      <c r="F40" s="3" t="str">
        <f aca="false">INDEX('Matrice des notes'!$B$6:$B$81,MATCH(G40,'Matrice des notes'!$AP$6:$AP$81,0))</f>
        <v>L-B20 · Bierzo La del Vivo 2023</v>
      </c>
      <c r="G40" s="5" t="n">
        <f aca="false">MAX('Matrice des notes'!$AP$6:$AP$81)</f>
        <v>4</v>
      </c>
    </row>
  </sheetData>
  <conditionalFormatting sqref="G2:G40">
    <cfRule type="cellIs" priority="2" operator="equal" aboveAverage="0" equalAverage="0" bottom="0" percent="0" rank="0" text="" dxfId="0">
      <formula>1</formula>
    </cfRule>
    <cfRule type="cellIs" priority="3" operator="equal" aboveAverage="0" equalAverage="0" bottom="0" percent="0" rank="0" text="" dxfId="1">
      <formula>2</formula>
    </cfRule>
    <cfRule type="cellIs" priority="4" operator="equal" aboveAverage="0" equalAverage="0" bottom="0" percent="0" rank="0" text="" dxfId="2">
      <formula>3</formula>
    </cfRule>
    <cfRule type="cellIs" priority="5" operator="equal" aboveAverage="0" equalAverage="0" bottom="0" percent="0" rank="0" text="" dxfId="3">
      <formula>4</formula>
    </cfRule>
    <cfRule type="cellIs" priority="6" operator="equal" aboveAverage="0" equalAverage="0" bottom="0" percent="0" rank="0" text="" dxfId="4">
      <formula>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7.35" hidden="false" customHeight="false" outlineLevel="0" collapsed="false">
      <c r="A1" s="6" t="s">
        <v>127</v>
      </c>
    </row>
    <row r="2" customFormat="false" ht="15" hidden="false" customHeight="false" outlineLevel="0" collapsed="false">
      <c r="A2" s="7" t="s">
        <v>128</v>
      </c>
    </row>
    <row r="4" customFormat="false" ht="15" hidden="false" customHeight="false" outlineLevel="0" collapsed="false">
      <c r="A4" s="1" t="s">
        <v>129</v>
      </c>
      <c r="B4" s="1" t="s">
        <v>130</v>
      </c>
    </row>
    <row r="5" customFormat="false" ht="15" hidden="false" customHeight="false" outlineLevel="0" collapsed="false">
      <c r="A5" s="8" t="s">
        <v>131</v>
      </c>
      <c r="B5" s="2" t="s">
        <v>132</v>
      </c>
    </row>
    <row r="6" customFormat="false" ht="15" hidden="false" customHeight="false" outlineLevel="0" collapsed="false">
      <c r="A6" s="8" t="s">
        <v>133</v>
      </c>
      <c r="B6" s="2" t="s">
        <v>134</v>
      </c>
    </row>
    <row r="7" customFormat="false" ht="23.85" hidden="false" customHeight="false" outlineLevel="0" collapsed="false">
      <c r="A7" s="8" t="s">
        <v>135</v>
      </c>
      <c r="B7" s="2" t="s">
        <v>136</v>
      </c>
    </row>
    <row r="8" customFormat="false" ht="23.85" hidden="false" customHeight="false" outlineLevel="0" collapsed="false">
      <c r="A8" s="8" t="s">
        <v>137</v>
      </c>
      <c r="B8" s="2" t="s">
        <v>138</v>
      </c>
    </row>
    <row r="9" customFormat="false" ht="35.05" hidden="false" customHeight="false" outlineLevel="0" collapsed="false">
      <c r="A9" s="8" t="s">
        <v>139</v>
      </c>
      <c r="B9" s="2" t="s">
        <v>140</v>
      </c>
    </row>
    <row r="10" customFormat="false" ht="23.85" hidden="false" customHeight="false" outlineLevel="0" collapsed="false">
      <c r="A10" s="8" t="s">
        <v>141</v>
      </c>
      <c r="B10" s="2" t="s">
        <v>142</v>
      </c>
    </row>
    <row r="11" customFormat="false" ht="35.05" hidden="false" customHeight="false" outlineLevel="0" collapsed="false">
      <c r="A11" s="8" t="s">
        <v>143</v>
      </c>
      <c r="B11" s="2" t="s">
        <v>144</v>
      </c>
    </row>
    <row r="12" customFormat="false" ht="23.85" hidden="false" customHeight="false" outlineLevel="0" collapsed="false">
      <c r="A12" s="8" t="s">
        <v>145</v>
      </c>
      <c r="B12" s="2" t="s">
        <v>146</v>
      </c>
    </row>
    <row r="13" customFormat="false" ht="35.05" hidden="false" customHeight="false" outlineLevel="0" collapsed="false">
      <c r="A13" s="8" t="s">
        <v>147</v>
      </c>
      <c r="B13" s="2" t="s">
        <v>148</v>
      </c>
    </row>
    <row r="14" customFormat="false" ht="15" hidden="false" customHeight="false" outlineLevel="0" collapsed="false">
      <c r="A14" s="8" t="s">
        <v>149</v>
      </c>
      <c r="B14" s="2" t="s">
        <v>150</v>
      </c>
    </row>
    <row r="15" customFormat="false" ht="15" hidden="false" customHeight="false" outlineLevel="0" collapsed="false">
      <c r="A15" s="8" t="s">
        <v>151</v>
      </c>
      <c r="B15" s="2" t="s">
        <v>152</v>
      </c>
    </row>
    <row r="16" customFormat="false" ht="15" hidden="false" customHeight="false" outlineLevel="0" collapsed="false">
      <c r="A16" s="8" t="s">
        <v>153</v>
      </c>
      <c r="B16" s="2" t="s">
        <v>154</v>
      </c>
    </row>
    <row r="17" customFormat="false" ht="15" hidden="false" customHeight="false" outlineLevel="0" collapsed="false">
      <c r="A17" s="8" t="s">
        <v>155</v>
      </c>
      <c r="B17" s="2" t="s">
        <v>156</v>
      </c>
    </row>
    <row r="18" customFormat="false" ht="23.85" hidden="false" customHeight="false" outlineLevel="0" collapsed="false">
      <c r="A18" s="8" t="s">
        <v>157</v>
      </c>
      <c r="B18" s="2" t="s">
        <v>158</v>
      </c>
    </row>
    <row r="19" customFormat="false" ht="23.85" hidden="false" customHeight="false" outlineLevel="0" collapsed="false">
      <c r="A19" s="8" t="s">
        <v>159</v>
      </c>
      <c r="B19" s="2" t="s">
        <v>160</v>
      </c>
    </row>
    <row r="20" customFormat="false" ht="23.85" hidden="false" customHeight="false" outlineLevel="0" collapsed="false">
      <c r="A20" s="8" t="s">
        <v>161</v>
      </c>
      <c r="B20" s="2" t="s">
        <v>162</v>
      </c>
    </row>
    <row r="21" customFormat="false" ht="35.05" hidden="false" customHeight="false" outlineLevel="0" collapsed="false">
      <c r="A21" s="8" t="s">
        <v>163</v>
      </c>
      <c r="B21" s="2" t="s">
        <v>164</v>
      </c>
    </row>
    <row r="22" customFormat="false" ht="57.45" hidden="false" customHeight="false" outlineLevel="0" collapsed="false">
      <c r="A22" s="8" t="s">
        <v>165</v>
      </c>
      <c r="B22" s="2" t="s">
        <v>166</v>
      </c>
    </row>
    <row r="23" customFormat="false" ht="35.05" hidden="false" customHeight="false" outlineLevel="0" collapsed="false">
      <c r="A23" s="8" t="s">
        <v>167</v>
      </c>
      <c r="B23" s="2" t="s">
        <v>168</v>
      </c>
    </row>
    <row r="24" customFormat="false" ht="91" hidden="false" customHeight="false" outlineLevel="0" collapsed="false">
      <c r="A24" s="8" t="s">
        <v>169</v>
      </c>
      <c r="B24" s="2" t="s">
        <v>170</v>
      </c>
    </row>
    <row r="25" customFormat="false" ht="124.6" hidden="false" customHeight="false" outlineLevel="0" collapsed="false">
      <c r="A25" s="8" t="s">
        <v>171</v>
      </c>
      <c r="B25" s="2" t="s">
        <v>172</v>
      </c>
    </row>
    <row r="26" customFormat="false" ht="79.85" hidden="false" customHeight="false" outlineLevel="0" collapsed="false">
      <c r="A26" s="8" t="s">
        <v>173</v>
      </c>
      <c r="B26" s="2"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8"/>
    <col collapsed="false" customWidth="true" hidden="false" outlineLevel="0" max="42" min="4" style="0" width="7"/>
    <col collapsed="false" customWidth="true" hidden="false" outlineLevel="0" max="43" min="43" style="0" width="11"/>
  </cols>
  <sheetData>
    <row r="1" customFormat="false" ht="17.35" hidden="false" customHeight="false" outlineLevel="0" collapsed="false">
      <c r="A1" s="6" t="s">
        <v>175</v>
      </c>
    </row>
    <row r="2" customFormat="false" ht="15" hidden="false" customHeight="false" outlineLevel="0" collapsed="false">
      <c r="A2" s="7" t="s">
        <v>176</v>
      </c>
    </row>
    <row r="3" customFormat="false" ht="15" hidden="false" customHeight="false" outlineLevel="0" collapsed="false">
      <c r="A3" s="7" t="s">
        <v>177</v>
      </c>
    </row>
    <row r="4" customFormat="false" ht="15" hidden="false" customHeight="true" outlineLevel="0" collapsed="false">
      <c r="A4" s="1"/>
      <c r="B4" s="1"/>
      <c r="C4" s="1"/>
      <c r="D4" s="9" t="s">
        <v>178</v>
      </c>
      <c r="E4" s="9"/>
      <c r="F4" s="9"/>
      <c r="G4" s="9"/>
      <c r="H4" s="9"/>
      <c r="I4" s="9"/>
      <c r="J4" s="9"/>
      <c r="K4" s="9"/>
      <c r="L4" s="9"/>
      <c r="M4" s="9"/>
      <c r="N4" s="9"/>
      <c r="O4" s="9"/>
      <c r="P4" s="9"/>
      <c r="Q4" s="9" t="s">
        <v>179</v>
      </c>
      <c r="R4" s="9"/>
      <c r="S4" s="9"/>
      <c r="T4" s="9"/>
      <c r="U4" s="9"/>
      <c r="V4" s="9"/>
      <c r="W4" s="9"/>
      <c r="X4" s="9"/>
      <c r="Y4" s="9"/>
      <c r="Z4" s="9"/>
      <c r="AA4" s="9"/>
      <c r="AB4" s="9"/>
      <c r="AC4" s="9"/>
      <c r="AD4" s="9"/>
      <c r="AE4" s="9"/>
      <c r="AF4" s="9" t="s">
        <v>180</v>
      </c>
      <c r="AG4" s="9"/>
      <c r="AH4" s="9"/>
      <c r="AI4" s="9"/>
      <c r="AJ4" s="9"/>
      <c r="AK4" s="9"/>
      <c r="AL4" s="9"/>
      <c r="AM4" s="9"/>
      <c r="AN4" s="9"/>
      <c r="AO4" s="9"/>
      <c r="AP4" s="9"/>
      <c r="AQ4" s="1"/>
    </row>
    <row r="5" customFormat="false" ht="120" hidden="false" customHeight="true" outlineLevel="0" collapsed="false">
      <c r="A5" s="1" t="s">
        <v>181</v>
      </c>
      <c r="B5" s="1" t="s">
        <v>182</v>
      </c>
      <c r="C5" s="1" t="s">
        <v>4</v>
      </c>
      <c r="D5" s="1" t="s">
        <v>7</v>
      </c>
      <c r="E5" s="1" t="s">
        <v>11</v>
      </c>
      <c r="F5" s="1" t="s">
        <v>14</v>
      </c>
      <c r="G5" s="1" t="s">
        <v>17</v>
      </c>
      <c r="H5" s="1" t="s">
        <v>20</v>
      </c>
      <c r="I5" s="1" t="s">
        <v>23</v>
      </c>
      <c r="J5" s="1" t="s">
        <v>26</v>
      </c>
      <c r="K5" s="1" t="s">
        <v>30</v>
      </c>
      <c r="L5" s="1" t="s">
        <v>34</v>
      </c>
      <c r="M5" s="1" t="s">
        <v>37</v>
      </c>
      <c r="N5" s="1" t="s">
        <v>40</v>
      </c>
      <c r="O5" s="1" t="s">
        <v>43</v>
      </c>
      <c r="P5" s="1" t="s">
        <v>46</v>
      </c>
      <c r="Q5" s="1" t="s">
        <v>49</v>
      </c>
      <c r="R5" s="1" t="s">
        <v>53</v>
      </c>
      <c r="S5" s="1" t="s">
        <v>56</v>
      </c>
      <c r="T5" s="1" t="s">
        <v>59</v>
      </c>
      <c r="U5" s="1" t="s">
        <v>62</v>
      </c>
      <c r="V5" s="1" t="s">
        <v>65</v>
      </c>
      <c r="W5" s="1" t="s">
        <v>68</v>
      </c>
      <c r="X5" s="1" t="s">
        <v>71</v>
      </c>
      <c r="Y5" s="1" t="s">
        <v>74</v>
      </c>
      <c r="Z5" s="1" t="s">
        <v>77</v>
      </c>
      <c r="AA5" s="1" t="s">
        <v>80</v>
      </c>
      <c r="AB5" s="1" t="s">
        <v>83</v>
      </c>
      <c r="AC5" s="1" t="s">
        <v>86</v>
      </c>
      <c r="AD5" s="1" t="s">
        <v>89</v>
      </c>
      <c r="AE5" s="1" t="s">
        <v>92</v>
      </c>
      <c r="AF5" s="1" t="s">
        <v>95</v>
      </c>
      <c r="AG5" s="1" t="s">
        <v>99</v>
      </c>
      <c r="AH5" s="1" t="s">
        <v>102</v>
      </c>
      <c r="AI5" s="1" t="s">
        <v>104</v>
      </c>
      <c r="AJ5" s="1" t="s">
        <v>107</v>
      </c>
      <c r="AK5" s="1" t="s">
        <v>110</v>
      </c>
      <c r="AL5" s="1" t="s">
        <v>113</v>
      </c>
      <c r="AM5" s="1" t="s">
        <v>116</v>
      </c>
      <c r="AN5" s="1" t="s">
        <v>119</v>
      </c>
      <c r="AO5" s="1" t="s">
        <v>121</v>
      </c>
      <c r="AP5" s="1" t="s">
        <v>124</v>
      </c>
      <c r="AQ5" s="1" t="s">
        <v>183</v>
      </c>
    </row>
    <row r="6" customFormat="false" ht="15" hidden="false" customHeight="false" outlineLevel="0" collapsed="false">
      <c r="A6" s="10" t="s">
        <v>184</v>
      </c>
      <c r="B6" s="10" t="s">
        <v>185</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row>
    <row r="7" customFormat="false" ht="23.85" hidden="false" customHeight="false" outlineLevel="0" collapsed="false">
      <c r="A7" s="12" t="s">
        <v>184</v>
      </c>
      <c r="B7" s="13" t="s">
        <v>186</v>
      </c>
      <c r="C7" s="14" t="n">
        <v>38</v>
      </c>
      <c r="D7" s="15" t="n">
        <v>3</v>
      </c>
      <c r="E7" s="15" t="n">
        <v>4</v>
      </c>
      <c r="F7" s="15" t="n">
        <v>4</v>
      </c>
      <c r="G7" s="15" t="n">
        <v>4</v>
      </c>
      <c r="H7" s="15" t="n">
        <v>4</v>
      </c>
      <c r="I7" s="15" t="n">
        <v>5</v>
      </c>
      <c r="J7" s="15" t="n">
        <v>4</v>
      </c>
      <c r="K7" s="15" t="n">
        <v>4</v>
      </c>
      <c r="L7" s="15" t="n">
        <v>4</v>
      </c>
      <c r="M7" s="15" t="n">
        <v>2</v>
      </c>
      <c r="N7" s="15" t="n">
        <v>4</v>
      </c>
      <c r="O7" s="15" t="n">
        <v>2</v>
      </c>
      <c r="P7" s="15" t="n">
        <v>3</v>
      </c>
      <c r="Q7" s="15" t="n">
        <v>4</v>
      </c>
      <c r="R7" s="15" t="n">
        <v>4</v>
      </c>
      <c r="S7" s="15" t="n">
        <v>4</v>
      </c>
      <c r="T7" s="15" t="n">
        <v>5</v>
      </c>
      <c r="U7" s="15" t="n">
        <v>4</v>
      </c>
      <c r="V7" s="15" t="n">
        <v>3</v>
      </c>
      <c r="W7" s="15" t="n">
        <v>2</v>
      </c>
      <c r="X7" s="15" t="n">
        <v>4</v>
      </c>
      <c r="Y7" s="15" t="n">
        <v>3</v>
      </c>
      <c r="Z7" s="15" t="n">
        <v>3</v>
      </c>
      <c r="AA7" s="15" t="n">
        <v>3</v>
      </c>
      <c r="AB7" s="15" t="n">
        <v>3</v>
      </c>
      <c r="AC7" s="15" t="n">
        <v>2</v>
      </c>
      <c r="AD7" s="15" t="n">
        <v>3</v>
      </c>
      <c r="AE7" s="15" t="n">
        <v>2</v>
      </c>
      <c r="AF7" s="15" t="n">
        <v>1</v>
      </c>
      <c r="AG7" s="15" t="n">
        <v>1</v>
      </c>
      <c r="AH7" s="15" t="n">
        <v>1</v>
      </c>
      <c r="AI7" s="15" t="n">
        <v>1</v>
      </c>
      <c r="AJ7" s="15" t="n">
        <v>1</v>
      </c>
      <c r="AK7" s="15" t="n">
        <v>1</v>
      </c>
      <c r="AL7" s="15" t="n">
        <v>1</v>
      </c>
      <c r="AM7" s="15" t="n">
        <v>1</v>
      </c>
      <c r="AN7" s="15" t="n">
        <v>1</v>
      </c>
      <c r="AO7" s="15" t="n">
        <v>1</v>
      </c>
      <c r="AP7" s="15" t="n">
        <v>3</v>
      </c>
      <c r="AQ7" s="16" t="n">
        <f aca="false">AVERAGE(D7:AP7)</f>
        <v>2.79487179487179</v>
      </c>
    </row>
    <row r="8" customFormat="false" ht="15" hidden="false" customHeight="false" outlineLevel="0" collapsed="false">
      <c r="A8" s="12" t="s">
        <v>184</v>
      </c>
      <c r="B8" s="13" t="s">
        <v>187</v>
      </c>
      <c r="C8" s="14" t="n">
        <v>58</v>
      </c>
      <c r="D8" s="15" t="n">
        <v>3</v>
      </c>
      <c r="E8" s="15" t="n">
        <v>4</v>
      </c>
      <c r="F8" s="15" t="n">
        <v>4</v>
      </c>
      <c r="G8" s="15" t="n">
        <v>4</v>
      </c>
      <c r="H8" s="15" t="n">
        <v>4</v>
      </c>
      <c r="I8" s="15" t="n">
        <v>5</v>
      </c>
      <c r="J8" s="15" t="n">
        <v>4</v>
      </c>
      <c r="K8" s="15" t="n">
        <v>4</v>
      </c>
      <c r="L8" s="15" t="n">
        <v>4</v>
      </c>
      <c r="M8" s="15" t="n">
        <v>2</v>
      </c>
      <c r="N8" s="15" t="n">
        <v>4</v>
      </c>
      <c r="O8" s="15" t="n">
        <v>2</v>
      </c>
      <c r="P8" s="15" t="n">
        <v>4</v>
      </c>
      <c r="Q8" s="15" t="n">
        <v>4</v>
      </c>
      <c r="R8" s="15" t="n">
        <v>4</v>
      </c>
      <c r="S8" s="15" t="n">
        <v>4</v>
      </c>
      <c r="T8" s="15" t="n">
        <v>5</v>
      </c>
      <c r="U8" s="15" t="n">
        <v>4</v>
      </c>
      <c r="V8" s="15" t="n">
        <v>4</v>
      </c>
      <c r="W8" s="15" t="n">
        <v>2</v>
      </c>
      <c r="X8" s="15" t="n">
        <v>4</v>
      </c>
      <c r="Y8" s="15" t="n">
        <v>4</v>
      </c>
      <c r="Z8" s="15" t="n">
        <v>4</v>
      </c>
      <c r="AA8" s="15" t="n">
        <v>4</v>
      </c>
      <c r="AB8" s="15" t="n">
        <v>3</v>
      </c>
      <c r="AC8" s="15" t="n">
        <v>2</v>
      </c>
      <c r="AD8" s="15" t="n">
        <v>3</v>
      </c>
      <c r="AE8" s="15" t="n">
        <v>2</v>
      </c>
      <c r="AF8" s="15" t="n">
        <v>1</v>
      </c>
      <c r="AG8" s="15" t="n">
        <v>1</v>
      </c>
      <c r="AH8" s="15" t="n">
        <v>1</v>
      </c>
      <c r="AI8" s="15" t="n">
        <v>1</v>
      </c>
      <c r="AJ8" s="15" t="n">
        <v>1</v>
      </c>
      <c r="AK8" s="15" t="n">
        <v>1</v>
      </c>
      <c r="AL8" s="15" t="n">
        <v>1</v>
      </c>
      <c r="AM8" s="15" t="n">
        <v>1</v>
      </c>
      <c r="AN8" s="15" t="n">
        <v>1</v>
      </c>
      <c r="AO8" s="15" t="n">
        <v>1</v>
      </c>
      <c r="AP8" s="15" t="n">
        <v>3</v>
      </c>
      <c r="AQ8" s="16" t="n">
        <f aca="false">AVERAGE(D8:AP8)</f>
        <v>2.92307692307692</v>
      </c>
    </row>
    <row r="9" customFormat="false" ht="15" hidden="false" customHeight="false" outlineLevel="0" collapsed="false">
      <c r="A9" s="12" t="s">
        <v>184</v>
      </c>
      <c r="B9" s="13" t="s">
        <v>188</v>
      </c>
      <c r="C9" s="14" t="n">
        <v>80</v>
      </c>
      <c r="D9" s="15" t="n">
        <v>3</v>
      </c>
      <c r="E9" s="15" t="n">
        <v>4</v>
      </c>
      <c r="F9" s="15" t="n">
        <v>4</v>
      </c>
      <c r="G9" s="15" t="n">
        <v>5</v>
      </c>
      <c r="H9" s="15" t="n">
        <v>4</v>
      </c>
      <c r="I9" s="15" t="n">
        <v>5</v>
      </c>
      <c r="J9" s="15" t="n">
        <v>4</v>
      </c>
      <c r="K9" s="15" t="n">
        <v>4</v>
      </c>
      <c r="L9" s="15" t="n">
        <v>4</v>
      </c>
      <c r="M9" s="15" t="n">
        <v>2</v>
      </c>
      <c r="N9" s="15" t="n">
        <v>4</v>
      </c>
      <c r="O9" s="15" t="n">
        <v>2</v>
      </c>
      <c r="P9" s="15" t="n">
        <v>5</v>
      </c>
      <c r="Q9" s="15" t="n">
        <v>4</v>
      </c>
      <c r="R9" s="15" t="n">
        <v>4</v>
      </c>
      <c r="S9" s="15" t="n">
        <v>4</v>
      </c>
      <c r="T9" s="15" t="n">
        <v>5</v>
      </c>
      <c r="U9" s="15" t="n">
        <v>4</v>
      </c>
      <c r="V9" s="15" t="n">
        <v>4</v>
      </c>
      <c r="W9" s="15" t="n">
        <v>2</v>
      </c>
      <c r="X9" s="15" t="n">
        <v>4</v>
      </c>
      <c r="Y9" s="15" t="n">
        <v>4</v>
      </c>
      <c r="Z9" s="15" t="n">
        <v>5</v>
      </c>
      <c r="AA9" s="15" t="n">
        <v>4</v>
      </c>
      <c r="AB9" s="15" t="n">
        <v>3</v>
      </c>
      <c r="AC9" s="15" t="n">
        <v>2</v>
      </c>
      <c r="AD9" s="15" t="n">
        <v>3</v>
      </c>
      <c r="AE9" s="15" t="n">
        <v>2</v>
      </c>
      <c r="AF9" s="15" t="n">
        <v>1</v>
      </c>
      <c r="AG9" s="15" t="n">
        <v>1</v>
      </c>
      <c r="AH9" s="15" t="n">
        <v>1</v>
      </c>
      <c r="AI9" s="15" t="n">
        <v>1</v>
      </c>
      <c r="AJ9" s="15" t="n">
        <v>1</v>
      </c>
      <c r="AK9" s="15" t="n">
        <v>1</v>
      </c>
      <c r="AL9" s="15" t="n">
        <v>1</v>
      </c>
      <c r="AM9" s="15" t="n">
        <v>1</v>
      </c>
      <c r="AN9" s="15" t="n">
        <v>1</v>
      </c>
      <c r="AO9" s="15" t="n">
        <v>1</v>
      </c>
      <c r="AP9" s="15" t="n">
        <v>3</v>
      </c>
      <c r="AQ9" s="16" t="n">
        <f aca="false">AVERAGE(D9:AP9)</f>
        <v>3</v>
      </c>
    </row>
    <row r="10" customFormat="false" ht="23.85" hidden="false" customHeight="false" outlineLevel="0" collapsed="false">
      <c r="A10" s="12" t="s">
        <v>184</v>
      </c>
      <c r="B10" s="13" t="s">
        <v>189</v>
      </c>
      <c r="C10" s="14" t="n">
        <v>120</v>
      </c>
      <c r="D10" s="15" t="n">
        <v>2</v>
      </c>
      <c r="E10" s="15" t="n">
        <v>2</v>
      </c>
      <c r="F10" s="15" t="n">
        <v>2</v>
      </c>
      <c r="G10" s="15" t="n">
        <v>2</v>
      </c>
      <c r="H10" s="15" t="n">
        <v>2</v>
      </c>
      <c r="I10" s="15" t="n">
        <v>2</v>
      </c>
      <c r="J10" s="15" t="n">
        <v>2</v>
      </c>
      <c r="K10" s="15" t="n">
        <v>2</v>
      </c>
      <c r="L10" s="15" t="n">
        <v>3</v>
      </c>
      <c r="M10" s="15" t="n">
        <v>1</v>
      </c>
      <c r="N10" s="15" t="n">
        <v>2</v>
      </c>
      <c r="O10" s="15" t="n">
        <v>2</v>
      </c>
      <c r="P10" s="15" t="n">
        <v>3</v>
      </c>
      <c r="Q10" s="15" t="n">
        <v>3</v>
      </c>
      <c r="R10" s="15" t="n">
        <v>3</v>
      </c>
      <c r="S10" s="15" t="n">
        <v>3</v>
      </c>
      <c r="T10" s="15" t="n">
        <v>2</v>
      </c>
      <c r="U10" s="15" t="n">
        <v>2</v>
      </c>
      <c r="V10" s="15" t="n">
        <v>4</v>
      </c>
      <c r="W10" s="15" t="n">
        <v>2</v>
      </c>
      <c r="X10" s="15" t="n">
        <v>3</v>
      </c>
      <c r="Y10" s="15" t="n">
        <v>4</v>
      </c>
      <c r="Z10" s="15" t="n">
        <v>3</v>
      </c>
      <c r="AA10" s="15" t="n">
        <v>4</v>
      </c>
      <c r="AB10" s="15" t="n">
        <v>3</v>
      </c>
      <c r="AC10" s="15" t="n">
        <v>2</v>
      </c>
      <c r="AD10" s="15" t="n">
        <v>3</v>
      </c>
      <c r="AE10" s="15" t="n">
        <v>2</v>
      </c>
      <c r="AF10" s="15" t="n">
        <v>1</v>
      </c>
      <c r="AG10" s="15" t="n">
        <v>1</v>
      </c>
      <c r="AH10" s="15" t="n">
        <v>1</v>
      </c>
      <c r="AI10" s="15" t="n">
        <v>1</v>
      </c>
      <c r="AJ10" s="15" t="n">
        <v>1</v>
      </c>
      <c r="AK10" s="15" t="n">
        <v>1</v>
      </c>
      <c r="AL10" s="15" t="n">
        <v>1</v>
      </c>
      <c r="AM10" s="15" t="n">
        <v>1</v>
      </c>
      <c r="AN10" s="15" t="n">
        <v>1</v>
      </c>
      <c r="AO10" s="15" t="n">
        <v>1</v>
      </c>
      <c r="AP10" s="15" t="n">
        <v>3</v>
      </c>
      <c r="AQ10" s="16" t="n">
        <f aca="false">AVERAGE(D10:AP10)</f>
        <v>2.12820512820513</v>
      </c>
    </row>
    <row r="11" customFormat="false" ht="15" hidden="false" customHeight="false" outlineLevel="0" collapsed="false">
      <c r="A11" s="12" t="s">
        <v>184</v>
      </c>
      <c r="B11" s="13" t="s">
        <v>190</v>
      </c>
      <c r="C11" s="14" t="n">
        <v>46</v>
      </c>
      <c r="D11" s="15" t="n">
        <v>3</v>
      </c>
      <c r="E11" s="15" t="n">
        <v>4</v>
      </c>
      <c r="F11" s="15" t="n">
        <v>4</v>
      </c>
      <c r="G11" s="15" t="n">
        <v>5</v>
      </c>
      <c r="H11" s="15" t="n">
        <v>4</v>
      </c>
      <c r="I11" s="15" t="n">
        <v>5</v>
      </c>
      <c r="J11" s="15" t="n">
        <v>4</v>
      </c>
      <c r="K11" s="15" t="n">
        <v>4</v>
      </c>
      <c r="L11" s="15" t="n">
        <v>5</v>
      </c>
      <c r="M11" s="15" t="n">
        <v>2</v>
      </c>
      <c r="N11" s="15" t="n">
        <v>4</v>
      </c>
      <c r="O11" s="15" t="n">
        <v>2</v>
      </c>
      <c r="P11" s="15" t="n">
        <v>4</v>
      </c>
      <c r="Q11" s="15" t="n">
        <v>4</v>
      </c>
      <c r="R11" s="15" t="n">
        <v>4</v>
      </c>
      <c r="S11" s="15" t="n">
        <v>4</v>
      </c>
      <c r="T11" s="15" t="n">
        <v>5</v>
      </c>
      <c r="U11" s="15" t="n">
        <v>4</v>
      </c>
      <c r="V11" s="15" t="n">
        <v>3</v>
      </c>
      <c r="W11" s="15" t="n">
        <v>2</v>
      </c>
      <c r="X11" s="15" t="n">
        <v>4</v>
      </c>
      <c r="Y11" s="15" t="n">
        <v>3</v>
      </c>
      <c r="Z11" s="15" t="n">
        <v>4</v>
      </c>
      <c r="AA11" s="15" t="n">
        <v>3</v>
      </c>
      <c r="AB11" s="15" t="n">
        <v>3</v>
      </c>
      <c r="AC11" s="15" t="n">
        <v>2</v>
      </c>
      <c r="AD11" s="15" t="n">
        <v>3</v>
      </c>
      <c r="AE11" s="15" t="n">
        <v>2</v>
      </c>
      <c r="AF11" s="15" t="n">
        <v>1</v>
      </c>
      <c r="AG11" s="15" t="n">
        <v>1</v>
      </c>
      <c r="AH11" s="15" t="n">
        <v>1</v>
      </c>
      <c r="AI11" s="15" t="n">
        <v>1</v>
      </c>
      <c r="AJ11" s="15" t="n">
        <v>1</v>
      </c>
      <c r="AK11" s="15" t="n">
        <v>1</v>
      </c>
      <c r="AL11" s="15" t="n">
        <v>1</v>
      </c>
      <c r="AM11" s="15" t="n">
        <v>1</v>
      </c>
      <c r="AN11" s="15" t="n">
        <v>1</v>
      </c>
      <c r="AO11" s="15" t="n">
        <v>1</v>
      </c>
      <c r="AP11" s="15" t="n">
        <v>3</v>
      </c>
      <c r="AQ11" s="16" t="n">
        <f aca="false">AVERAGE(D11:AP11)</f>
        <v>2.8974358974359</v>
      </c>
    </row>
    <row r="12" customFormat="false" ht="15" hidden="false" customHeight="false" outlineLevel="0" collapsed="false">
      <c r="A12" s="12" t="s">
        <v>184</v>
      </c>
      <c r="B12" s="13" t="s">
        <v>191</v>
      </c>
      <c r="C12" s="14" t="n">
        <v>48</v>
      </c>
      <c r="D12" s="15" t="n">
        <v>3</v>
      </c>
      <c r="E12" s="15" t="n">
        <v>2</v>
      </c>
      <c r="F12" s="15" t="n">
        <v>2</v>
      </c>
      <c r="G12" s="15" t="n">
        <v>2</v>
      </c>
      <c r="H12" s="15" t="n">
        <v>2</v>
      </c>
      <c r="I12" s="15" t="n">
        <v>2</v>
      </c>
      <c r="J12" s="15" t="n">
        <v>2</v>
      </c>
      <c r="K12" s="15" t="n">
        <v>2</v>
      </c>
      <c r="L12" s="15" t="n">
        <v>5</v>
      </c>
      <c r="M12" s="15" t="n">
        <v>2</v>
      </c>
      <c r="N12" s="15" t="n">
        <v>2</v>
      </c>
      <c r="O12" s="15" t="n">
        <v>2</v>
      </c>
      <c r="P12" s="15" t="n">
        <v>4</v>
      </c>
      <c r="Q12" s="15" t="n">
        <v>2</v>
      </c>
      <c r="R12" s="15" t="n">
        <v>4</v>
      </c>
      <c r="S12" s="15" t="n">
        <v>3</v>
      </c>
      <c r="T12" s="15" t="n">
        <v>2</v>
      </c>
      <c r="U12" s="15" t="n">
        <v>2</v>
      </c>
      <c r="V12" s="15" t="n">
        <v>4</v>
      </c>
      <c r="W12" s="15" t="n">
        <v>2</v>
      </c>
      <c r="X12" s="15" t="n">
        <v>2</v>
      </c>
      <c r="Y12" s="15" t="n">
        <v>4</v>
      </c>
      <c r="Z12" s="15" t="n">
        <v>4</v>
      </c>
      <c r="AA12" s="15" t="n">
        <v>4</v>
      </c>
      <c r="AB12" s="15" t="n">
        <v>3</v>
      </c>
      <c r="AC12" s="15" t="n">
        <v>2</v>
      </c>
      <c r="AD12" s="15" t="n">
        <v>3</v>
      </c>
      <c r="AE12" s="15" t="n">
        <v>2</v>
      </c>
      <c r="AF12" s="15" t="n">
        <v>1</v>
      </c>
      <c r="AG12" s="15" t="n">
        <v>1</v>
      </c>
      <c r="AH12" s="15" t="n">
        <v>1</v>
      </c>
      <c r="AI12" s="15" t="n">
        <v>1</v>
      </c>
      <c r="AJ12" s="15" t="n">
        <v>1</v>
      </c>
      <c r="AK12" s="15" t="n">
        <v>1</v>
      </c>
      <c r="AL12" s="15" t="n">
        <v>1</v>
      </c>
      <c r="AM12" s="15" t="n">
        <v>1</v>
      </c>
      <c r="AN12" s="15" t="n">
        <v>1</v>
      </c>
      <c r="AO12" s="15" t="n">
        <v>1</v>
      </c>
      <c r="AP12" s="15" t="n">
        <v>2</v>
      </c>
      <c r="AQ12" s="16" t="n">
        <f aca="false">AVERAGE(D12:AP12)</f>
        <v>2.23076923076923</v>
      </c>
    </row>
    <row r="13" customFormat="false" ht="23.85" hidden="false" customHeight="false" outlineLevel="0" collapsed="false">
      <c r="A13" s="12" t="s">
        <v>184</v>
      </c>
      <c r="B13" s="13" t="s">
        <v>192</v>
      </c>
      <c r="C13" s="14" t="n">
        <v>49</v>
      </c>
      <c r="D13" s="15" t="n">
        <v>3</v>
      </c>
      <c r="E13" s="15" t="n">
        <v>2</v>
      </c>
      <c r="F13" s="15" t="n">
        <v>2</v>
      </c>
      <c r="G13" s="15" t="n">
        <v>2</v>
      </c>
      <c r="H13" s="15" t="n">
        <v>2</v>
      </c>
      <c r="I13" s="15" t="n">
        <v>2</v>
      </c>
      <c r="J13" s="15" t="n">
        <v>2</v>
      </c>
      <c r="K13" s="15" t="n">
        <v>2</v>
      </c>
      <c r="L13" s="15" t="n">
        <v>5</v>
      </c>
      <c r="M13" s="15" t="n">
        <v>2</v>
      </c>
      <c r="N13" s="15" t="n">
        <v>2</v>
      </c>
      <c r="O13" s="15" t="n">
        <v>2</v>
      </c>
      <c r="P13" s="15" t="n">
        <v>3</v>
      </c>
      <c r="Q13" s="15" t="n">
        <v>2</v>
      </c>
      <c r="R13" s="15" t="n">
        <v>4</v>
      </c>
      <c r="S13" s="15" t="n">
        <v>3</v>
      </c>
      <c r="T13" s="15" t="n">
        <v>2</v>
      </c>
      <c r="U13" s="15" t="n">
        <v>2</v>
      </c>
      <c r="V13" s="15" t="n">
        <v>3</v>
      </c>
      <c r="W13" s="15" t="n">
        <v>2</v>
      </c>
      <c r="X13" s="15" t="n">
        <v>2</v>
      </c>
      <c r="Y13" s="15" t="n">
        <v>3</v>
      </c>
      <c r="Z13" s="15" t="n">
        <v>3</v>
      </c>
      <c r="AA13" s="15" t="n">
        <v>3</v>
      </c>
      <c r="AB13" s="15" t="n">
        <v>3</v>
      </c>
      <c r="AC13" s="15" t="n">
        <v>2</v>
      </c>
      <c r="AD13" s="15" t="n">
        <v>3</v>
      </c>
      <c r="AE13" s="15" t="n">
        <v>2</v>
      </c>
      <c r="AF13" s="15" t="n">
        <v>1</v>
      </c>
      <c r="AG13" s="15" t="n">
        <v>1</v>
      </c>
      <c r="AH13" s="15" t="n">
        <v>1</v>
      </c>
      <c r="AI13" s="15" t="n">
        <v>1</v>
      </c>
      <c r="AJ13" s="15" t="n">
        <v>1</v>
      </c>
      <c r="AK13" s="15" t="n">
        <v>1</v>
      </c>
      <c r="AL13" s="15" t="n">
        <v>1</v>
      </c>
      <c r="AM13" s="15" t="n">
        <v>1</v>
      </c>
      <c r="AN13" s="15" t="n">
        <v>1</v>
      </c>
      <c r="AO13" s="15" t="n">
        <v>1</v>
      </c>
      <c r="AP13" s="15" t="n">
        <v>2</v>
      </c>
      <c r="AQ13" s="16" t="n">
        <f aca="false">AVERAGE(D13:AP13)</f>
        <v>2.1025641025641</v>
      </c>
    </row>
    <row r="14" customFormat="false" ht="23.85" hidden="false" customHeight="false" outlineLevel="0" collapsed="false">
      <c r="A14" s="12" t="s">
        <v>184</v>
      </c>
      <c r="B14" s="13" t="s">
        <v>193</v>
      </c>
      <c r="C14" s="14" t="n">
        <v>195</v>
      </c>
      <c r="D14" s="15" t="n">
        <v>1</v>
      </c>
      <c r="E14" s="15" t="n">
        <v>1</v>
      </c>
      <c r="F14" s="15" t="n">
        <v>2</v>
      </c>
      <c r="G14" s="15" t="n">
        <v>2</v>
      </c>
      <c r="H14" s="15" t="n">
        <v>1</v>
      </c>
      <c r="I14" s="15" t="n">
        <v>2</v>
      </c>
      <c r="J14" s="15" t="n">
        <v>2</v>
      </c>
      <c r="K14" s="15" t="n">
        <v>2</v>
      </c>
      <c r="L14" s="15" t="n">
        <v>3</v>
      </c>
      <c r="M14" s="15" t="n">
        <v>1</v>
      </c>
      <c r="N14" s="15" t="n">
        <v>1</v>
      </c>
      <c r="O14" s="15" t="n">
        <v>3</v>
      </c>
      <c r="P14" s="15" t="n">
        <v>3</v>
      </c>
      <c r="Q14" s="15" t="n">
        <v>2</v>
      </c>
      <c r="R14" s="15" t="n">
        <v>3</v>
      </c>
      <c r="S14" s="15" t="n">
        <v>3</v>
      </c>
      <c r="T14" s="15" t="n">
        <v>2</v>
      </c>
      <c r="U14" s="15" t="n">
        <v>2</v>
      </c>
      <c r="V14" s="15" t="n">
        <v>5</v>
      </c>
      <c r="W14" s="15" t="n">
        <v>2</v>
      </c>
      <c r="X14" s="15" t="n">
        <v>2</v>
      </c>
      <c r="Y14" s="15" t="n">
        <v>5</v>
      </c>
      <c r="Z14" s="15" t="n">
        <v>3</v>
      </c>
      <c r="AA14" s="15" t="n">
        <v>4</v>
      </c>
      <c r="AB14" s="15" t="n">
        <v>3</v>
      </c>
      <c r="AC14" s="15" t="n">
        <v>2</v>
      </c>
      <c r="AD14" s="15" t="n">
        <v>3</v>
      </c>
      <c r="AE14" s="15" t="n">
        <v>2</v>
      </c>
      <c r="AF14" s="15" t="n">
        <v>1</v>
      </c>
      <c r="AG14" s="15" t="n">
        <v>1</v>
      </c>
      <c r="AH14" s="15" t="n">
        <v>1</v>
      </c>
      <c r="AI14" s="15" t="n">
        <v>1</v>
      </c>
      <c r="AJ14" s="15" t="n">
        <v>1</v>
      </c>
      <c r="AK14" s="15" t="n">
        <v>1</v>
      </c>
      <c r="AL14" s="15" t="n">
        <v>1</v>
      </c>
      <c r="AM14" s="15" t="n">
        <v>1</v>
      </c>
      <c r="AN14" s="15" t="n">
        <v>1</v>
      </c>
      <c r="AO14" s="15" t="n">
        <v>1</v>
      </c>
      <c r="AP14" s="15" t="n">
        <v>3</v>
      </c>
      <c r="AQ14" s="16" t="n">
        <f aca="false">AVERAGE(D14:AP14)</f>
        <v>2.05128205128205</v>
      </c>
    </row>
    <row r="15" customFormat="false" ht="23.85" hidden="false" customHeight="false" outlineLevel="0" collapsed="false">
      <c r="A15" s="12" t="s">
        <v>184</v>
      </c>
      <c r="B15" s="13" t="s">
        <v>194</v>
      </c>
      <c r="C15" s="14" t="n">
        <v>395</v>
      </c>
      <c r="D15" s="15" t="n">
        <v>1</v>
      </c>
      <c r="E15" s="15" t="n">
        <v>1</v>
      </c>
      <c r="F15" s="15" t="n">
        <v>2</v>
      </c>
      <c r="G15" s="15" t="n">
        <v>2</v>
      </c>
      <c r="H15" s="15" t="n">
        <v>1</v>
      </c>
      <c r="I15" s="15" t="n">
        <v>2</v>
      </c>
      <c r="J15" s="15" t="n">
        <v>2</v>
      </c>
      <c r="K15" s="15" t="n">
        <v>2</v>
      </c>
      <c r="L15" s="15" t="n">
        <v>3</v>
      </c>
      <c r="M15" s="15" t="n">
        <v>1</v>
      </c>
      <c r="N15" s="15" t="n">
        <v>1</v>
      </c>
      <c r="O15" s="15" t="n">
        <v>3</v>
      </c>
      <c r="P15" s="15" t="n">
        <v>3</v>
      </c>
      <c r="Q15" s="15" t="n">
        <v>2</v>
      </c>
      <c r="R15" s="15" t="n">
        <v>3</v>
      </c>
      <c r="S15" s="15" t="n">
        <v>3</v>
      </c>
      <c r="T15" s="15" t="n">
        <v>2</v>
      </c>
      <c r="U15" s="15" t="n">
        <v>2</v>
      </c>
      <c r="V15" s="15" t="n">
        <v>4</v>
      </c>
      <c r="W15" s="15" t="n">
        <v>2</v>
      </c>
      <c r="X15" s="15" t="n">
        <v>2</v>
      </c>
      <c r="Y15" s="15" t="n">
        <v>4</v>
      </c>
      <c r="Z15" s="15" t="n">
        <v>3</v>
      </c>
      <c r="AA15" s="15" t="n">
        <v>4</v>
      </c>
      <c r="AB15" s="15" t="n">
        <v>3</v>
      </c>
      <c r="AC15" s="15" t="n">
        <v>2</v>
      </c>
      <c r="AD15" s="15" t="n">
        <v>3</v>
      </c>
      <c r="AE15" s="15" t="n">
        <v>2</v>
      </c>
      <c r="AF15" s="15" t="n">
        <v>1</v>
      </c>
      <c r="AG15" s="15" t="n">
        <v>1</v>
      </c>
      <c r="AH15" s="15" t="n">
        <v>1</v>
      </c>
      <c r="AI15" s="15" t="n">
        <v>1</v>
      </c>
      <c r="AJ15" s="15" t="n">
        <v>1</v>
      </c>
      <c r="AK15" s="15" t="n">
        <v>1</v>
      </c>
      <c r="AL15" s="15" t="n">
        <v>1</v>
      </c>
      <c r="AM15" s="15" t="n">
        <v>1</v>
      </c>
      <c r="AN15" s="15" t="n">
        <v>1</v>
      </c>
      <c r="AO15" s="15" t="n">
        <v>1</v>
      </c>
      <c r="AP15" s="15" t="n">
        <v>3</v>
      </c>
      <c r="AQ15" s="16" t="n">
        <f aca="false">AVERAGE(D15:AP15)</f>
        <v>2</v>
      </c>
    </row>
    <row r="16" customFormat="false" ht="23.85" hidden="false" customHeight="false" outlineLevel="0" collapsed="false">
      <c r="A16" s="12" t="s">
        <v>184</v>
      </c>
      <c r="B16" s="13" t="s">
        <v>195</v>
      </c>
      <c r="C16" s="14" t="n">
        <v>240</v>
      </c>
      <c r="D16" s="15" t="n">
        <v>1</v>
      </c>
      <c r="E16" s="15" t="n">
        <v>1</v>
      </c>
      <c r="F16" s="15" t="n">
        <v>1</v>
      </c>
      <c r="G16" s="15" t="n">
        <v>1</v>
      </c>
      <c r="H16" s="15" t="n">
        <v>1</v>
      </c>
      <c r="I16" s="15" t="n">
        <v>1</v>
      </c>
      <c r="J16" s="15" t="n">
        <v>1</v>
      </c>
      <c r="K16" s="15" t="n">
        <v>1</v>
      </c>
      <c r="L16" s="15" t="n">
        <v>3</v>
      </c>
      <c r="M16" s="15" t="n">
        <v>1</v>
      </c>
      <c r="N16" s="15" t="n">
        <v>1</v>
      </c>
      <c r="O16" s="15" t="n">
        <v>3</v>
      </c>
      <c r="P16" s="15" t="n">
        <v>3</v>
      </c>
      <c r="Q16" s="15" t="n">
        <v>1</v>
      </c>
      <c r="R16" s="15" t="n">
        <v>3</v>
      </c>
      <c r="S16" s="15" t="n">
        <v>2</v>
      </c>
      <c r="T16" s="15" t="n">
        <v>1</v>
      </c>
      <c r="U16" s="15" t="n">
        <v>1</v>
      </c>
      <c r="V16" s="15" t="n">
        <v>4</v>
      </c>
      <c r="W16" s="15" t="n">
        <v>2</v>
      </c>
      <c r="X16" s="15" t="n">
        <v>1</v>
      </c>
      <c r="Y16" s="15" t="n">
        <v>4</v>
      </c>
      <c r="Z16" s="15" t="n">
        <v>3</v>
      </c>
      <c r="AA16" s="15" t="n">
        <v>4</v>
      </c>
      <c r="AB16" s="15" t="n">
        <v>2</v>
      </c>
      <c r="AC16" s="15" t="n">
        <v>2</v>
      </c>
      <c r="AD16" s="15" t="n">
        <v>3</v>
      </c>
      <c r="AE16" s="15" t="n">
        <v>2</v>
      </c>
      <c r="AF16" s="15" t="n">
        <v>1</v>
      </c>
      <c r="AG16" s="15" t="n">
        <v>1</v>
      </c>
      <c r="AH16" s="15" t="n">
        <v>1</v>
      </c>
      <c r="AI16" s="15" t="n">
        <v>1</v>
      </c>
      <c r="AJ16" s="15" t="n">
        <v>1</v>
      </c>
      <c r="AK16" s="15" t="n">
        <v>1</v>
      </c>
      <c r="AL16" s="15" t="n">
        <v>1</v>
      </c>
      <c r="AM16" s="15" t="n">
        <v>1</v>
      </c>
      <c r="AN16" s="15" t="n">
        <v>1</v>
      </c>
      <c r="AO16" s="15" t="n">
        <v>1</v>
      </c>
      <c r="AP16" s="15" t="n">
        <v>2</v>
      </c>
      <c r="AQ16" s="16" t="n">
        <f aca="false">AVERAGE(D16:AP16)</f>
        <v>1.69230769230769</v>
      </c>
    </row>
    <row r="17" customFormat="false" ht="23.85" hidden="false" customHeight="false" outlineLevel="0" collapsed="false">
      <c r="A17" s="12" t="s">
        <v>184</v>
      </c>
      <c r="B17" s="13" t="s">
        <v>196</v>
      </c>
      <c r="C17" s="14" t="n">
        <v>250</v>
      </c>
      <c r="D17" s="15" t="n">
        <v>1</v>
      </c>
      <c r="E17" s="15" t="n">
        <v>1</v>
      </c>
      <c r="F17" s="15" t="n">
        <v>1</v>
      </c>
      <c r="G17" s="15" t="n">
        <v>1</v>
      </c>
      <c r="H17" s="15" t="n">
        <v>1</v>
      </c>
      <c r="I17" s="15" t="n">
        <v>1</v>
      </c>
      <c r="J17" s="15" t="n">
        <v>1</v>
      </c>
      <c r="K17" s="15" t="n">
        <v>1</v>
      </c>
      <c r="L17" s="15" t="n">
        <v>3</v>
      </c>
      <c r="M17" s="15" t="n">
        <v>1</v>
      </c>
      <c r="N17" s="15" t="n">
        <v>1</v>
      </c>
      <c r="O17" s="15" t="n">
        <v>3</v>
      </c>
      <c r="P17" s="15" t="n">
        <v>3</v>
      </c>
      <c r="Q17" s="15" t="n">
        <v>1</v>
      </c>
      <c r="R17" s="15" t="n">
        <v>3</v>
      </c>
      <c r="S17" s="15" t="n">
        <v>2</v>
      </c>
      <c r="T17" s="15" t="n">
        <v>1</v>
      </c>
      <c r="U17" s="15" t="n">
        <v>1</v>
      </c>
      <c r="V17" s="15" t="n">
        <v>5</v>
      </c>
      <c r="W17" s="15" t="n">
        <v>2</v>
      </c>
      <c r="X17" s="15" t="n">
        <v>1</v>
      </c>
      <c r="Y17" s="15" t="n">
        <v>5</v>
      </c>
      <c r="Z17" s="15" t="n">
        <v>3</v>
      </c>
      <c r="AA17" s="15" t="n">
        <v>4</v>
      </c>
      <c r="AB17" s="15" t="n">
        <v>2</v>
      </c>
      <c r="AC17" s="15" t="n">
        <v>2</v>
      </c>
      <c r="AD17" s="15" t="n">
        <v>3</v>
      </c>
      <c r="AE17" s="15" t="n">
        <v>2</v>
      </c>
      <c r="AF17" s="15" t="n">
        <v>1</v>
      </c>
      <c r="AG17" s="15" t="n">
        <v>1</v>
      </c>
      <c r="AH17" s="15" t="n">
        <v>1</v>
      </c>
      <c r="AI17" s="15" t="n">
        <v>1</v>
      </c>
      <c r="AJ17" s="15" t="n">
        <v>1</v>
      </c>
      <c r="AK17" s="15" t="n">
        <v>1</v>
      </c>
      <c r="AL17" s="15" t="n">
        <v>1</v>
      </c>
      <c r="AM17" s="15" t="n">
        <v>1</v>
      </c>
      <c r="AN17" s="15" t="n">
        <v>1</v>
      </c>
      <c r="AO17" s="15" t="n">
        <v>1</v>
      </c>
      <c r="AP17" s="15" t="n">
        <v>3</v>
      </c>
      <c r="AQ17" s="16" t="n">
        <f aca="false">AVERAGE(D17:AP17)</f>
        <v>1.76923076923077</v>
      </c>
    </row>
    <row r="18" customFormat="false" ht="15" hidden="false" customHeight="false" outlineLevel="0" collapsed="false">
      <c r="A18" s="12" t="s">
        <v>184</v>
      </c>
      <c r="B18" s="13" t="s">
        <v>197</v>
      </c>
      <c r="C18" s="14" t="n">
        <v>285</v>
      </c>
      <c r="D18" s="15" t="n">
        <v>1</v>
      </c>
      <c r="E18" s="15" t="n">
        <v>1</v>
      </c>
      <c r="F18" s="15" t="n">
        <v>1</v>
      </c>
      <c r="G18" s="15" t="n">
        <v>1</v>
      </c>
      <c r="H18" s="15" t="n">
        <v>1</v>
      </c>
      <c r="I18" s="15" t="n">
        <v>1</v>
      </c>
      <c r="J18" s="15" t="n">
        <v>1</v>
      </c>
      <c r="K18" s="15" t="n">
        <v>1</v>
      </c>
      <c r="L18" s="15" t="n">
        <v>3</v>
      </c>
      <c r="M18" s="15" t="n">
        <v>1</v>
      </c>
      <c r="N18" s="15" t="n">
        <v>1</v>
      </c>
      <c r="O18" s="15" t="n">
        <v>3</v>
      </c>
      <c r="P18" s="15" t="n">
        <v>3</v>
      </c>
      <c r="Q18" s="15" t="n">
        <v>1</v>
      </c>
      <c r="R18" s="15" t="n">
        <v>3</v>
      </c>
      <c r="S18" s="15" t="n">
        <v>2</v>
      </c>
      <c r="T18" s="15" t="n">
        <v>1</v>
      </c>
      <c r="U18" s="15" t="n">
        <v>1</v>
      </c>
      <c r="V18" s="15" t="n">
        <v>5</v>
      </c>
      <c r="W18" s="15" t="n">
        <v>2</v>
      </c>
      <c r="X18" s="15" t="n">
        <v>1</v>
      </c>
      <c r="Y18" s="15" t="n">
        <v>5</v>
      </c>
      <c r="Z18" s="15" t="n">
        <v>3</v>
      </c>
      <c r="AA18" s="15" t="n">
        <v>4</v>
      </c>
      <c r="AB18" s="15" t="n">
        <v>2</v>
      </c>
      <c r="AC18" s="15" t="n">
        <v>2</v>
      </c>
      <c r="AD18" s="15" t="n">
        <v>3</v>
      </c>
      <c r="AE18" s="15" t="n">
        <v>2</v>
      </c>
      <c r="AF18" s="15" t="n">
        <v>1</v>
      </c>
      <c r="AG18" s="15" t="n">
        <v>1</v>
      </c>
      <c r="AH18" s="15" t="n">
        <v>1</v>
      </c>
      <c r="AI18" s="15" t="n">
        <v>1</v>
      </c>
      <c r="AJ18" s="15" t="n">
        <v>1</v>
      </c>
      <c r="AK18" s="15" t="n">
        <v>1</v>
      </c>
      <c r="AL18" s="15" t="n">
        <v>1</v>
      </c>
      <c r="AM18" s="15" t="n">
        <v>1</v>
      </c>
      <c r="AN18" s="15" t="n">
        <v>1</v>
      </c>
      <c r="AO18" s="15" t="n">
        <v>1</v>
      </c>
      <c r="AP18" s="15" t="n">
        <v>3</v>
      </c>
      <c r="AQ18" s="16" t="n">
        <f aca="false">AVERAGE(D18:AP18)</f>
        <v>1.76923076923077</v>
      </c>
    </row>
    <row r="19" customFormat="false" ht="23.85" hidden="false" customHeight="false" outlineLevel="0" collapsed="false">
      <c r="A19" s="12" t="s">
        <v>184</v>
      </c>
      <c r="B19" s="13" t="s">
        <v>198</v>
      </c>
      <c r="C19" s="14" t="n">
        <v>560</v>
      </c>
      <c r="D19" s="15" t="n">
        <v>1</v>
      </c>
      <c r="E19" s="15" t="n">
        <v>1</v>
      </c>
      <c r="F19" s="15" t="n">
        <v>2</v>
      </c>
      <c r="G19" s="15" t="n">
        <v>2</v>
      </c>
      <c r="H19" s="15" t="n">
        <v>1</v>
      </c>
      <c r="I19" s="15" t="n">
        <v>2</v>
      </c>
      <c r="J19" s="15" t="n">
        <v>2</v>
      </c>
      <c r="K19" s="15" t="n">
        <v>2</v>
      </c>
      <c r="L19" s="15" t="n">
        <v>3</v>
      </c>
      <c r="M19" s="15" t="n">
        <v>1</v>
      </c>
      <c r="N19" s="15" t="n">
        <v>1</v>
      </c>
      <c r="O19" s="15" t="n">
        <v>3</v>
      </c>
      <c r="P19" s="15" t="n">
        <v>3</v>
      </c>
      <c r="Q19" s="15" t="n">
        <v>2</v>
      </c>
      <c r="R19" s="15" t="n">
        <v>3</v>
      </c>
      <c r="S19" s="15" t="n">
        <v>3</v>
      </c>
      <c r="T19" s="15" t="n">
        <v>2</v>
      </c>
      <c r="U19" s="15" t="n">
        <v>2</v>
      </c>
      <c r="V19" s="15" t="n">
        <v>4</v>
      </c>
      <c r="W19" s="15" t="n">
        <v>2</v>
      </c>
      <c r="X19" s="15" t="n">
        <v>2</v>
      </c>
      <c r="Y19" s="15" t="n">
        <v>4</v>
      </c>
      <c r="Z19" s="15" t="n">
        <v>3</v>
      </c>
      <c r="AA19" s="15" t="n">
        <v>4</v>
      </c>
      <c r="AB19" s="15" t="n">
        <v>3</v>
      </c>
      <c r="AC19" s="15" t="n">
        <v>2</v>
      </c>
      <c r="AD19" s="15" t="n">
        <v>3</v>
      </c>
      <c r="AE19" s="15" t="n">
        <v>2</v>
      </c>
      <c r="AF19" s="15" t="n">
        <v>1</v>
      </c>
      <c r="AG19" s="15" t="n">
        <v>1</v>
      </c>
      <c r="AH19" s="15" t="n">
        <v>1</v>
      </c>
      <c r="AI19" s="15" t="n">
        <v>1</v>
      </c>
      <c r="AJ19" s="15" t="n">
        <v>1</v>
      </c>
      <c r="AK19" s="15" t="n">
        <v>1</v>
      </c>
      <c r="AL19" s="15" t="n">
        <v>1</v>
      </c>
      <c r="AM19" s="15" t="n">
        <v>1</v>
      </c>
      <c r="AN19" s="15" t="n">
        <v>1</v>
      </c>
      <c r="AO19" s="15" t="n">
        <v>1</v>
      </c>
      <c r="AP19" s="15" t="n">
        <v>3</v>
      </c>
      <c r="AQ19" s="16" t="n">
        <f aca="false">AVERAGE(D19:AP19)</f>
        <v>2</v>
      </c>
    </row>
    <row r="20" customFormat="false" ht="23.85" hidden="false" customHeight="false" outlineLevel="0" collapsed="false">
      <c r="A20" s="12" t="s">
        <v>184</v>
      </c>
      <c r="B20" s="13" t="s">
        <v>199</v>
      </c>
      <c r="C20" s="14" t="n">
        <v>86</v>
      </c>
      <c r="D20" s="15" t="n">
        <v>2</v>
      </c>
      <c r="E20" s="15" t="n">
        <v>1</v>
      </c>
      <c r="F20" s="15" t="n">
        <v>2</v>
      </c>
      <c r="G20" s="15" t="n">
        <v>2</v>
      </c>
      <c r="H20" s="15" t="n">
        <v>1</v>
      </c>
      <c r="I20" s="15" t="n">
        <v>2</v>
      </c>
      <c r="J20" s="15" t="n">
        <v>2</v>
      </c>
      <c r="K20" s="15" t="n">
        <v>2</v>
      </c>
      <c r="L20" s="15" t="n">
        <v>4</v>
      </c>
      <c r="M20" s="15" t="n">
        <v>2</v>
      </c>
      <c r="N20" s="15" t="n">
        <v>1</v>
      </c>
      <c r="O20" s="15" t="n">
        <v>3</v>
      </c>
      <c r="P20" s="15" t="n">
        <v>4</v>
      </c>
      <c r="Q20" s="15" t="n">
        <v>2</v>
      </c>
      <c r="R20" s="15" t="n">
        <v>4</v>
      </c>
      <c r="S20" s="15" t="n">
        <v>3</v>
      </c>
      <c r="T20" s="15" t="n">
        <v>2</v>
      </c>
      <c r="U20" s="15" t="n">
        <v>2</v>
      </c>
      <c r="V20" s="15" t="n">
        <v>4</v>
      </c>
      <c r="W20" s="15" t="n">
        <v>3</v>
      </c>
      <c r="X20" s="15" t="n">
        <v>2</v>
      </c>
      <c r="Y20" s="15" t="n">
        <v>4</v>
      </c>
      <c r="Z20" s="15" t="n">
        <v>4</v>
      </c>
      <c r="AA20" s="15" t="n">
        <v>4</v>
      </c>
      <c r="AB20" s="15" t="n">
        <v>3</v>
      </c>
      <c r="AC20" s="15" t="n">
        <v>2</v>
      </c>
      <c r="AD20" s="15" t="n">
        <v>3</v>
      </c>
      <c r="AE20" s="15" t="n">
        <v>2</v>
      </c>
      <c r="AF20" s="15" t="n">
        <v>1</v>
      </c>
      <c r="AG20" s="15" t="n">
        <v>1</v>
      </c>
      <c r="AH20" s="15" t="n">
        <v>1</v>
      </c>
      <c r="AI20" s="15" t="n">
        <v>1</v>
      </c>
      <c r="AJ20" s="15" t="n">
        <v>1</v>
      </c>
      <c r="AK20" s="15" t="n">
        <v>1</v>
      </c>
      <c r="AL20" s="15" t="n">
        <v>1</v>
      </c>
      <c r="AM20" s="15" t="n">
        <v>1</v>
      </c>
      <c r="AN20" s="15" t="n">
        <v>1</v>
      </c>
      <c r="AO20" s="15" t="n">
        <v>1</v>
      </c>
      <c r="AP20" s="15" t="n">
        <v>2</v>
      </c>
      <c r="AQ20" s="16" t="n">
        <f aca="false">AVERAGE(D20:AP20)</f>
        <v>2.15384615384615</v>
      </c>
    </row>
    <row r="21" customFormat="false" ht="15" hidden="false" customHeight="false" outlineLevel="0" collapsed="false">
      <c r="A21" s="12" t="s">
        <v>184</v>
      </c>
      <c r="B21" s="13" t="s">
        <v>200</v>
      </c>
      <c r="C21" s="14" t="n">
        <v>125</v>
      </c>
      <c r="D21" s="15" t="n">
        <v>1</v>
      </c>
      <c r="E21" s="15" t="n">
        <v>1</v>
      </c>
      <c r="F21" s="15" t="n">
        <v>1</v>
      </c>
      <c r="G21" s="15" t="n">
        <v>1</v>
      </c>
      <c r="H21" s="15" t="n">
        <v>1</v>
      </c>
      <c r="I21" s="15" t="n">
        <v>1</v>
      </c>
      <c r="J21" s="15" t="n">
        <v>1</v>
      </c>
      <c r="K21" s="15" t="n">
        <v>1</v>
      </c>
      <c r="L21" s="15" t="n">
        <v>3</v>
      </c>
      <c r="M21" s="15" t="n">
        <v>1</v>
      </c>
      <c r="N21" s="15" t="n">
        <v>1</v>
      </c>
      <c r="O21" s="15" t="n">
        <v>3</v>
      </c>
      <c r="P21" s="15" t="n">
        <v>3</v>
      </c>
      <c r="Q21" s="15" t="n">
        <v>1</v>
      </c>
      <c r="R21" s="15" t="n">
        <v>3</v>
      </c>
      <c r="S21" s="15" t="n">
        <v>2</v>
      </c>
      <c r="T21" s="15" t="n">
        <v>1</v>
      </c>
      <c r="U21" s="15" t="n">
        <v>1</v>
      </c>
      <c r="V21" s="15" t="n">
        <v>3</v>
      </c>
      <c r="W21" s="15" t="n">
        <v>3</v>
      </c>
      <c r="X21" s="15" t="n">
        <v>1</v>
      </c>
      <c r="Y21" s="15" t="n">
        <v>3</v>
      </c>
      <c r="Z21" s="15" t="n">
        <v>3</v>
      </c>
      <c r="AA21" s="15" t="n">
        <v>3</v>
      </c>
      <c r="AB21" s="15" t="n">
        <v>2</v>
      </c>
      <c r="AC21" s="15" t="n">
        <v>2</v>
      </c>
      <c r="AD21" s="15" t="n">
        <v>3</v>
      </c>
      <c r="AE21" s="15" t="n">
        <v>2</v>
      </c>
      <c r="AF21" s="15" t="n">
        <v>1</v>
      </c>
      <c r="AG21" s="15" t="n">
        <v>1</v>
      </c>
      <c r="AH21" s="15" t="n">
        <v>1</v>
      </c>
      <c r="AI21" s="15" t="n">
        <v>1</v>
      </c>
      <c r="AJ21" s="15" t="n">
        <v>1</v>
      </c>
      <c r="AK21" s="15" t="n">
        <v>1</v>
      </c>
      <c r="AL21" s="15" t="n">
        <v>1</v>
      </c>
      <c r="AM21" s="15" t="n">
        <v>1</v>
      </c>
      <c r="AN21" s="15" t="n">
        <v>1</v>
      </c>
      <c r="AO21" s="15" t="n">
        <v>1</v>
      </c>
      <c r="AP21" s="15" t="n">
        <v>2</v>
      </c>
      <c r="AQ21" s="16" t="n">
        <f aca="false">AVERAGE(D21:AP21)</f>
        <v>1.64102564102564</v>
      </c>
    </row>
    <row r="22" customFormat="false" ht="23.85" hidden="false" customHeight="false" outlineLevel="0" collapsed="false">
      <c r="A22" s="12" t="s">
        <v>184</v>
      </c>
      <c r="B22" s="13" t="s">
        <v>201</v>
      </c>
      <c r="C22" s="14" t="n">
        <v>95</v>
      </c>
      <c r="D22" s="15" t="n">
        <v>1</v>
      </c>
      <c r="E22" s="15" t="n">
        <v>1</v>
      </c>
      <c r="F22" s="15" t="n">
        <v>1</v>
      </c>
      <c r="G22" s="15" t="n">
        <v>1</v>
      </c>
      <c r="H22" s="15" t="n">
        <v>1</v>
      </c>
      <c r="I22" s="15" t="n">
        <v>1</v>
      </c>
      <c r="J22" s="15" t="n">
        <v>1</v>
      </c>
      <c r="K22" s="15" t="n">
        <v>1</v>
      </c>
      <c r="L22" s="15" t="n">
        <v>3</v>
      </c>
      <c r="M22" s="15" t="n">
        <v>1</v>
      </c>
      <c r="N22" s="15" t="n">
        <v>1</v>
      </c>
      <c r="O22" s="15" t="n">
        <v>3</v>
      </c>
      <c r="P22" s="15" t="n">
        <v>3</v>
      </c>
      <c r="Q22" s="15" t="n">
        <v>1</v>
      </c>
      <c r="R22" s="15" t="n">
        <v>3</v>
      </c>
      <c r="S22" s="15" t="n">
        <v>2</v>
      </c>
      <c r="T22" s="15" t="n">
        <v>1</v>
      </c>
      <c r="U22" s="15" t="n">
        <v>1</v>
      </c>
      <c r="V22" s="15" t="n">
        <v>3</v>
      </c>
      <c r="W22" s="15" t="n">
        <v>3</v>
      </c>
      <c r="X22" s="15" t="n">
        <v>1</v>
      </c>
      <c r="Y22" s="15" t="n">
        <v>3</v>
      </c>
      <c r="Z22" s="15" t="n">
        <v>3</v>
      </c>
      <c r="AA22" s="15" t="n">
        <v>3</v>
      </c>
      <c r="AB22" s="15" t="n">
        <v>2</v>
      </c>
      <c r="AC22" s="15" t="n">
        <v>2</v>
      </c>
      <c r="AD22" s="15" t="n">
        <v>3</v>
      </c>
      <c r="AE22" s="15" t="n">
        <v>2</v>
      </c>
      <c r="AF22" s="15" t="n">
        <v>1</v>
      </c>
      <c r="AG22" s="15" t="n">
        <v>1</v>
      </c>
      <c r="AH22" s="15" t="n">
        <v>1</v>
      </c>
      <c r="AI22" s="15" t="n">
        <v>1</v>
      </c>
      <c r="AJ22" s="15" t="n">
        <v>1</v>
      </c>
      <c r="AK22" s="15" t="n">
        <v>1</v>
      </c>
      <c r="AL22" s="15" t="n">
        <v>1</v>
      </c>
      <c r="AM22" s="15" t="n">
        <v>1</v>
      </c>
      <c r="AN22" s="15" t="n">
        <v>1</v>
      </c>
      <c r="AO22" s="15" t="n">
        <v>1</v>
      </c>
      <c r="AP22" s="15" t="n">
        <v>2</v>
      </c>
      <c r="AQ22" s="16" t="n">
        <f aca="false">AVERAGE(D22:AP22)</f>
        <v>1.64102564102564</v>
      </c>
    </row>
    <row r="23" customFormat="false" ht="15" hidden="false" customHeight="false" outlineLevel="0" collapsed="false">
      <c r="A23" s="12" t="s">
        <v>184</v>
      </c>
      <c r="B23" s="13" t="s">
        <v>202</v>
      </c>
      <c r="C23" s="14" t="n">
        <v>46</v>
      </c>
      <c r="D23" s="15" t="n">
        <v>3</v>
      </c>
      <c r="E23" s="15" t="n">
        <v>3</v>
      </c>
      <c r="F23" s="15" t="n">
        <v>3</v>
      </c>
      <c r="G23" s="15" t="n">
        <v>3</v>
      </c>
      <c r="H23" s="15" t="n">
        <v>3</v>
      </c>
      <c r="I23" s="15" t="n">
        <v>3</v>
      </c>
      <c r="J23" s="15" t="n">
        <v>3</v>
      </c>
      <c r="K23" s="15" t="n">
        <v>3</v>
      </c>
      <c r="L23" s="15" t="n">
        <v>4</v>
      </c>
      <c r="M23" s="15" t="n">
        <v>2</v>
      </c>
      <c r="N23" s="15" t="n">
        <v>3</v>
      </c>
      <c r="O23" s="15" t="n">
        <v>2</v>
      </c>
      <c r="P23" s="15" t="n">
        <v>3</v>
      </c>
      <c r="Q23" s="15" t="n">
        <v>4</v>
      </c>
      <c r="R23" s="15" t="n">
        <v>4</v>
      </c>
      <c r="S23" s="15" t="n">
        <v>3</v>
      </c>
      <c r="T23" s="15" t="n">
        <v>3</v>
      </c>
      <c r="U23" s="15" t="n">
        <v>3</v>
      </c>
      <c r="V23" s="15" t="n">
        <v>3</v>
      </c>
      <c r="W23" s="15" t="n">
        <v>2</v>
      </c>
      <c r="X23" s="15" t="n">
        <v>4</v>
      </c>
      <c r="Y23" s="15" t="n">
        <v>3</v>
      </c>
      <c r="Z23" s="15" t="n">
        <v>3</v>
      </c>
      <c r="AA23" s="15" t="n">
        <v>3</v>
      </c>
      <c r="AB23" s="15" t="n">
        <v>3</v>
      </c>
      <c r="AC23" s="15" t="n">
        <v>2</v>
      </c>
      <c r="AD23" s="15" t="n">
        <v>3</v>
      </c>
      <c r="AE23" s="15" t="n">
        <v>2</v>
      </c>
      <c r="AF23" s="15" t="n">
        <v>1</v>
      </c>
      <c r="AG23" s="15" t="n">
        <v>1</v>
      </c>
      <c r="AH23" s="15" t="n">
        <v>1</v>
      </c>
      <c r="AI23" s="15" t="n">
        <v>1</v>
      </c>
      <c r="AJ23" s="15" t="n">
        <v>1</v>
      </c>
      <c r="AK23" s="15" t="n">
        <v>1</v>
      </c>
      <c r="AL23" s="15" t="n">
        <v>1</v>
      </c>
      <c r="AM23" s="15" t="n">
        <v>1</v>
      </c>
      <c r="AN23" s="15" t="n">
        <v>1</v>
      </c>
      <c r="AO23" s="15" t="n">
        <v>1</v>
      </c>
      <c r="AP23" s="15" t="n">
        <v>2</v>
      </c>
      <c r="AQ23" s="16" t="n">
        <f aca="false">AVERAGE(D23:AP23)</f>
        <v>2.43589743589744</v>
      </c>
    </row>
    <row r="24" customFormat="false" ht="15" hidden="false" customHeight="false" outlineLevel="0" collapsed="false">
      <c r="A24" s="12" t="s">
        <v>184</v>
      </c>
      <c r="B24" s="13" t="s">
        <v>203</v>
      </c>
      <c r="C24" s="14" t="n">
        <v>48</v>
      </c>
      <c r="D24" s="15" t="n">
        <v>3</v>
      </c>
      <c r="E24" s="15" t="n">
        <v>4</v>
      </c>
      <c r="F24" s="15" t="n">
        <v>4</v>
      </c>
      <c r="G24" s="15" t="n">
        <v>4</v>
      </c>
      <c r="H24" s="15" t="n">
        <v>4</v>
      </c>
      <c r="I24" s="15" t="n">
        <v>5</v>
      </c>
      <c r="J24" s="15" t="n">
        <v>4</v>
      </c>
      <c r="K24" s="15" t="n">
        <v>4</v>
      </c>
      <c r="L24" s="15" t="n">
        <v>4</v>
      </c>
      <c r="M24" s="15" t="n">
        <v>2</v>
      </c>
      <c r="N24" s="15" t="n">
        <v>4</v>
      </c>
      <c r="O24" s="15" t="n">
        <v>2</v>
      </c>
      <c r="P24" s="15" t="n">
        <v>3</v>
      </c>
      <c r="Q24" s="15" t="n">
        <v>4</v>
      </c>
      <c r="R24" s="15" t="n">
        <v>4</v>
      </c>
      <c r="S24" s="15" t="n">
        <v>4</v>
      </c>
      <c r="T24" s="15" t="n">
        <v>4</v>
      </c>
      <c r="U24" s="15" t="n">
        <v>4</v>
      </c>
      <c r="V24" s="15" t="n">
        <v>3</v>
      </c>
      <c r="W24" s="15" t="n">
        <v>2</v>
      </c>
      <c r="X24" s="15" t="n">
        <v>4</v>
      </c>
      <c r="Y24" s="15" t="n">
        <v>3</v>
      </c>
      <c r="Z24" s="15" t="n">
        <v>3</v>
      </c>
      <c r="AA24" s="15" t="n">
        <v>3</v>
      </c>
      <c r="AB24" s="15" t="n">
        <v>3</v>
      </c>
      <c r="AC24" s="15" t="n">
        <v>2</v>
      </c>
      <c r="AD24" s="15" t="n">
        <v>3</v>
      </c>
      <c r="AE24" s="15" t="n">
        <v>2</v>
      </c>
      <c r="AF24" s="15" t="n">
        <v>1</v>
      </c>
      <c r="AG24" s="15" t="n">
        <v>1</v>
      </c>
      <c r="AH24" s="15" t="n">
        <v>1</v>
      </c>
      <c r="AI24" s="15" t="n">
        <v>1</v>
      </c>
      <c r="AJ24" s="15" t="n">
        <v>1</v>
      </c>
      <c r="AK24" s="15" t="n">
        <v>1</v>
      </c>
      <c r="AL24" s="15" t="n">
        <v>1</v>
      </c>
      <c r="AM24" s="15" t="n">
        <v>1</v>
      </c>
      <c r="AN24" s="15" t="n">
        <v>1</v>
      </c>
      <c r="AO24" s="15" t="n">
        <v>1</v>
      </c>
      <c r="AP24" s="15" t="n">
        <v>3</v>
      </c>
      <c r="AQ24" s="16" t="n">
        <f aca="false">AVERAGE(D24:AP24)</f>
        <v>2.76923076923077</v>
      </c>
    </row>
    <row r="25" customFormat="false" ht="15" hidden="false" customHeight="false" outlineLevel="0" collapsed="false">
      <c r="A25" s="12" t="s">
        <v>184</v>
      </c>
      <c r="B25" s="13" t="s">
        <v>204</v>
      </c>
      <c r="C25" s="14" t="n">
        <v>42</v>
      </c>
      <c r="D25" s="15" t="n">
        <v>2</v>
      </c>
      <c r="E25" s="15" t="n">
        <v>1</v>
      </c>
      <c r="F25" s="15" t="n">
        <v>2</v>
      </c>
      <c r="G25" s="15" t="n">
        <v>2</v>
      </c>
      <c r="H25" s="15" t="n">
        <v>1</v>
      </c>
      <c r="I25" s="15" t="n">
        <v>2</v>
      </c>
      <c r="J25" s="15" t="n">
        <v>2</v>
      </c>
      <c r="K25" s="15" t="n">
        <v>2</v>
      </c>
      <c r="L25" s="15" t="n">
        <v>4</v>
      </c>
      <c r="M25" s="15" t="n">
        <v>2</v>
      </c>
      <c r="N25" s="15" t="n">
        <v>1</v>
      </c>
      <c r="O25" s="15" t="n">
        <v>3</v>
      </c>
      <c r="P25" s="15" t="n">
        <v>4</v>
      </c>
      <c r="Q25" s="15" t="n">
        <v>2</v>
      </c>
      <c r="R25" s="15" t="n">
        <v>4</v>
      </c>
      <c r="S25" s="15" t="n">
        <v>3</v>
      </c>
      <c r="T25" s="15" t="n">
        <v>2</v>
      </c>
      <c r="U25" s="15" t="n">
        <v>2</v>
      </c>
      <c r="V25" s="15" t="n">
        <v>4</v>
      </c>
      <c r="W25" s="15" t="n">
        <v>3</v>
      </c>
      <c r="X25" s="15" t="n">
        <v>2</v>
      </c>
      <c r="Y25" s="15" t="n">
        <v>4</v>
      </c>
      <c r="Z25" s="15" t="n">
        <v>4</v>
      </c>
      <c r="AA25" s="15" t="n">
        <v>4</v>
      </c>
      <c r="AB25" s="15" t="n">
        <v>3</v>
      </c>
      <c r="AC25" s="15" t="n">
        <v>2</v>
      </c>
      <c r="AD25" s="15" t="n">
        <v>3</v>
      </c>
      <c r="AE25" s="15" t="n">
        <v>2</v>
      </c>
      <c r="AF25" s="15" t="n">
        <v>1</v>
      </c>
      <c r="AG25" s="15" t="n">
        <v>1</v>
      </c>
      <c r="AH25" s="15" t="n">
        <v>1</v>
      </c>
      <c r="AI25" s="15" t="n">
        <v>1</v>
      </c>
      <c r="AJ25" s="15" t="n">
        <v>1</v>
      </c>
      <c r="AK25" s="15" t="n">
        <v>1</v>
      </c>
      <c r="AL25" s="15" t="n">
        <v>1</v>
      </c>
      <c r="AM25" s="15" t="n">
        <v>1</v>
      </c>
      <c r="AN25" s="15" t="n">
        <v>1</v>
      </c>
      <c r="AO25" s="15" t="n">
        <v>1</v>
      </c>
      <c r="AP25" s="15" t="n">
        <v>2</v>
      </c>
      <c r="AQ25" s="16" t="n">
        <f aca="false">AVERAGE(D25:AP25)</f>
        <v>2.15384615384615</v>
      </c>
    </row>
    <row r="26" customFormat="false" ht="15" hidden="false" customHeight="false" outlineLevel="0" collapsed="false">
      <c r="A26" s="12" t="s">
        <v>184</v>
      </c>
      <c r="B26" s="13" t="s">
        <v>205</v>
      </c>
      <c r="C26" s="14" t="n">
        <v>58</v>
      </c>
      <c r="D26" s="15" t="n">
        <v>3</v>
      </c>
      <c r="E26" s="15" t="n">
        <v>3</v>
      </c>
      <c r="F26" s="15" t="n">
        <v>3</v>
      </c>
      <c r="G26" s="15" t="n">
        <v>3</v>
      </c>
      <c r="H26" s="15" t="n">
        <v>3</v>
      </c>
      <c r="I26" s="15" t="n">
        <v>3</v>
      </c>
      <c r="J26" s="15" t="n">
        <v>3</v>
      </c>
      <c r="K26" s="15" t="n">
        <v>3</v>
      </c>
      <c r="L26" s="15" t="n">
        <v>4</v>
      </c>
      <c r="M26" s="15" t="n">
        <v>2</v>
      </c>
      <c r="N26" s="15" t="n">
        <v>3</v>
      </c>
      <c r="O26" s="15" t="n">
        <v>2</v>
      </c>
      <c r="P26" s="15" t="n">
        <v>4</v>
      </c>
      <c r="Q26" s="15" t="n">
        <v>4</v>
      </c>
      <c r="R26" s="15" t="n">
        <v>4</v>
      </c>
      <c r="S26" s="15" t="n">
        <v>4</v>
      </c>
      <c r="T26" s="15" t="n">
        <v>3</v>
      </c>
      <c r="U26" s="15" t="n">
        <v>3</v>
      </c>
      <c r="V26" s="15" t="n">
        <v>4</v>
      </c>
      <c r="W26" s="15" t="n">
        <v>3</v>
      </c>
      <c r="X26" s="15" t="n">
        <v>4</v>
      </c>
      <c r="Y26" s="15" t="n">
        <v>4</v>
      </c>
      <c r="Z26" s="15" t="n">
        <v>4</v>
      </c>
      <c r="AA26" s="15" t="n">
        <v>4</v>
      </c>
      <c r="AB26" s="15" t="n">
        <v>3</v>
      </c>
      <c r="AC26" s="15" t="n">
        <v>2</v>
      </c>
      <c r="AD26" s="15" t="n">
        <v>3</v>
      </c>
      <c r="AE26" s="15" t="n">
        <v>2</v>
      </c>
      <c r="AF26" s="15" t="n">
        <v>1</v>
      </c>
      <c r="AG26" s="15" t="n">
        <v>1</v>
      </c>
      <c r="AH26" s="15" t="n">
        <v>1</v>
      </c>
      <c r="AI26" s="15" t="n">
        <v>1</v>
      </c>
      <c r="AJ26" s="15" t="n">
        <v>1</v>
      </c>
      <c r="AK26" s="15" t="n">
        <v>1</v>
      </c>
      <c r="AL26" s="15" t="n">
        <v>1</v>
      </c>
      <c r="AM26" s="15" t="n">
        <v>1</v>
      </c>
      <c r="AN26" s="15" t="n">
        <v>1</v>
      </c>
      <c r="AO26" s="15" t="n">
        <v>1</v>
      </c>
      <c r="AP26" s="15" t="n">
        <v>4</v>
      </c>
      <c r="AQ26" s="16" t="n">
        <f aca="false">AVERAGE(D26:AP26)</f>
        <v>2.66666666666667</v>
      </c>
    </row>
    <row r="27" customFormat="false" ht="15" hidden="false" customHeight="false" outlineLevel="0" collapsed="false">
      <c r="A27" s="12" t="s">
        <v>184</v>
      </c>
      <c r="B27" s="13" t="s">
        <v>206</v>
      </c>
      <c r="C27" s="14" t="n">
        <v>28</v>
      </c>
      <c r="D27" s="15" t="n">
        <v>3</v>
      </c>
      <c r="E27" s="15" t="n">
        <v>4</v>
      </c>
      <c r="F27" s="15" t="n">
        <v>4</v>
      </c>
      <c r="G27" s="15" t="n">
        <v>4</v>
      </c>
      <c r="H27" s="15" t="n">
        <v>4</v>
      </c>
      <c r="I27" s="15" t="n">
        <v>5</v>
      </c>
      <c r="J27" s="15" t="n">
        <v>4</v>
      </c>
      <c r="K27" s="15" t="n">
        <v>4</v>
      </c>
      <c r="L27" s="15" t="n">
        <v>5</v>
      </c>
      <c r="M27" s="15" t="n">
        <v>2</v>
      </c>
      <c r="N27" s="15" t="n">
        <v>4</v>
      </c>
      <c r="O27" s="15" t="n">
        <v>2</v>
      </c>
      <c r="P27" s="15" t="n">
        <v>3</v>
      </c>
      <c r="Q27" s="15" t="n">
        <v>4</v>
      </c>
      <c r="R27" s="15" t="n">
        <v>4</v>
      </c>
      <c r="S27" s="15" t="n">
        <v>4</v>
      </c>
      <c r="T27" s="15" t="n">
        <v>5</v>
      </c>
      <c r="U27" s="15" t="n">
        <v>4</v>
      </c>
      <c r="V27" s="15" t="n">
        <v>3</v>
      </c>
      <c r="W27" s="15" t="n">
        <v>2</v>
      </c>
      <c r="X27" s="15" t="n">
        <v>4</v>
      </c>
      <c r="Y27" s="15" t="n">
        <v>3</v>
      </c>
      <c r="Z27" s="15" t="n">
        <v>3</v>
      </c>
      <c r="AA27" s="15" t="n">
        <v>3</v>
      </c>
      <c r="AB27" s="15" t="n">
        <v>3</v>
      </c>
      <c r="AC27" s="15" t="n">
        <v>2</v>
      </c>
      <c r="AD27" s="15" t="n">
        <v>3</v>
      </c>
      <c r="AE27" s="15" t="n">
        <v>2</v>
      </c>
      <c r="AF27" s="15" t="n">
        <v>1</v>
      </c>
      <c r="AG27" s="15" t="n">
        <v>1</v>
      </c>
      <c r="AH27" s="15" t="n">
        <v>1</v>
      </c>
      <c r="AI27" s="15" t="n">
        <v>1</v>
      </c>
      <c r="AJ27" s="15" t="n">
        <v>1</v>
      </c>
      <c r="AK27" s="15" t="n">
        <v>1</v>
      </c>
      <c r="AL27" s="15" t="n">
        <v>1</v>
      </c>
      <c r="AM27" s="15" t="n">
        <v>1</v>
      </c>
      <c r="AN27" s="15" t="n">
        <v>1</v>
      </c>
      <c r="AO27" s="15" t="n">
        <v>1</v>
      </c>
      <c r="AP27" s="15" t="n">
        <v>3</v>
      </c>
      <c r="AQ27" s="16" t="n">
        <f aca="false">AVERAGE(D27:AP27)</f>
        <v>2.82051282051282</v>
      </c>
    </row>
    <row r="28" customFormat="false" ht="15" hidden="false" customHeight="false" outlineLevel="0" collapsed="false">
      <c r="A28" s="10" t="s">
        <v>207</v>
      </c>
      <c r="B28" s="10" t="s">
        <v>208</v>
      </c>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row>
    <row r="29" customFormat="false" ht="15" hidden="false" customHeight="false" outlineLevel="0" collapsed="false">
      <c r="A29" s="17" t="s">
        <v>207</v>
      </c>
      <c r="B29" s="18" t="s">
        <v>209</v>
      </c>
      <c r="C29" s="19" t="n">
        <v>50</v>
      </c>
      <c r="D29" s="15" t="n">
        <v>5</v>
      </c>
      <c r="E29" s="15" t="n">
        <v>2</v>
      </c>
      <c r="F29" s="15" t="n">
        <v>2</v>
      </c>
      <c r="G29" s="15" t="n">
        <v>2</v>
      </c>
      <c r="H29" s="15" t="n">
        <v>2</v>
      </c>
      <c r="I29" s="15" t="n">
        <v>2</v>
      </c>
      <c r="J29" s="15" t="n">
        <v>2</v>
      </c>
      <c r="K29" s="15" t="n">
        <v>2</v>
      </c>
      <c r="L29" s="15" t="n">
        <v>4</v>
      </c>
      <c r="M29" s="15" t="n">
        <v>1</v>
      </c>
      <c r="N29" s="15" t="n">
        <v>2</v>
      </c>
      <c r="O29" s="15" t="n">
        <v>2</v>
      </c>
      <c r="P29" s="15" t="n">
        <v>2</v>
      </c>
      <c r="Q29" s="15" t="n">
        <v>4</v>
      </c>
      <c r="R29" s="15" t="n">
        <v>5</v>
      </c>
      <c r="S29" s="15" t="n">
        <v>2</v>
      </c>
      <c r="T29" s="15" t="n">
        <v>2</v>
      </c>
      <c r="U29" s="15" t="n">
        <v>3</v>
      </c>
      <c r="V29" s="15" t="n">
        <v>3</v>
      </c>
      <c r="W29" s="15" t="n">
        <v>2</v>
      </c>
      <c r="X29" s="15" t="n">
        <v>2</v>
      </c>
      <c r="Y29" s="15" t="n">
        <v>3</v>
      </c>
      <c r="Z29" s="15" t="n">
        <v>2</v>
      </c>
      <c r="AA29" s="15" t="n">
        <v>3</v>
      </c>
      <c r="AB29" s="15" t="n">
        <v>4</v>
      </c>
      <c r="AC29" s="15" t="n">
        <v>3</v>
      </c>
      <c r="AD29" s="15" t="n">
        <v>3</v>
      </c>
      <c r="AE29" s="15" t="n">
        <v>4</v>
      </c>
      <c r="AF29" s="15" t="n">
        <v>1</v>
      </c>
      <c r="AG29" s="15" t="n">
        <v>1</v>
      </c>
      <c r="AH29" s="15" t="n">
        <v>1</v>
      </c>
      <c r="AI29" s="15" t="n">
        <v>1</v>
      </c>
      <c r="AJ29" s="15" t="n">
        <v>1</v>
      </c>
      <c r="AK29" s="15" t="n">
        <v>1</v>
      </c>
      <c r="AL29" s="15" t="n">
        <v>1</v>
      </c>
      <c r="AM29" s="15" t="n">
        <v>1</v>
      </c>
      <c r="AN29" s="15" t="n">
        <v>1</v>
      </c>
      <c r="AO29" s="15" t="n">
        <v>1</v>
      </c>
      <c r="AP29" s="15" t="n">
        <v>2</v>
      </c>
      <c r="AQ29" s="16" t="n">
        <f aca="false">AVERAGE(D29:AP29)</f>
        <v>2.23076923076923</v>
      </c>
    </row>
    <row r="30" customFormat="false" ht="15" hidden="false" customHeight="false" outlineLevel="0" collapsed="false">
      <c r="A30" s="17" t="s">
        <v>207</v>
      </c>
      <c r="B30" s="18" t="s">
        <v>210</v>
      </c>
      <c r="C30" s="19" t="n">
        <v>54</v>
      </c>
      <c r="D30" s="15" t="n">
        <v>4</v>
      </c>
      <c r="E30" s="15" t="n">
        <v>1</v>
      </c>
      <c r="F30" s="15" t="n">
        <v>1</v>
      </c>
      <c r="G30" s="15" t="n">
        <v>1</v>
      </c>
      <c r="H30" s="15" t="n">
        <v>1</v>
      </c>
      <c r="I30" s="15" t="n">
        <v>1</v>
      </c>
      <c r="J30" s="15" t="n">
        <v>1</v>
      </c>
      <c r="K30" s="15" t="n">
        <v>1</v>
      </c>
      <c r="L30" s="15" t="n">
        <v>4</v>
      </c>
      <c r="M30" s="15" t="n">
        <v>1</v>
      </c>
      <c r="N30" s="15" t="n">
        <v>1</v>
      </c>
      <c r="O30" s="15" t="n">
        <v>2</v>
      </c>
      <c r="P30" s="15" t="n">
        <v>1</v>
      </c>
      <c r="Q30" s="15" t="n">
        <v>2</v>
      </c>
      <c r="R30" s="15" t="n">
        <v>4</v>
      </c>
      <c r="S30" s="15" t="n">
        <v>1</v>
      </c>
      <c r="T30" s="15" t="n">
        <v>1</v>
      </c>
      <c r="U30" s="15" t="n">
        <v>2</v>
      </c>
      <c r="V30" s="15" t="n">
        <v>4</v>
      </c>
      <c r="W30" s="15" t="n">
        <v>2</v>
      </c>
      <c r="X30" s="15" t="n">
        <v>1</v>
      </c>
      <c r="Y30" s="15" t="n">
        <v>4</v>
      </c>
      <c r="Z30" s="15" t="n">
        <v>1</v>
      </c>
      <c r="AA30" s="15" t="n">
        <v>4</v>
      </c>
      <c r="AB30" s="15" t="n">
        <v>3</v>
      </c>
      <c r="AC30" s="15" t="n">
        <v>4</v>
      </c>
      <c r="AD30" s="15" t="n">
        <v>4</v>
      </c>
      <c r="AE30" s="15" t="n">
        <v>3</v>
      </c>
      <c r="AF30" s="15" t="n">
        <v>1</v>
      </c>
      <c r="AG30" s="15" t="n">
        <v>1</v>
      </c>
      <c r="AH30" s="15" t="n">
        <v>1</v>
      </c>
      <c r="AI30" s="15" t="n">
        <v>1</v>
      </c>
      <c r="AJ30" s="15" t="n">
        <v>1</v>
      </c>
      <c r="AK30" s="15" t="n">
        <v>1</v>
      </c>
      <c r="AL30" s="15" t="n">
        <v>1</v>
      </c>
      <c r="AM30" s="15" t="n">
        <v>1</v>
      </c>
      <c r="AN30" s="15" t="n">
        <v>1</v>
      </c>
      <c r="AO30" s="15" t="n">
        <v>1</v>
      </c>
      <c r="AP30" s="15" t="n">
        <v>1</v>
      </c>
      <c r="AQ30" s="16" t="n">
        <f aca="false">AVERAGE(D30:AP30)</f>
        <v>1.82051282051282</v>
      </c>
    </row>
    <row r="31" customFormat="false" ht="15" hidden="false" customHeight="false" outlineLevel="0" collapsed="false">
      <c r="A31" s="17" t="s">
        <v>207</v>
      </c>
      <c r="B31" s="18" t="s">
        <v>211</v>
      </c>
      <c r="C31" s="19" t="n">
        <v>145</v>
      </c>
      <c r="D31" s="15" t="n">
        <v>2</v>
      </c>
      <c r="E31" s="15" t="n">
        <v>1</v>
      </c>
      <c r="F31" s="15" t="n">
        <v>1</v>
      </c>
      <c r="G31" s="15" t="n">
        <v>1</v>
      </c>
      <c r="H31" s="15" t="n">
        <v>1</v>
      </c>
      <c r="I31" s="15" t="n">
        <v>1</v>
      </c>
      <c r="J31" s="15" t="n">
        <v>1</v>
      </c>
      <c r="K31" s="15" t="n">
        <v>1</v>
      </c>
      <c r="L31" s="15" t="n">
        <v>4</v>
      </c>
      <c r="M31" s="15" t="n">
        <v>1</v>
      </c>
      <c r="N31" s="15" t="n">
        <v>1</v>
      </c>
      <c r="O31" s="15" t="n">
        <v>1</v>
      </c>
      <c r="P31" s="15" t="n">
        <v>1</v>
      </c>
      <c r="Q31" s="15" t="n">
        <v>1</v>
      </c>
      <c r="R31" s="15" t="n">
        <v>4</v>
      </c>
      <c r="S31" s="15" t="n">
        <v>1</v>
      </c>
      <c r="T31" s="15" t="n">
        <v>1</v>
      </c>
      <c r="U31" s="15" t="n">
        <v>1</v>
      </c>
      <c r="V31" s="15" t="n">
        <v>5</v>
      </c>
      <c r="W31" s="15" t="n">
        <v>1</v>
      </c>
      <c r="X31" s="15" t="n">
        <v>1</v>
      </c>
      <c r="Y31" s="15" t="n">
        <v>4</v>
      </c>
      <c r="Z31" s="15" t="n">
        <v>1</v>
      </c>
      <c r="AA31" s="15" t="n">
        <v>5</v>
      </c>
      <c r="AB31" s="15" t="n">
        <v>3</v>
      </c>
      <c r="AC31" s="15" t="n">
        <v>5</v>
      </c>
      <c r="AD31" s="15" t="n">
        <v>5</v>
      </c>
      <c r="AE31" s="15" t="n">
        <v>3</v>
      </c>
      <c r="AF31" s="15" t="n">
        <v>1</v>
      </c>
      <c r="AG31" s="15" t="n">
        <v>1</v>
      </c>
      <c r="AH31" s="15" t="n">
        <v>1</v>
      </c>
      <c r="AI31" s="15" t="n">
        <v>1</v>
      </c>
      <c r="AJ31" s="15" t="n">
        <v>1</v>
      </c>
      <c r="AK31" s="15" t="n">
        <v>1</v>
      </c>
      <c r="AL31" s="15" t="n">
        <v>1</v>
      </c>
      <c r="AM31" s="15" t="n">
        <v>1</v>
      </c>
      <c r="AN31" s="15" t="n">
        <v>1</v>
      </c>
      <c r="AO31" s="15" t="n">
        <v>1</v>
      </c>
      <c r="AP31" s="15" t="n">
        <v>3</v>
      </c>
      <c r="AQ31" s="16" t="n">
        <f aca="false">AVERAGE(D31:AP31)</f>
        <v>1.82051282051282</v>
      </c>
    </row>
    <row r="32" customFormat="false" ht="15" hidden="false" customHeight="false" outlineLevel="0" collapsed="false">
      <c r="A32" s="17" t="s">
        <v>207</v>
      </c>
      <c r="B32" s="18" t="s">
        <v>212</v>
      </c>
      <c r="C32" s="19" t="n">
        <v>49</v>
      </c>
      <c r="D32" s="15" t="n">
        <v>4</v>
      </c>
      <c r="E32" s="15" t="n">
        <v>2</v>
      </c>
      <c r="F32" s="15" t="n">
        <v>2</v>
      </c>
      <c r="G32" s="15" t="n">
        <v>2</v>
      </c>
      <c r="H32" s="15" t="n">
        <v>2</v>
      </c>
      <c r="I32" s="15" t="n">
        <v>2</v>
      </c>
      <c r="J32" s="15" t="n">
        <v>2</v>
      </c>
      <c r="K32" s="15" t="n">
        <v>2</v>
      </c>
      <c r="L32" s="15" t="n">
        <v>4</v>
      </c>
      <c r="M32" s="15" t="n">
        <v>1</v>
      </c>
      <c r="N32" s="15" t="n">
        <v>2</v>
      </c>
      <c r="O32" s="15" t="n">
        <v>2</v>
      </c>
      <c r="P32" s="15" t="n">
        <v>2</v>
      </c>
      <c r="Q32" s="15" t="n">
        <v>1</v>
      </c>
      <c r="R32" s="15" t="n">
        <v>4</v>
      </c>
      <c r="S32" s="15" t="n">
        <v>2</v>
      </c>
      <c r="T32" s="15" t="n">
        <v>2</v>
      </c>
      <c r="U32" s="15" t="n">
        <v>1</v>
      </c>
      <c r="V32" s="15" t="n">
        <v>3</v>
      </c>
      <c r="W32" s="15" t="n">
        <v>2</v>
      </c>
      <c r="X32" s="15" t="n">
        <v>2</v>
      </c>
      <c r="Y32" s="15" t="n">
        <v>3</v>
      </c>
      <c r="Z32" s="15" t="n">
        <v>2</v>
      </c>
      <c r="AA32" s="15" t="n">
        <v>3</v>
      </c>
      <c r="AB32" s="15" t="n">
        <v>3</v>
      </c>
      <c r="AC32" s="15" t="n">
        <v>3</v>
      </c>
      <c r="AD32" s="15" t="n">
        <v>3</v>
      </c>
      <c r="AE32" s="15" t="n">
        <v>2</v>
      </c>
      <c r="AF32" s="15" t="n">
        <v>1</v>
      </c>
      <c r="AG32" s="15" t="n">
        <v>1</v>
      </c>
      <c r="AH32" s="15" t="n">
        <v>1</v>
      </c>
      <c r="AI32" s="15" t="n">
        <v>1</v>
      </c>
      <c r="AJ32" s="15" t="n">
        <v>1</v>
      </c>
      <c r="AK32" s="15" t="n">
        <v>1</v>
      </c>
      <c r="AL32" s="15" t="n">
        <v>1</v>
      </c>
      <c r="AM32" s="15" t="n">
        <v>1</v>
      </c>
      <c r="AN32" s="15" t="n">
        <v>1</v>
      </c>
      <c r="AO32" s="15" t="n">
        <v>1</v>
      </c>
      <c r="AP32" s="15" t="n">
        <v>1</v>
      </c>
      <c r="AQ32" s="16" t="n">
        <f aca="false">AVERAGE(D32:AP32)</f>
        <v>1.94871794871795</v>
      </c>
    </row>
    <row r="33" customFormat="false" ht="15" hidden="false" customHeight="false" outlineLevel="0" collapsed="false">
      <c r="A33" s="17" t="s">
        <v>207</v>
      </c>
      <c r="B33" s="18" t="s">
        <v>213</v>
      </c>
      <c r="C33" s="19" t="n">
        <v>58</v>
      </c>
      <c r="D33" s="15" t="n">
        <v>3</v>
      </c>
      <c r="E33" s="15" t="n">
        <v>1</v>
      </c>
      <c r="F33" s="15" t="n">
        <v>1</v>
      </c>
      <c r="G33" s="15" t="n">
        <v>1</v>
      </c>
      <c r="H33" s="15" t="n">
        <v>1</v>
      </c>
      <c r="I33" s="15" t="n">
        <v>1</v>
      </c>
      <c r="J33" s="15" t="n">
        <v>1</v>
      </c>
      <c r="K33" s="15" t="n">
        <v>1</v>
      </c>
      <c r="L33" s="15" t="n">
        <v>4</v>
      </c>
      <c r="M33" s="15" t="n">
        <v>1</v>
      </c>
      <c r="N33" s="15" t="n">
        <v>1</v>
      </c>
      <c r="O33" s="15" t="n">
        <v>2</v>
      </c>
      <c r="P33" s="15" t="n">
        <v>1</v>
      </c>
      <c r="Q33" s="15" t="n">
        <v>1</v>
      </c>
      <c r="R33" s="15" t="n">
        <v>3</v>
      </c>
      <c r="S33" s="15" t="n">
        <v>1</v>
      </c>
      <c r="T33" s="15" t="n">
        <v>1</v>
      </c>
      <c r="U33" s="15" t="n">
        <v>1</v>
      </c>
      <c r="V33" s="15" t="n">
        <v>4</v>
      </c>
      <c r="W33" s="15" t="n">
        <v>2</v>
      </c>
      <c r="X33" s="15" t="n">
        <v>1</v>
      </c>
      <c r="Y33" s="15" t="n">
        <v>4</v>
      </c>
      <c r="Z33" s="15" t="n">
        <v>1</v>
      </c>
      <c r="AA33" s="15" t="n">
        <v>4</v>
      </c>
      <c r="AB33" s="15" t="n">
        <v>2</v>
      </c>
      <c r="AC33" s="15" t="n">
        <v>4</v>
      </c>
      <c r="AD33" s="15" t="n">
        <v>4</v>
      </c>
      <c r="AE33" s="15" t="n">
        <v>3</v>
      </c>
      <c r="AF33" s="15" t="n">
        <v>1</v>
      </c>
      <c r="AG33" s="15" t="n">
        <v>1</v>
      </c>
      <c r="AH33" s="15" t="n">
        <v>1</v>
      </c>
      <c r="AI33" s="15" t="n">
        <v>1</v>
      </c>
      <c r="AJ33" s="15" t="n">
        <v>1</v>
      </c>
      <c r="AK33" s="15" t="n">
        <v>1</v>
      </c>
      <c r="AL33" s="15" t="n">
        <v>1</v>
      </c>
      <c r="AM33" s="15" t="n">
        <v>1</v>
      </c>
      <c r="AN33" s="15" t="n">
        <v>1</v>
      </c>
      <c r="AO33" s="15" t="n">
        <v>1</v>
      </c>
      <c r="AP33" s="15" t="n">
        <v>1</v>
      </c>
      <c r="AQ33" s="16" t="n">
        <f aca="false">AVERAGE(D33:AP33)</f>
        <v>1.69230769230769</v>
      </c>
    </row>
    <row r="34" customFormat="false" ht="15" hidden="false" customHeight="false" outlineLevel="0" collapsed="false">
      <c r="A34" s="17" t="s">
        <v>207</v>
      </c>
      <c r="B34" s="18" t="s">
        <v>214</v>
      </c>
      <c r="C34" s="19" t="n">
        <v>210</v>
      </c>
      <c r="D34" s="15" t="n">
        <v>1</v>
      </c>
      <c r="E34" s="15" t="n">
        <v>1</v>
      </c>
      <c r="F34" s="15" t="n">
        <v>1</v>
      </c>
      <c r="G34" s="15" t="n">
        <v>1</v>
      </c>
      <c r="H34" s="15" t="n">
        <v>1</v>
      </c>
      <c r="I34" s="15" t="n">
        <v>1</v>
      </c>
      <c r="J34" s="15" t="n">
        <v>1</v>
      </c>
      <c r="K34" s="15" t="n">
        <v>1</v>
      </c>
      <c r="L34" s="15" t="n">
        <v>3</v>
      </c>
      <c r="M34" s="15" t="n">
        <v>1</v>
      </c>
      <c r="N34" s="15" t="n">
        <v>1</v>
      </c>
      <c r="O34" s="15" t="n">
        <v>1</v>
      </c>
      <c r="P34" s="15" t="n">
        <v>1</v>
      </c>
      <c r="Q34" s="15" t="n">
        <v>1</v>
      </c>
      <c r="R34" s="15" t="n">
        <v>2</v>
      </c>
      <c r="S34" s="15" t="n">
        <v>1</v>
      </c>
      <c r="T34" s="15" t="n">
        <v>1</v>
      </c>
      <c r="U34" s="15" t="n">
        <v>1</v>
      </c>
      <c r="V34" s="15" t="n">
        <v>4</v>
      </c>
      <c r="W34" s="15" t="n">
        <v>1</v>
      </c>
      <c r="X34" s="15" t="n">
        <v>1</v>
      </c>
      <c r="Y34" s="15" t="n">
        <v>3</v>
      </c>
      <c r="Z34" s="15" t="n">
        <v>1</v>
      </c>
      <c r="AA34" s="15" t="n">
        <v>4</v>
      </c>
      <c r="AB34" s="15" t="n">
        <v>1</v>
      </c>
      <c r="AC34" s="15" t="n">
        <v>5</v>
      </c>
      <c r="AD34" s="15" t="n">
        <v>5</v>
      </c>
      <c r="AE34" s="15" t="n">
        <v>2</v>
      </c>
      <c r="AF34" s="15" t="n">
        <v>1</v>
      </c>
      <c r="AG34" s="15" t="n">
        <v>1</v>
      </c>
      <c r="AH34" s="15" t="n">
        <v>1</v>
      </c>
      <c r="AI34" s="15" t="n">
        <v>1</v>
      </c>
      <c r="AJ34" s="15" t="n">
        <v>1</v>
      </c>
      <c r="AK34" s="15" t="n">
        <v>1</v>
      </c>
      <c r="AL34" s="15" t="n">
        <v>1</v>
      </c>
      <c r="AM34" s="15" t="n">
        <v>1</v>
      </c>
      <c r="AN34" s="15" t="n">
        <v>1</v>
      </c>
      <c r="AO34" s="15" t="n">
        <v>1</v>
      </c>
      <c r="AP34" s="15" t="n">
        <v>1</v>
      </c>
      <c r="AQ34" s="16" t="n">
        <f aca="false">AVERAGE(D34:AP34)</f>
        <v>1.51282051282051</v>
      </c>
    </row>
    <row r="35" customFormat="false" ht="15" hidden="false" customHeight="false" outlineLevel="0" collapsed="false">
      <c r="A35" s="17" t="s">
        <v>207</v>
      </c>
      <c r="B35" s="18" t="s">
        <v>215</v>
      </c>
      <c r="C35" s="19" t="n">
        <v>320</v>
      </c>
      <c r="D35" s="15" t="n">
        <v>1</v>
      </c>
      <c r="E35" s="15" t="n">
        <v>1</v>
      </c>
      <c r="F35" s="15" t="n">
        <v>1</v>
      </c>
      <c r="G35" s="15" t="n">
        <v>1</v>
      </c>
      <c r="H35" s="15" t="n">
        <v>1</v>
      </c>
      <c r="I35" s="15" t="n">
        <v>1</v>
      </c>
      <c r="J35" s="15" t="n">
        <v>1</v>
      </c>
      <c r="K35" s="15" t="n">
        <v>1</v>
      </c>
      <c r="L35" s="15" t="n">
        <v>3</v>
      </c>
      <c r="M35" s="15" t="n">
        <v>1</v>
      </c>
      <c r="N35" s="15" t="n">
        <v>1</v>
      </c>
      <c r="O35" s="15" t="n">
        <v>1</v>
      </c>
      <c r="P35" s="15" t="n">
        <v>1</v>
      </c>
      <c r="Q35" s="15" t="n">
        <v>1</v>
      </c>
      <c r="R35" s="15" t="n">
        <v>2</v>
      </c>
      <c r="S35" s="15" t="n">
        <v>1</v>
      </c>
      <c r="T35" s="15" t="n">
        <v>1</v>
      </c>
      <c r="U35" s="15" t="n">
        <v>1</v>
      </c>
      <c r="V35" s="15" t="n">
        <v>3</v>
      </c>
      <c r="W35" s="15" t="n">
        <v>1</v>
      </c>
      <c r="X35" s="15" t="n">
        <v>1</v>
      </c>
      <c r="Y35" s="15" t="n">
        <v>3</v>
      </c>
      <c r="Z35" s="15" t="n">
        <v>1</v>
      </c>
      <c r="AA35" s="15" t="n">
        <v>4</v>
      </c>
      <c r="AB35" s="15" t="n">
        <v>1</v>
      </c>
      <c r="AC35" s="15" t="n">
        <v>5</v>
      </c>
      <c r="AD35" s="15" t="n">
        <v>4</v>
      </c>
      <c r="AE35" s="15" t="n">
        <v>2</v>
      </c>
      <c r="AF35" s="15" t="n">
        <v>1</v>
      </c>
      <c r="AG35" s="15" t="n">
        <v>1</v>
      </c>
      <c r="AH35" s="15" t="n">
        <v>1</v>
      </c>
      <c r="AI35" s="15" t="n">
        <v>1</v>
      </c>
      <c r="AJ35" s="15" t="n">
        <v>1</v>
      </c>
      <c r="AK35" s="15" t="n">
        <v>1</v>
      </c>
      <c r="AL35" s="15" t="n">
        <v>1</v>
      </c>
      <c r="AM35" s="15" t="n">
        <v>1</v>
      </c>
      <c r="AN35" s="15" t="n">
        <v>1</v>
      </c>
      <c r="AO35" s="15" t="n">
        <v>1</v>
      </c>
      <c r="AP35" s="15" t="n">
        <v>1</v>
      </c>
      <c r="AQ35" s="16" t="n">
        <f aca="false">AVERAGE(D35:AP35)</f>
        <v>1.46153846153846</v>
      </c>
    </row>
    <row r="36" customFormat="false" ht="15" hidden="false" customHeight="false" outlineLevel="0" collapsed="false">
      <c r="A36" s="17" t="s">
        <v>207</v>
      </c>
      <c r="B36" s="18" t="s">
        <v>216</v>
      </c>
      <c r="C36" s="19" t="n">
        <v>485</v>
      </c>
      <c r="D36" s="15" t="n">
        <v>1</v>
      </c>
      <c r="E36" s="15" t="n">
        <v>1</v>
      </c>
      <c r="F36" s="15" t="n">
        <v>1</v>
      </c>
      <c r="G36" s="15" t="n">
        <v>1</v>
      </c>
      <c r="H36" s="15" t="n">
        <v>1</v>
      </c>
      <c r="I36" s="15" t="n">
        <v>1</v>
      </c>
      <c r="J36" s="15" t="n">
        <v>1</v>
      </c>
      <c r="K36" s="15" t="n">
        <v>1</v>
      </c>
      <c r="L36" s="15" t="n">
        <v>2</v>
      </c>
      <c r="M36" s="15" t="n">
        <v>1</v>
      </c>
      <c r="N36" s="15" t="n">
        <v>1</v>
      </c>
      <c r="O36" s="15" t="n">
        <v>1</v>
      </c>
      <c r="P36" s="15" t="n">
        <v>1</v>
      </c>
      <c r="Q36" s="15" t="n">
        <v>1</v>
      </c>
      <c r="R36" s="15" t="n">
        <v>1</v>
      </c>
      <c r="S36" s="15" t="n">
        <v>1</v>
      </c>
      <c r="T36" s="15" t="n">
        <v>1</v>
      </c>
      <c r="U36" s="15" t="n">
        <v>1</v>
      </c>
      <c r="V36" s="15" t="n">
        <v>2</v>
      </c>
      <c r="W36" s="15" t="n">
        <v>1</v>
      </c>
      <c r="X36" s="15" t="n">
        <v>1</v>
      </c>
      <c r="Y36" s="15" t="n">
        <v>2</v>
      </c>
      <c r="Z36" s="15" t="n">
        <v>1</v>
      </c>
      <c r="AA36" s="15" t="n">
        <v>3</v>
      </c>
      <c r="AB36" s="15" t="n">
        <v>1</v>
      </c>
      <c r="AC36" s="15" t="n">
        <v>3</v>
      </c>
      <c r="AD36" s="15" t="n">
        <v>3</v>
      </c>
      <c r="AE36" s="15" t="n">
        <v>2</v>
      </c>
      <c r="AF36" s="15" t="n">
        <v>1</v>
      </c>
      <c r="AG36" s="15" t="n">
        <v>1</v>
      </c>
      <c r="AH36" s="15" t="n">
        <v>1</v>
      </c>
      <c r="AI36" s="15" t="n">
        <v>1</v>
      </c>
      <c r="AJ36" s="15" t="n">
        <v>1</v>
      </c>
      <c r="AK36" s="15" t="n">
        <v>1</v>
      </c>
      <c r="AL36" s="15" t="n">
        <v>1</v>
      </c>
      <c r="AM36" s="15" t="n">
        <v>1</v>
      </c>
      <c r="AN36" s="15" t="n">
        <v>1</v>
      </c>
      <c r="AO36" s="15" t="n">
        <v>1</v>
      </c>
      <c r="AP36" s="15" t="n">
        <v>1</v>
      </c>
      <c r="AQ36" s="16" t="n">
        <f aca="false">AVERAGE(D36:AP36)</f>
        <v>1.25641025641026</v>
      </c>
    </row>
    <row r="37" customFormat="false" ht="23.85" hidden="false" customHeight="false" outlineLevel="0" collapsed="false">
      <c r="A37" s="17" t="s">
        <v>207</v>
      </c>
      <c r="B37" s="18" t="s">
        <v>217</v>
      </c>
      <c r="C37" s="19" t="n">
        <v>560</v>
      </c>
      <c r="D37" s="15" t="n">
        <v>1</v>
      </c>
      <c r="E37" s="15" t="n">
        <v>1</v>
      </c>
      <c r="F37" s="15" t="n">
        <v>1</v>
      </c>
      <c r="G37" s="15" t="n">
        <v>1</v>
      </c>
      <c r="H37" s="15" t="n">
        <v>1</v>
      </c>
      <c r="I37" s="15" t="n">
        <v>1</v>
      </c>
      <c r="J37" s="15" t="n">
        <v>1</v>
      </c>
      <c r="K37" s="15" t="n">
        <v>1</v>
      </c>
      <c r="L37" s="15" t="n">
        <v>2</v>
      </c>
      <c r="M37" s="15" t="n">
        <v>1</v>
      </c>
      <c r="N37" s="15" t="n">
        <v>1</v>
      </c>
      <c r="O37" s="15" t="n">
        <v>1</v>
      </c>
      <c r="P37" s="15" t="n">
        <v>1</v>
      </c>
      <c r="Q37" s="15" t="n">
        <v>1</v>
      </c>
      <c r="R37" s="15" t="n">
        <v>1</v>
      </c>
      <c r="S37" s="15" t="n">
        <v>1</v>
      </c>
      <c r="T37" s="15" t="n">
        <v>1</v>
      </c>
      <c r="U37" s="15" t="n">
        <v>1</v>
      </c>
      <c r="V37" s="15" t="n">
        <v>2</v>
      </c>
      <c r="W37" s="15" t="n">
        <v>1</v>
      </c>
      <c r="X37" s="15" t="n">
        <v>1</v>
      </c>
      <c r="Y37" s="15" t="n">
        <v>2</v>
      </c>
      <c r="Z37" s="15" t="n">
        <v>1</v>
      </c>
      <c r="AA37" s="15" t="n">
        <v>3</v>
      </c>
      <c r="AB37" s="15" t="n">
        <v>1</v>
      </c>
      <c r="AC37" s="15" t="n">
        <v>4</v>
      </c>
      <c r="AD37" s="15" t="n">
        <v>3</v>
      </c>
      <c r="AE37" s="15" t="n">
        <v>2</v>
      </c>
      <c r="AF37" s="15" t="n">
        <v>1</v>
      </c>
      <c r="AG37" s="15" t="n">
        <v>1</v>
      </c>
      <c r="AH37" s="15" t="n">
        <v>1</v>
      </c>
      <c r="AI37" s="15" t="n">
        <v>1</v>
      </c>
      <c r="AJ37" s="15" t="n">
        <v>1</v>
      </c>
      <c r="AK37" s="15" t="n">
        <v>1</v>
      </c>
      <c r="AL37" s="15" t="n">
        <v>1</v>
      </c>
      <c r="AM37" s="15" t="n">
        <v>1</v>
      </c>
      <c r="AN37" s="15" t="n">
        <v>1</v>
      </c>
      <c r="AO37" s="15" t="n">
        <v>1</v>
      </c>
      <c r="AP37" s="15" t="n">
        <v>1</v>
      </c>
      <c r="AQ37" s="16" t="n">
        <f aca="false">AVERAGE(D37:AP37)</f>
        <v>1.28205128205128</v>
      </c>
    </row>
    <row r="38" customFormat="false" ht="15" hidden="false" customHeight="false" outlineLevel="0" collapsed="false">
      <c r="A38" s="17" t="s">
        <v>207</v>
      </c>
      <c r="B38" s="18" t="s">
        <v>218</v>
      </c>
      <c r="C38" s="19" t="n">
        <v>45</v>
      </c>
      <c r="D38" s="15" t="n">
        <v>5</v>
      </c>
      <c r="E38" s="15" t="n">
        <v>2</v>
      </c>
      <c r="F38" s="15" t="n">
        <v>2</v>
      </c>
      <c r="G38" s="15" t="n">
        <v>2</v>
      </c>
      <c r="H38" s="15" t="n">
        <v>2</v>
      </c>
      <c r="I38" s="15" t="n">
        <v>2</v>
      </c>
      <c r="J38" s="15" t="n">
        <v>2</v>
      </c>
      <c r="K38" s="15" t="n">
        <v>2</v>
      </c>
      <c r="L38" s="15" t="n">
        <v>4</v>
      </c>
      <c r="M38" s="15" t="n">
        <v>1</v>
      </c>
      <c r="N38" s="15" t="n">
        <v>2</v>
      </c>
      <c r="O38" s="15" t="n">
        <v>2</v>
      </c>
      <c r="P38" s="15" t="n">
        <v>2</v>
      </c>
      <c r="Q38" s="15" t="n">
        <v>3</v>
      </c>
      <c r="R38" s="15" t="n">
        <v>5</v>
      </c>
      <c r="S38" s="15" t="n">
        <v>2</v>
      </c>
      <c r="T38" s="15" t="n">
        <v>2</v>
      </c>
      <c r="U38" s="15" t="n">
        <v>3</v>
      </c>
      <c r="V38" s="15" t="n">
        <v>3</v>
      </c>
      <c r="W38" s="15" t="n">
        <v>2</v>
      </c>
      <c r="X38" s="15" t="n">
        <v>2</v>
      </c>
      <c r="Y38" s="15" t="n">
        <v>3</v>
      </c>
      <c r="Z38" s="15" t="n">
        <v>2</v>
      </c>
      <c r="AA38" s="15" t="n">
        <v>3</v>
      </c>
      <c r="AB38" s="15" t="n">
        <v>4</v>
      </c>
      <c r="AC38" s="15" t="n">
        <v>3</v>
      </c>
      <c r="AD38" s="15" t="n">
        <v>3</v>
      </c>
      <c r="AE38" s="15" t="n">
        <v>4</v>
      </c>
      <c r="AF38" s="15" t="n">
        <v>1</v>
      </c>
      <c r="AG38" s="15" t="n">
        <v>1</v>
      </c>
      <c r="AH38" s="15" t="n">
        <v>1</v>
      </c>
      <c r="AI38" s="15" t="n">
        <v>1</v>
      </c>
      <c r="AJ38" s="15" t="n">
        <v>1</v>
      </c>
      <c r="AK38" s="15" t="n">
        <v>1</v>
      </c>
      <c r="AL38" s="15" t="n">
        <v>1</v>
      </c>
      <c r="AM38" s="15" t="n">
        <v>1</v>
      </c>
      <c r="AN38" s="15" t="n">
        <v>1</v>
      </c>
      <c r="AO38" s="15" t="n">
        <v>1</v>
      </c>
      <c r="AP38" s="15" t="n">
        <v>1</v>
      </c>
      <c r="AQ38" s="16" t="n">
        <f aca="false">AVERAGE(D38:AP38)</f>
        <v>2.17948717948718</v>
      </c>
    </row>
    <row r="39" customFormat="false" ht="15" hidden="false" customHeight="false" outlineLevel="0" collapsed="false">
      <c r="A39" s="17" t="s">
        <v>207</v>
      </c>
      <c r="B39" s="18" t="s">
        <v>219</v>
      </c>
      <c r="C39" s="19" t="n">
        <v>48</v>
      </c>
      <c r="D39" s="15" t="n">
        <v>5</v>
      </c>
      <c r="E39" s="15" t="n">
        <v>2</v>
      </c>
      <c r="F39" s="15" t="n">
        <v>2</v>
      </c>
      <c r="G39" s="15" t="n">
        <v>2</v>
      </c>
      <c r="H39" s="15" t="n">
        <v>2</v>
      </c>
      <c r="I39" s="15" t="n">
        <v>2</v>
      </c>
      <c r="J39" s="15" t="n">
        <v>2</v>
      </c>
      <c r="K39" s="15" t="n">
        <v>2</v>
      </c>
      <c r="L39" s="15" t="n">
        <v>4</v>
      </c>
      <c r="M39" s="15" t="n">
        <v>1</v>
      </c>
      <c r="N39" s="15" t="n">
        <v>2</v>
      </c>
      <c r="O39" s="15" t="n">
        <v>2</v>
      </c>
      <c r="P39" s="15" t="n">
        <v>2</v>
      </c>
      <c r="Q39" s="15" t="n">
        <v>2</v>
      </c>
      <c r="R39" s="15" t="n">
        <v>5</v>
      </c>
      <c r="S39" s="15" t="n">
        <v>2</v>
      </c>
      <c r="T39" s="15" t="n">
        <v>2</v>
      </c>
      <c r="U39" s="15" t="n">
        <v>2</v>
      </c>
      <c r="V39" s="15" t="n">
        <v>3</v>
      </c>
      <c r="W39" s="15" t="n">
        <v>2</v>
      </c>
      <c r="X39" s="15" t="n">
        <v>2</v>
      </c>
      <c r="Y39" s="15" t="n">
        <v>3</v>
      </c>
      <c r="Z39" s="15" t="n">
        <v>2</v>
      </c>
      <c r="AA39" s="15" t="n">
        <v>3</v>
      </c>
      <c r="AB39" s="15" t="n">
        <v>4</v>
      </c>
      <c r="AC39" s="15" t="n">
        <v>3</v>
      </c>
      <c r="AD39" s="15" t="n">
        <v>3</v>
      </c>
      <c r="AE39" s="15" t="n">
        <v>4</v>
      </c>
      <c r="AF39" s="15" t="n">
        <v>1</v>
      </c>
      <c r="AG39" s="15" t="n">
        <v>1</v>
      </c>
      <c r="AH39" s="15" t="n">
        <v>1</v>
      </c>
      <c r="AI39" s="15" t="n">
        <v>1</v>
      </c>
      <c r="AJ39" s="15" t="n">
        <v>1</v>
      </c>
      <c r="AK39" s="15" t="n">
        <v>1</v>
      </c>
      <c r="AL39" s="15" t="n">
        <v>1</v>
      </c>
      <c r="AM39" s="15" t="n">
        <v>1</v>
      </c>
      <c r="AN39" s="15" t="n">
        <v>1</v>
      </c>
      <c r="AO39" s="15" t="n">
        <v>1</v>
      </c>
      <c r="AP39" s="15" t="n">
        <v>1</v>
      </c>
      <c r="AQ39" s="16" t="n">
        <f aca="false">AVERAGE(D39:AP39)</f>
        <v>2.12820512820513</v>
      </c>
    </row>
    <row r="40" customFormat="false" ht="15" hidden="false" customHeight="false" outlineLevel="0" collapsed="false">
      <c r="A40" s="17" t="s">
        <v>207</v>
      </c>
      <c r="B40" s="18" t="s">
        <v>220</v>
      </c>
      <c r="C40" s="19" t="n">
        <v>45</v>
      </c>
      <c r="D40" s="15" t="n">
        <v>2</v>
      </c>
      <c r="E40" s="15" t="n">
        <v>1</v>
      </c>
      <c r="F40" s="15" t="n">
        <v>1</v>
      </c>
      <c r="G40" s="15" t="n">
        <v>1</v>
      </c>
      <c r="H40" s="15" t="n">
        <v>1</v>
      </c>
      <c r="I40" s="15" t="n">
        <v>1</v>
      </c>
      <c r="J40" s="15" t="n">
        <v>1</v>
      </c>
      <c r="K40" s="15" t="n">
        <v>1</v>
      </c>
      <c r="L40" s="15" t="n">
        <v>3</v>
      </c>
      <c r="M40" s="15" t="n">
        <v>1</v>
      </c>
      <c r="N40" s="15" t="n">
        <v>1</v>
      </c>
      <c r="O40" s="15" t="n">
        <v>1</v>
      </c>
      <c r="P40" s="15" t="n">
        <v>1</v>
      </c>
      <c r="Q40" s="15" t="n">
        <v>1</v>
      </c>
      <c r="R40" s="15" t="n">
        <v>3</v>
      </c>
      <c r="S40" s="15" t="n">
        <v>1</v>
      </c>
      <c r="T40" s="15" t="n">
        <v>1</v>
      </c>
      <c r="U40" s="15" t="n">
        <v>1</v>
      </c>
      <c r="V40" s="15" t="n">
        <v>3</v>
      </c>
      <c r="W40" s="15" t="n">
        <v>1</v>
      </c>
      <c r="X40" s="15" t="n">
        <v>1</v>
      </c>
      <c r="Y40" s="15" t="n">
        <v>3</v>
      </c>
      <c r="Z40" s="15" t="n">
        <v>1</v>
      </c>
      <c r="AA40" s="15" t="n">
        <v>3</v>
      </c>
      <c r="AB40" s="15" t="n">
        <v>2</v>
      </c>
      <c r="AC40" s="15" t="n">
        <v>3</v>
      </c>
      <c r="AD40" s="15" t="n">
        <v>3</v>
      </c>
      <c r="AE40" s="15" t="n">
        <v>2</v>
      </c>
      <c r="AF40" s="15" t="n">
        <v>1</v>
      </c>
      <c r="AG40" s="15" t="n">
        <v>1</v>
      </c>
      <c r="AH40" s="15" t="n">
        <v>1</v>
      </c>
      <c r="AI40" s="15" t="n">
        <v>1</v>
      </c>
      <c r="AJ40" s="15" t="n">
        <v>1</v>
      </c>
      <c r="AK40" s="15" t="n">
        <v>1</v>
      </c>
      <c r="AL40" s="15" t="n">
        <v>1</v>
      </c>
      <c r="AM40" s="15" t="n">
        <v>1</v>
      </c>
      <c r="AN40" s="15" t="n">
        <v>1</v>
      </c>
      <c r="AO40" s="15" t="n">
        <v>1</v>
      </c>
      <c r="AP40" s="15" t="n">
        <v>1</v>
      </c>
      <c r="AQ40" s="16" t="n">
        <f aca="false">AVERAGE(D40:AP40)</f>
        <v>1.43589743589744</v>
      </c>
    </row>
    <row r="41" customFormat="false" ht="15" hidden="false" customHeight="false" outlineLevel="0" collapsed="false">
      <c r="A41" s="17" t="s">
        <v>207</v>
      </c>
      <c r="B41" s="18" t="s">
        <v>221</v>
      </c>
      <c r="C41" s="19" t="n">
        <v>58</v>
      </c>
      <c r="D41" s="15" t="n">
        <v>2</v>
      </c>
      <c r="E41" s="15" t="n">
        <v>1</v>
      </c>
      <c r="F41" s="15" t="n">
        <v>1</v>
      </c>
      <c r="G41" s="15" t="n">
        <v>1</v>
      </c>
      <c r="H41" s="15" t="n">
        <v>1</v>
      </c>
      <c r="I41" s="15" t="n">
        <v>1</v>
      </c>
      <c r="J41" s="15" t="n">
        <v>1</v>
      </c>
      <c r="K41" s="15" t="n">
        <v>1</v>
      </c>
      <c r="L41" s="15" t="n">
        <v>3</v>
      </c>
      <c r="M41" s="15" t="n">
        <v>1</v>
      </c>
      <c r="N41" s="15" t="n">
        <v>1</v>
      </c>
      <c r="O41" s="15" t="n">
        <v>1</v>
      </c>
      <c r="P41" s="15" t="n">
        <v>1</v>
      </c>
      <c r="Q41" s="15" t="n">
        <v>1</v>
      </c>
      <c r="R41" s="15" t="n">
        <v>3</v>
      </c>
      <c r="S41" s="15" t="n">
        <v>1</v>
      </c>
      <c r="T41" s="15" t="n">
        <v>1</v>
      </c>
      <c r="U41" s="15" t="n">
        <v>1</v>
      </c>
      <c r="V41" s="15" t="n">
        <v>3</v>
      </c>
      <c r="W41" s="15" t="n">
        <v>1</v>
      </c>
      <c r="X41" s="15" t="n">
        <v>1</v>
      </c>
      <c r="Y41" s="15" t="n">
        <v>3</v>
      </c>
      <c r="Z41" s="15" t="n">
        <v>1</v>
      </c>
      <c r="AA41" s="15" t="n">
        <v>3</v>
      </c>
      <c r="AB41" s="15" t="n">
        <v>2</v>
      </c>
      <c r="AC41" s="15" t="n">
        <v>4</v>
      </c>
      <c r="AD41" s="15" t="n">
        <v>3</v>
      </c>
      <c r="AE41" s="15" t="n">
        <v>2</v>
      </c>
      <c r="AF41" s="15" t="n">
        <v>1</v>
      </c>
      <c r="AG41" s="15" t="n">
        <v>1</v>
      </c>
      <c r="AH41" s="15" t="n">
        <v>1</v>
      </c>
      <c r="AI41" s="15" t="n">
        <v>1</v>
      </c>
      <c r="AJ41" s="15" t="n">
        <v>1</v>
      </c>
      <c r="AK41" s="15" t="n">
        <v>1</v>
      </c>
      <c r="AL41" s="15" t="n">
        <v>1</v>
      </c>
      <c r="AM41" s="15" t="n">
        <v>1</v>
      </c>
      <c r="AN41" s="15" t="n">
        <v>1</v>
      </c>
      <c r="AO41" s="15" t="n">
        <v>1</v>
      </c>
      <c r="AP41" s="15" t="n">
        <v>1</v>
      </c>
      <c r="AQ41" s="16" t="n">
        <f aca="false">AVERAGE(D41:AP41)</f>
        <v>1.46153846153846</v>
      </c>
    </row>
    <row r="42" customFormat="false" ht="15" hidden="false" customHeight="false" outlineLevel="0" collapsed="false">
      <c r="A42" s="17" t="s">
        <v>207</v>
      </c>
      <c r="B42" s="18" t="s">
        <v>222</v>
      </c>
      <c r="C42" s="19" t="n">
        <v>68</v>
      </c>
      <c r="D42" s="15" t="n">
        <v>1</v>
      </c>
      <c r="E42" s="15" t="n">
        <v>1</v>
      </c>
      <c r="F42" s="15" t="n">
        <v>1</v>
      </c>
      <c r="G42" s="15" t="n">
        <v>1</v>
      </c>
      <c r="H42" s="15" t="n">
        <v>1</v>
      </c>
      <c r="I42" s="15" t="n">
        <v>1</v>
      </c>
      <c r="J42" s="15" t="n">
        <v>1</v>
      </c>
      <c r="K42" s="15" t="n">
        <v>1</v>
      </c>
      <c r="L42" s="15" t="n">
        <v>3</v>
      </c>
      <c r="M42" s="15" t="n">
        <v>1</v>
      </c>
      <c r="N42" s="15" t="n">
        <v>1</v>
      </c>
      <c r="O42" s="15" t="n">
        <v>1</v>
      </c>
      <c r="P42" s="15" t="n">
        <v>1</v>
      </c>
      <c r="Q42" s="15" t="n">
        <v>1</v>
      </c>
      <c r="R42" s="15" t="n">
        <v>3</v>
      </c>
      <c r="S42" s="15" t="n">
        <v>1</v>
      </c>
      <c r="T42" s="15" t="n">
        <v>1</v>
      </c>
      <c r="U42" s="15" t="n">
        <v>1</v>
      </c>
      <c r="V42" s="15" t="n">
        <v>3</v>
      </c>
      <c r="W42" s="15" t="n">
        <v>1</v>
      </c>
      <c r="X42" s="15" t="n">
        <v>1</v>
      </c>
      <c r="Y42" s="15" t="n">
        <v>3</v>
      </c>
      <c r="Z42" s="15" t="n">
        <v>1</v>
      </c>
      <c r="AA42" s="15" t="n">
        <v>4</v>
      </c>
      <c r="AB42" s="15" t="n">
        <v>2</v>
      </c>
      <c r="AC42" s="15" t="n">
        <v>3</v>
      </c>
      <c r="AD42" s="15" t="n">
        <v>3</v>
      </c>
      <c r="AE42" s="15" t="n">
        <v>2</v>
      </c>
      <c r="AF42" s="15" t="n">
        <v>1</v>
      </c>
      <c r="AG42" s="15" t="n">
        <v>1</v>
      </c>
      <c r="AH42" s="15" t="n">
        <v>1</v>
      </c>
      <c r="AI42" s="15" t="n">
        <v>1</v>
      </c>
      <c r="AJ42" s="15" t="n">
        <v>1</v>
      </c>
      <c r="AK42" s="15" t="n">
        <v>1</v>
      </c>
      <c r="AL42" s="15" t="n">
        <v>1</v>
      </c>
      <c r="AM42" s="15" t="n">
        <v>1</v>
      </c>
      <c r="AN42" s="15" t="n">
        <v>1</v>
      </c>
      <c r="AO42" s="15" t="n">
        <v>1</v>
      </c>
      <c r="AP42" s="15" t="n">
        <v>1</v>
      </c>
      <c r="AQ42" s="16" t="n">
        <f aca="false">AVERAGE(D42:AP42)</f>
        <v>1.43589743589744</v>
      </c>
    </row>
    <row r="43" customFormat="false" ht="15" hidden="false" customHeight="false" outlineLevel="0" collapsed="false">
      <c r="A43" s="17" t="s">
        <v>207</v>
      </c>
      <c r="B43" s="18" t="s">
        <v>223</v>
      </c>
      <c r="C43" s="19" t="n">
        <v>115</v>
      </c>
      <c r="D43" s="15" t="n">
        <v>1</v>
      </c>
      <c r="E43" s="15" t="n">
        <v>1</v>
      </c>
      <c r="F43" s="15" t="n">
        <v>1</v>
      </c>
      <c r="G43" s="15" t="n">
        <v>1</v>
      </c>
      <c r="H43" s="15" t="n">
        <v>1</v>
      </c>
      <c r="I43" s="15" t="n">
        <v>1</v>
      </c>
      <c r="J43" s="15" t="n">
        <v>1</v>
      </c>
      <c r="K43" s="15" t="n">
        <v>1</v>
      </c>
      <c r="L43" s="15" t="n">
        <v>2</v>
      </c>
      <c r="M43" s="15" t="n">
        <v>1</v>
      </c>
      <c r="N43" s="15" t="n">
        <v>1</v>
      </c>
      <c r="O43" s="15" t="n">
        <v>1</v>
      </c>
      <c r="P43" s="15" t="n">
        <v>1</v>
      </c>
      <c r="Q43" s="15" t="n">
        <v>1</v>
      </c>
      <c r="R43" s="15" t="n">
        <v>2</v>
      </c>
      <c r="S43" s="15" t="n">
        <v>1</v>
      </c>
      <c r="T43" s="15" t="n">
        <v>1</v>
      </c>
      <c r="U43" s="15" t="n">
        <v>1</v>
      </c>
      <c r="V43" s="15" t="n">
        <v>3</v>
      </c>
      <c r="W43" s="15" t="n">
        <v>1</v>
      </c>
      <c r="X43" s="15" t="n">
        <v>1</v>
      </c>
      <c r="Y43" s="15" t="n">
        <v>3</v>
      </c>
      <c r="Z43" s="15" t="n">
        <v>1</v>
      </c>
      <c r="AA43" s="15" t="n">
        <v>3</v>
      </c>
      <c r="AB43" s="15" t="n">
        <v>1</v>
      </c>
      <c r="AC43" s="15" t="n">
        <v>4</v>
      </c>
      <c r="AD43" s="15" t="n">
        <v>3</v>
      </c>
      <c r="AE43" s="15" t="n">
        <v>2</v>
      </c>
      <c r="AF43" s="15" t="n">
        <v>1</v>
      </c>
      <c r="AG43" s="15" t="n">
        <v>1</v>
      </c>
      <c r="AH43" s="15" t="n">
        <v>1</v>
      </c>
      <c r="AI43" s="15" t="n">
        <v>1</v>
      </c>
      <c r="AJ43" s="15" t="n">
        <v>1</v>
      </c>
      <c r="AK43" s="15" t="n">
        <v>1</v>
      </c>
      <c r="AL43" s="15" t="n">
        <v>1</v>
      </c>
      <c r="AM43" s="15" t="n">
        <v>1</v>
      </c>
      <c r="AN43" s="15" t="n">
        <v>1</v>
      </c>
      <c r="AO43" s="15" t="n">
        <v>1</v>
      </c>
      <c r="AP43" s="15" t="n">
        <v>1</v>
      </c>
      <c r="AQ43" s="16" t="n">
        <f aca="false">AVERAGE(D43:AP43)</f>
        <v>1.35897435897436</v>
      </c>
    </row>
    <row r="44" customFormat="false" ht="15" hidden="false" customHeight="false" outlineLevel="0" collapsed="false">
      <c r="A44" s="17" t="s">
        <v>207</v>
      </c>
      <c r="B44" s="18" t="s">
        <v>224</v>
      </c>
      <c r="C44" s="19" t="n">
        <v>45</v>
      </c>
      <c r="D44" s="15" t="n">
        <v>1</v>
      </c>
      <c r="E44" s="15" t="n">
        <v>1</v>
      </c>
      <c r="F44" s="15" t="n">
        <v>1</v>
      </c>
      <c r="G44" s="15" t="n">
        <v>1</v>
      </c>
      <c r="H44" s="15" t="n">
        <v>1</v>
      </c>
      <c r="I44" s="15" t="n">
        <v>1</v>
      </c>
      <c r="J44" s="15" t="n">
        <v>1</v>
      </c>
      <c r="K44" s="15" t="n">
        <v>1</v>
      </c>
      <c r="L44" s="15" t="n">
        <v>2</v>
      </c>
      <c r="M44" s="15" t="n">
        <v>1</v>
      </c>
      <c r="N44" s="15" t="n">
        <v>1</v>
      </c>
      <c r="O44" s="15" t="n">
        <v>1</v>
      </c>
      <c r="P44" s="15" t="n">
        <v>1</v>
      </c>
      <c r="Q44" s="15" t="n">
        <v>1</v>
      </c>
      <c r="R44" s="15" t="n">
        <v>2</v>
      </c>
      <c r="S44" s="15" t="n">
        <v>1</v>
      </c>
      <c r="T44" s="15" t="n">
        <v>1</v>
      </c>
      <c r="U44" s="15" t="n">
        <v>1</v>
      </c>
      <c r="V44" s="15" t="n">
        <v>3</v>
      </c>
      <c r="W44" s="15" t="n">
        <v>1</v>
      </c>
      <c r="X44" s="15" t="n">
        <v>1</v>
      </c>
      <c r="Y44" s="15" t="n">
        <v>3</v>
      </c>
      <c r="Z44" s="15" t="n">
        <v>1</v>
      </c>
      <c r="AA44" s="15" t="n">
        <v>3</v>
      </c>
      <c r="AB44" s="15" t="n">
        <v>1</v>
      </c>
      <c r="AC44" s="15" t="n">
        <v>3</v>
      </c>
      <c r="AD44" s="15" t="n">
        <v>3</v>
      </c>
      <c r="AE44" s="15" t="n">
        <v>2</v>
      </c>
      <c r="AF44" s="15" t="n">
        <v>1</v>
      </c>
      <c r="AG44" s="15" t="n">
        <v>1</v>
      </c>
      <c r="AH44" s="15" t="n">
        <v>1</v>
      </c>
      <c r="AI44" s="15" t="n">
        <v>1</v>
      </c>
      <c r="AJ44" s="15" t="n">
        <v>1</v>
      </c>
      <c r="AK44" s="15" t="n">
        <v>1</v>
      </c>
      <c r="AL44" s="15" t="n">
        <v>1</v>
      </c>
      <c r="AM44" s="15" t="n">
        <v>1</v>
      </c>
      <c r="AN44" s="15" t="n">
        <v>1</v>
      </c>
      <c r="AO44" s="15" t="n">
        <v>1</v>
      </c>
      <c r="AP44" s="15" t="n">
        <v>1</v>
      </c>
      <c r="AQ44" s="16" t="n">
        <f aca="false">AVERAGE(D44:AP44)</f>
        <v>1.33333333333333</v>
      </c>
    </row>
    <row r="45" customFormat="false" ht="23.85" hidden="false" customHeight="false" outlineLevel="0" collapsed="false">
      <c r="A45" s="17" t="s">
        <v>207</v>
      </c>
      <c r="B45" s="18" t="s">
        <v>225</v>
      </c>
      <c r="C45" s="19" t="n">
        <v>75</v>
      </c>
      <c r="D45" s="15" t="n">
        <v>1</v>
      </c>
      <c r="E45" s="15" t="n">
        <v>1</v>
      </c>
      <c r="F45" s="15" t="n">
        <v>1</v>
      </c>
      <c r="G45" s="15" t="n">
        <v>1</v>
      </c>
      <c r="H45" s="15" t="n">
        <v>1</v>
      </c>
      <c r="I45" s="15" t="n">
        <v>1</v>
      </c>
      <c r="J45" s="15" t="n">
        <v>1</v>
      </c>
      <c r="K45" s="15" t="n">
        <v>1</v>
      </c>
      <c r="L45" s="15" t="n">
        <v>2</v>
      </c>
      <c r="M45" s="15" t="n">
        <v>1</v>
      </c>
      <c r="N45" s="15" t="n">
        <v>1</v>
      </c>
      <c r="O45" s="15" t="n">
        <v>1</v>
      </c>
      <c r="P45" s="15" t="n">
        <v>1</v>
      </c>
      <c r="Q45" s="15" t="n">
        <v>1</v>
      </c>
      <c r="R45" s="15" t="n">
        <v>2</v>
      </c>
      <c r="S45" s="15" t="n">
        <v>1</v>
      </c>
      <c r="T45" s="15" t="n">
        <v>1</v>
      </c>
      <c r="U45" s="15" t="n">
        <v>1</v>
      </c>
      <c r="V45" s="15" t="n">
        <v>3</v>
      </c>
      <c r="W45" s="15" t="n">
        <v>1</v>
      </c>
      <c r="X45" s="15" t="n">
        <v>1</v>
      </c>
      <c r="Y45" s="15" t="n">
        <v>3</v>
      </c>
      <c r="Z45" s="15" t="n">
        <v>1</v>
      </c>
      <c r="AA45" s="15" t="n">
        <v>4</v>
      </c>
      <c r="AB45" s="15" t="n">
        <v>1</v>
      </c>
      <c r="AC45" s="15" t="n">
        <v>4</v>
      </c>
      <c r="AD45" s="15" t="n">
        <v>4</v>
      </c>
      <c r="AE45" s="15" t="n">
        <v>2</v>
      </c>
      <c r="AF45" s="15" t="n">
        <v>1</v>
      </c>
      <c r="AG45" s="15" t="n">
        <v>1</v>
      </c>
      <c r="AH45" s="15" t="n">
        <v>1</v>
      </c>
      <c r="AI45" s="15" t="n">
        <v>1</v>
      </c>
      <c r="AJ45" s="15" t="n">
        <v>1</v>
      </c>
      <c r="AK45" s="15" t="n">
        <v>1</v>
      </c>
      <c r="AL45" s="15" t="n">
        <v>1</v>
      </c>
      <c r="AM45" s="15" t="n">
        <v>1</v>
      </c>
      <c r="AN45" s="15" t="n">
        <v>1</v>
      </c>
      <c r="AO45" s="15" t="n">
        <v>1</v>
      </c>
      <c r="AP45" s="15" t="n">
        <v>1</v>
      </c>
      <c r="AQ45" s="16" t="n">
        <f aca="false">AVERAGE(D45:AP45)</f>
        <v>1.41025641025641</v>
      </c>
    </row>
    <row r="46" customFormat="false" ht="15" hidden="false" customHeight="false" outlineLevel="0" collapsed="false">
      <c r="A46" s="17" t="s">
        <v>207</v>
      </c>
      <c r="B46" s="18" t="s">
        <v>226</v>
      </c>
      <c r="C46" s="19" t="n">
        <v>80</v>
      </c>
      <c r="D46" s="15" t="n">
        <v>1</v>
      </c>
      <c r="E46" s="15" t="n">
        <v>1</v>
      </c>
      <c r="F46" s="15" t="n">
        <v>1</v>
      </c>
      <c r="G46" s="15" t="n">
        <v>1</v>
      </c>
      <c r="H46" s="15" t="n">
        <v>1</v>
      </c>
      <c r="I46" s="15" t="n">
        <v>1</v>
      </c>
      <c r="J46" s="15" t="n">
        <v>1</v>
      </c>
      <c r="K46" s="15" t="n">
        <v>1</v>
      </c>
      <c r="L46" s="15" t="n">
        <v>2</v>
      </c>
      <c r="M46" s="15" t="n">
        <v>1</v>
      </c>
      <c r="N46" s="15" t="n">
        <v>1</v>
      </c>
      <c r="O46" s="15" t="n">
        <v>1</v>
      </c>
      <c r="P46" s="15" t="n">
        <v>1</v>
      </c>
      <c r="Q46" s="15" t="n">
        <v>1</v>
      </c>
      <c r="R46" s="15" t="n">
        <v>2</v>
      </c>
      <c r="S46" s="15" t="n">
        <v>1</v>
      </c>
      <c r="T46" s="15" t="n">
        <v>1</v>
      </c>
      <c r="U46" s="15" t="n">
        <v>1</v>
      </c>
      <c r="V46" s="15" t="n">
        <v>3</v>
      </c>
      <c r="W46" s="15" t="n">
        <v>1</v>
      </c>
      <c r="X46" s="15" t="n">
        <v>1</v>
      </c>
      <c r="Y46" s="15" t="n">
        <v>3</v>
      </c>
      <c r="Z46" s="15" t="n">
        <v>1</v>
      </c>
      <c r="AA46" s="15" t="n">
        <v>4</v>
      </c>
      <c r="AB46" s="15" t="n">
        <v>1</v>
      </c>
      <c r="AC46" s="15" t="n">
        <v>4</v>
      </c>
      <c r="AD46" s="15" t="n">
        <v>4</v>
      </c>
      <c r="AE46" s="15" t="n">
        <v>2</v>
      </c>
      <c r="AF46" s="15" t="n">
        <v>1</v>
      </c>
      <c r="AG46" s="15" t="n">
        <v>1</v>
      </c>
      <c r="AH46" s="15" t="n">
        <v>1</v>
      </c>
      <c r="AI46" s="15" t="n">
        <v>1</v>
      </c>
      <c r="AJ46" s="15" t="n">
        <v>1</v>
      </c>
      <c r="AK46" s="15" t="n">
        <v>1</v>
      </c>
      <c r="AL46" s="15" t="n">
        <v>1</v>
      </c>
      <c r="AM46" s="15" t="n">
        <v>1</v>
      </c>
      <c r="AN46" s="15" t="n">
        <v>1</v>
      </c>
      <c r="AO46" s="15" t="n">
        <v>1</v>
      </c>
      <c r="AP46" s="15" t="n">
        <v>1</v>
      </c>
      <c r="AQ46" s="16" t="n">
        <f aca="false">AVERAGE(D46:AP46)</f>
        <v>1.41025641025641</v>
      </c>
    </row>
    <row r="47" customFormat="false" ht="15" hidden="false" customHeight="false" outlineLevel="0" collapsed="false">
      <c r="A47" s="17" t="s">
        <v>207</v>
      </c>
      <c r="B47" s="18" t="s">
        <v>227</v>
      </c>
      <c r="C47" s="19" t="n">
        <v>85</v>
      </c>
      <c r="D47" s="15" t="n">
        <v>1</v>
      </c>
      <c r="E47" s="15" t="n">
        <v>1</v>
      </c>
      <c r="F47" s="15" t="n">
        <v>1</v>
      </c>
      <c r="G47" s="15" t="n">
        <v>1</v>
      </c>
      <c r="H47" s="15" t="n">
        <v>1</v>
      </c>
      <c r="I47" s="15" t="n">
        <v>1</v>
      </c>
      <c r="J47" s="15" t="n">
        <v>1</v>
      </c>
      <c r="K47" s="15" t="n">
        <v>1</v>
      </c>
      <c r="L47" s="15" t="n">
        <v>2</v>
      </c>
      <c r="M47" s="15" t="n">
        <v>1</v>
      </c>
      <c r="N47" s="15" t="n">
        <v>1</v>
      </c>
      <c r="O47" s="15" t="n">
        <v>1</v>
      </c>
      <c r="P47" s="15" t="n">
        <v>1</v>
      </c>
      <c r="Q47" s="15" t="n">
        <v>1</v>
      </c>
      <c r="R47" s="15" t="n">
        <v>2</v>
      </c>
      <c r="S47" s="15" t="n">
        <v>1</v>
      </c>
      <c r="T47" s="15" t="n">
        <v>1</v>
      </c>
      <c r="U47" s="15" t="n">
        <v>1</v>
      </c>
      <c r="V47" s="15" t="n">
        <v>3</v>
      </c>
      <c r="W47" s="15" t="n">
        <v>1</v>
      </c>
      <c r="X47" s="15" t="n">
        <v>1</v>
      </c>
      <c r="Y47" s="15" t="n">
        <v>3</v>
      </c>
      <c r="Z47" s="15" t="n">
        <v>1</v>
      </c>
      <c r="AA47" s="15" t="n">
        <v>4</v>
      </c>
      <c r="AB47" s="15" t="n">
        <v>1</v>
      </c>
      <c r="AC47" s="15" t="n">
        <v>4</v>
      </c>
      <c r="AD47" s="15" t="n">
        <v>4</v>
      </c>
      <c r="AE47" s="15" t="n">
        <v>2</v>
      </c>
      <c r="AF47" s="15" t="n">
        <v>1</v>
      </c>
      <c r="AG47" s="15" t="n">
        <v>1</v>
      </c>
      <c r="AH47" s="15" t="n">
        <v>1</v>
      </c>
      <c r="AI47" s="15" t="n">
        <v>1</v>
      </c>
      <c r="AJ47" s="15" t="n">
        <v>1</v>
      </c>
      <c r="AK47" s="15" t="n">
        <v>1</v>
      </c>
      <c r="AL47" s="15" t="n">
        <v>1</v>
      </c>
      <c r="AM47" s="15" t="n">
        <v>1</v>
      </c>
      <c r="AN47" s="15" t="n">
        <v>1</v>
      </c>
      <c r="AO47" s="15" t="n">
        <v>1</v>
      </c>
      <c r="AP47" s="15" t="n">
        <v>1</v>
      </c>
      <c r="AQ47" s="16" t="n">
        <f aca="false">AVERAGE(D47:AP47)</f>
        <v>1.41025641025641</v>
      </c>
    </row>
    <row r="48" customFormat="false" ht="15" hidden="false" customHeight="false" outlineLevel="0" collapsed="false">
      <c r="A48" s="17" t="s">
        <v>207</v>
      </c>
      <c r="B48" s="18" t="s">
        <v>228</v>
      </c>
      <c r="C48" s="19" t="n">
        <v>86</v>
      </c>
      <c r="D48" s="15" t="n">
        <v>1</v>
      </c>
      <c r="E48" s="15" t="n">
        <v>1</v>
      </c>
      <c r="F48" s="15" t="n">
        <v>1</v>
      </c>
      <c r="G48" s="15" t="n">
        <v>1</v>
      </c>
      <c r="H48" s="15" t="n">
        <v>1</v>
      </c>
      <c r="I48" s="15" t="n">
        <v>1</v>
      </c>
      <c r="J48" s="15" t="n">
        <v>1</v>
      </c>
      <c r="K48" s="15" t="n">
        <v>1</v>
      </c>
      <c r="L48" s="15" t="n">
        <v>1</v>
      </c>
      <c r="M48" s="15" t="n">
        <v>1</v>
      </c>
      <c r="N48" s="15" t="n">
        <v>1</v>
      </c>
      <c r="O48" s="15" t="n">
        <v>1</v>
      </c>
      <c r="P48" s="15" t="n">
        <v>1</v>
      </c>
      <c r="Q48" s="15" t="n">
        <v>1</v>
      </c>
      <c r="R48" s="15" t="n">
        <v>1</v>
      </c>
      <c r="S48" s="15" t="n">
        <v>1</v>
      </c>
      <c r="T48" s="15" t="n">
        <v>1</v>
      </c>
      <c r="U48" s="15" t="n">
        <v>1</v>
      </c>
      <c r="V48" s="15" t="n">
        <v>1</v>
      </c>
      <c r="W48" s="15" t="n">
        <v>1</v>
      </c>
      <c r="X48" s="15" t="n">
        <v>1</v>
      </c>
      <c r="Y48" s="15" t="n">
        <v>1</v>
      </c>
      <c r="Z48" s="15" t="n">
        <v>1</v>
      </c>
      <c r="AA48" s="15" t="n">
        <v>1</v>
      </c>
      <c r="AB48" s="15" t="n">
        <v>1</v>
      </c>
      <c r="AC48" s="15" t="n">
        <v>2</v>
      </c>
      <c r="AD48" s="15" t="n">
        <v>2</v>
      </c>
      <c r="AE48" s="15" t="n">
        <v>2</v>
      </c>
      <c r="AF48" s="15" t="n">
        <v>1</v>
      </c>
      <c r="AG48" s="15" t="n">
        <v>1</v>
      </c>
      <c r="AH48" s="15" t="n">
        <v>1</v>
      </c>
      <c r="AI48" s="15" t="n">
        <v>1</v>
      </c>
      <c r="AJ48" s="15" t="n">
        <v>1</v>
      </c>
      <c r="AK48" s="15" t="n">
        <v>1</v>
      </c>
      <c r="AL48" s="15" t="n">
        <v>1</v>
      </c>
      <c r="AM48" s="15" t="n">
        <v>1</v>
      </c>
      <c r="AN48" s="15" t="n">
        <v>1</v>
      </c>
      <c r="AO48" s="15" t="n">
        <v>1</v>
      </c>
      <c r="AP48" s="15" t="n">
        <v>1</v>
      </c>
      <c r="AQ48" s="16" t="n">
        <f aca="false">AVERAGE(D48:AP48)</f>
        <v>1.07692307692308</v>
      </c>
    </row>
    <row r="49" customFormat="false" ht="15" hidden="false" customHeight="false" outlineLevel="0" collapsed="false">
      <c r="A49" s="17" t="s">
        <v>207</v>
      </c>
      <c r="B49" s="18" t="s">
        <v>229</v>
      </c>
      <c r="C49" s="19" t="n">
        <v>420</v>
      </c>
      <c r="D49" s="15" t="n">
        <v>1</v>
      </c>
      <c r="E49" s="15" t="n">
        <v>1</v>
      </c>
      <c r="F49" s="15" t="n">
        <v>1</v>
      </c>
      <c r="G49" s="15" t="n">
        <v>1</v>
      </c>
      <c r="H49" s="15" t="n">
        <v>1</v>
      </c>
      <c r="I49" s="15" t="n">
        <v>1</v>
      </c>
      <c r="J49" s="15" t="n">
        <v>1</v>
      </c>
      <c r="K49" s="15" t="n">
        <v>1</v>
      </c>
      <c r="L49" s="15" t="n">
        <v>1</v>
      </c>
      <c r="M49" s="15" t="n">
        <v>1</v>
      </c>
      <c r="N49" s="15" t="n">
        <v>1</v>
      </c>
      <c r="O49" s="15" t="n">
        <v>1</v>
      </c>
      <c r="P49" s="15" t="n">
        <v>1</v>
      </c>
      <c r="Q49" s="15" t="n">
        <v>1</v>
      </c>
      <c r="R49" s="15" t="n">
        <v>1</v>
      </c>
      <c r="S49" s="15" t="n">
        <v>1</v>
      </c>
      <c r="T49" s="15" t="n">
        <v>1</v>
      </c>
      <c r="U49" s="15" t="n">
        <v>1</v>
      </c>
      <c r="V49" s="15" t="n">
        <v>1</v>
      </c>
      <c r="W49" s="15" t="n">
        <v>1</v>
      </c>
      <c r="X49" s="15" t="n">
        <v>1</v>
      </c>
      <c r="Y49" s="15" t="n">
        <v>1</v>
      </c>
      <c r="Z49" s="15" t="n">
        <v>1</v>
      </c>
      <c r="AA49" s="15" t="n">
        <v>2</v>
      </c>
      <c r="AB49" s="15" t="n">
        <v>1</v>
      </c>
      <c r="AC49" s="15" t="n">
        <v>2</v>
      </c>
      <c r="AD49" s="15" t="n">
        <v>2</v>
      </c>
      <c r="AE49" s="15" t="n">
        <v>2</v>
      </c>
      <c r="AF49" s="15" t="n">
        <v>1</v>
      </c>
      <c r="AG49" s="15" t="n">
        <v>1</v>
      </c>
      <c r="AH49" s="15" t="n">
        <v>1</v>
      </c>
      <c r="AI49" s="15" t="n">
        <v>1</v>
      </c>
      <c r="AJ49" s="15" t="n">
        <v>1</v>
      </c>
      <c r="AK49" s="15" t="n">
        <v>1</v>
      </c>
      <c r="AL49" s="15" t="n">
        <v>1</v>
      </c>
      <c r="AM49" s="15" t="n">
        <v>1</v>
      </c>
      <c r="AN49" s="15" t="n">
        <v>1</v>
      </c>
      <c r="AO49" s="15" t="n">
        <v>1</v>
      </c>
      <c r="AP49" s="15" t="n">
        <v>1</v>
      </c>
      <c r="AQ49" s="16" t="n">
        <f aca="false">AVERAGE(D49:AP49)</f>
        <v>1.1025641025641</v>
      </c>
    </row>
    <row r="50" customFormat="false" ht="15" hidden="false" customHeight="false" outlineLevel="0" collapsed="false">
      <c r="A50" s="17" t="s">
        <v>207</v>
      </c>
      <c r="B50" s="18" t="s">
        <v>230</v>
      </c>
      <c r="C50" s="19" t="n">
        <v>495</v>
      </c>
      <c r="D50" s="15" t="n">
        <v>1</v>
      </c>
      <c r="E50" s="15" t="n">
        <v>1</v>
      </c>
      <c r="F50" s="15" t="n">
        <v>1</v>
      </c>
      <c r="G50" s="15" t="n">
        <v>1</v>
      </c>
      <c r="H50" s="15" t="n">
        <v>1</v>
      </c>
      <c r="I50" s="15" t="n">
        <v>1</v>
      </c>
      <c r="J50" s="15" t="n">
        <v>1</v>
      </c>
      <c r="K50" s="15" t="n">
        <v>1</v>
      </c>
      <c r="L50" s="15" t="n">
        <v>1</v>
      </c>
      <c r="M50" s="15" t="n">
        <v>1</v>
      </c>
      <c r="N50" s="15" t="n">
        <v>1</v>
      </c>
      <c r="O50" s="15" t="n">
        <v>1</v>
      </c>
      <c r="P50" s="15" t="n">
        <v>1</v>
      </c>
      <c r="Q50" s="15" t="n">
        <v>1</v>
      </c>
      <c r="R50" s="15" t="n">
        <v>1</v>
      </c>
      <c r="S50" s="15" t="n">
        <v>1</v>
      </c>
      <c r="T50" s="15" t="n">
        <v>1</v>
      </c>
      <c r="U50" s="15" t="n">
        <v>1</v>
      </c>
      <c r="V50" s="15" t="n">
        <v>1</v>
      </c>
      <c r="W50" s="15" t="n">
        <v>1</v>
      </c>
      <c r="X50" s="15" t="n">
        <v>1</v>
      </c>
      <c r="Y50" s="15" t="n">
        <v>1</v>
      </c>
      <c r="Z50" s="15" t="n">
        <v>1</v>
      </c>
      <c r="AA50" s="15" t="n">
        <v>1</v>
      </c>
      <c r="AB50" s="15" t="n">
        <v>1</v>
      </c>
      <c r="AC50" s="15" t="n">
        <v>2</v>
      </c>
      <c r="AD50" s="15" t="n">
        <v>2</v>
      </c>
      <c r="AE50" s="15" t="n">
        <v>2</v>
      </c>
      <c r="AF50" s="15" t="n">
        <v>1</v>
      </c>
      <c r="AG50" s="15" t="n">
        <v>1</v>
      </c>
      <c r="AH50" s="15" t="n">
        <v>1</v>
      </c>
      <c r="AI50" s="15" t="n">
        <v>1</v>
      </c>
      <c r="AJ50" s="15" t="n">
        <v>1</v>
      </c>
      <c r="AK50" s="15" t="n">
        <v>1</v>
      </c>
      <c r="AL50" s="15" t="n">
        <v>1</v>
      </c>
      <c r="AM50" s="15" t="n">
        <v>1</v>
      </c>
      <c r="AN50" s="15" t="n">
        <v>1</v>
      </c>
      <c r="AO50" s="15" t="n">
        <v>1</v>
      </c>
      <c r="AP50" s="15" t="n">
        <v>1</v>
      </c>
      <c r="AQ50" s="16" t="n">
        <f aca="false">AVERAGE(D50:AP50)</f>
        <v>1.07692307692308</v>
      </c>
    </row>
    <row r="51" customFormat="false" ht="15" hidden="false" customHeight="false" outlineLevel="0" collapsed="false">
      <c r="A51" s="17" t="s">
        <v>207</v>
      </c>
      <c r="B51" s="18" t="s">
        <v>231</v>
      </c>
      <c r="C51" s="19" t="n">
        <v>75</v>
      </c>
      <c r="D51" s="15" t="n">
        <v>2</v>
      </c>
      <c r="E51" s="15" t="n">
        <v>1</v>
      </c>
      <c r="F51" s="15" t="n">
        <v>1</v>
      </c>
      <c r="G51" s="15" t="n">
        <v>1</v>
      </c>
      <c r="H51" s="15" t="n">
        <v>1</v>
      </c>
      <c r="I51" s="15" t="n">
        <v>1</v>
      </c>
      <c r="J51" s="15" t="n">
        <v>1</v>
      </c>
      <c r="K51" s="15" t="n">
        <v>1</v>
      </c>
      <c r="L51" s="15" t="n">
        <v>3</v>
      </c>
      <c r="M51" s="15" t="n">
        <v>1</v>
      </c>
      <c r="N51" s="15" t="n">
        <v>1</v>
      </c>
      <c r="O51" s="15" t="n">
        <v>1</v>
      </c>
      <c r="P51" s="15" t="n">
        <v>1</v>
      </c>
      <c r="Q51" s="15" t="n">
        <v>1</v>
      </c>
      <c r="R51" s="15" t="n">
        <v>3</v>
      </c>
      <c r="S51" s="15" t="n">
        <v>1</v>
      </c>
      <c r="T51" s="15" t="n">
        <v>1</v>
      </c>
      <c r="U51" s="15" t="n">
        <v>1</v>
      </c>
      <c r="V51" s="15" t="n">
        <v>4</v>
      </c>
      <c r="W51" s="15" t="n">
        <v>1</v>
      </c>
      <c r="X51" s="15" t="n">
        <v>1</v>
      </c>
      <c r="Y51" s="15" t="n">
        <v>4</v>
      </c>
      <c r="Z51" s="15" t="n">
        <v>1</v>
      </c>
      <c r="AA51" s="15" t="n">
        <v>5</v>
      </c>
      <c r="AB51" s="15" t="n">
        <v>2</v>
      </c>
      <c r="AC51" s="15" t="n">
        <v>5</v>
      </c>
      <c r="AD51" s="15" t="n">
        <v>4</v>
      </c>
      <c r="AE51" s="15" t="n">
        <v>3</v>
      </c>
      <c r="AF51" s="15" t="n">
        <v>1</v>
      </c>
      <c r="AG51" s="15" t="n">
        <v>1</v>
      </c>
      <c r="AH51" s="15" t="n">
        <v>1</v>
      </c>
      <c r="AI51" s="15" t="n">
        <v>1</v>
      </c>
      <c r="AJ51" s="15" t="n">
        <v>1</v>
      </c>
      <c r="AK51" s="15" t="n">
        <v>1</v>
      </c>
      <c r="AL51" s="15" t="n">
        <v>1</v>
      </c>
      <c r="AM51" s="15" t="n">
        <v>1</v>
      </c>
      <c r="AN51" s="15" t="n">
        <v>1</v>
      </c>
      <c r="AO51" s="15" t="n">
        <v>1</v>
      </c>
      <c r="AP51" s="15" t="n">
        <v>2</v>
      </c>
      <c r="AQ51" s="16" t="n">
        <f aca="false">AVERAGE(D51:AP51)</f>
        <v>1.66666666666667</v>
      </c>
    </row>
    <row r="52" customFormat="false" ht="15" hidden="false" customHeight="false" outlineLevel="0" collapsed="false">
      <c r="A52" s="17" t="s">
        <v>207</v>
      </c>
      <c r="B52" s="18" t="s">
        <v>232</v>
      </c>
      <c r="C52" s="19" t="n">
        <v>95</v>
      </c>
      <c r="D52" s="15" t="n">
        <v>1</v>
      </c>
      <c r="E52" s="15" t="n">
        <v>1</v>
      </c>
      <c r="F52" s="15" t="n">
        <v>1</v>
      </c>
      <c r="G52" s="15" t="n">
        <v>1</v>
      </c>
      <c r="H52" s="15" t="n">
        <v>1</v>
      </c>
      <c r="I52" s="15" t="n">
        <v>1</v>
      </c>
      <c r="J52" s="15" t="n">
        <v>1</v>
      </c>
      <c r="K52" s="15" t="n">
        <v>1</v>
      </c>
      <c r="L52" s="15" t="n">
        <v>2</v>
      </c>
      <c r="M52" s="15" t="n">
        <v>1</v>
      </c>
      <c r="N52" s="15" t="n">
        <v>1</v>
      </c>
      <c r="O52" s="15" t="n">
        <v>1</v>
      </c>
      <c r="P52" s="15" t="n">
        <v>1</v>
      </c>
      <c r="Q52" s="15" t="n">
        <v>1</v>
      </c>
      <c r="R52" s="15" t="n">
        <v>2</v>
      </c>
      <c r="S52" s="15" t="n">
        <v>1</v>
      </c>
      <c r="T52" s="15" t="n">
        <v>1</v>
      </c>
      <c r="U52" s="15" t="n">
        <v>1</v>
      </c>
      <c r="V52" s="15" t="n">
        <v>3</v>
      </c>
      <c r="W52" s="15" t="n">
        <v>1</v>
      </c>
      <c r="X52" s="15" t="n">
        <v>1</v>
      </c>
      <c r="Y52" s="15" t="n">
        <v>3</v>
      </c>
      <c r="Z52" s="15" t="n">
        <v>1</v>
      </c>
      <c r="AA52" s="15" t="n">
        <v>3</v>
      </c>
      <c r="AB52" s="15" t="n">
        <v>1</v>
      </c>
      <c r="AC52" s="15" t="n">
        <v>3</v>
      </c>
      <c r="AD52" s="15" t="n">
        <v>3</v>
      </c>
      <c r="AE52" s="15" t="n">
        <v>2</v>
      </c>
      <c r="AF52" s="15" t="n">
        <v>1</v>
      </c>
      <c r="AG52" s="15" t="n">
        <v>1</v>
      </c>
      <c r="AH52" s="15" t="n">
        <v>1</v>
      </c>
      <c r="AI52" s="15" t="n">
        <v>1</v>
      </c>
      <c r="AJ52" s="15" t="n">
        <v>1</v>
      </c>
      <c r="AK52" s="15" t="n">
        <v>1</v>
      </c>
      <c r="AL52" s="15" t="n">
        <v>1</v>
      </c>
      <c r="AM52" s="15" t="n">
        <v>1</v>
      </c>
      <c r="AN52" s="15" t="n">
        <v>1</v>
      </c>
      <c r="AO52" s="15" t="n">
        <v>1</v>
      </c>
      <c r="AP52" s="15" t="n">
        <v>1</v>
      </c>
      <c r="AQ52" s="16" t="n">
        <f aca="false">AVERAGE(D52:AP52)</f>
        <v>1.33333333333333</v>
      </c>
    </row>
    <row r="53" customFormat="false" ht="23.85" hidden="false" customHeight="false" outlineLevel="0" collapsed="false">
      <c r="A53" s="17" t="s">
        <v>207</v>
      </c>
      <c r="B53" s="18" t="s">
        <v>233</v>
      </c>
      <c r="C53" s="19" t="n">
        <v>78</v>
      </c>
      <c r="D53" s="15" t="n">
        <v>1</v>
      </c>
      <c r="E53" s="15" t="n">
        <v>1</v>
      </c>
      <c r="F53" s="15" t="n">
        <v>1</v>
      </c>
      <c r="G53" s="15" t="n">
        <v>1</v>
      </c>
      <c r="H53" s="15" t="n">
        <v>1</v>
      </c>
      <c r="I53" s="15" t="n">
        <v>1</v>
      </c>
      <c r="J53" s="15" t="n">
        <v>1</v>
      </c>
      <c r="K53" s="15" t="n">
        <v>1</v>
      </c>
      <c r="L53" s="15" t="n">
        <v>2</v>
      </c>
      <c r="M53" s="15" t="n">
        <v>1</v>
      </c>
      <c r="N53" s="15" t="n">
        <v>1</v>
      </c>
      <c r="O53" s="15" t="n">
        <v>1</v>
      </c>
      <c r="P53" s="15" t="n">
        <v>1</v>
      </c>
      <c r="Q53" s="15" t="n">
        <v>1</v>
      </c>
      <c r="R53" s="15" t="n">
        <v>2</v>
      </c>
      <c r="S53" s="15" t="n">
        <v>1</v>
      </c>
      <c r="T53" s="15" t="n">
        <v>1</v>
      </c>
      <c r="U53" s="15" t="n">
        <v>1</v>
      </c>
      <c r="V53" s="15" t="n">
        <v>3</v>
      </c>
      <c r="W53" s="15" t="n">
        <v>1</v>
      </c>
      <c r="X53" s="15" t="n">
        <v>1</v>
      </c>
      <c r="Y53" s="15" t="n">
        <v>3</v>
      </c>
      <c r="Z53" s="15" t="n">
        <v>1</v>
      </c>
      <c r="AA53" s="15" t="n">
        <v>4</v>
      </c>
      <c r="AB53" s="15" t="n">
        <v>1</v>
      </c>
      <c r="AC53" s="15" t="n">
        <v>4</v>
      </c>
      <c r="AD53" s="15" t="n">
        <v>4</v>
      </c>
      <c r="AE53" s="15" t="n">
        <v>2</v>
      </c>
      <c r="AF53" s="15" t="n">
        <v>1</v>
      </c>
      <c r="AG53" s="15" t="n">
        <v>1</v>
      </c>
      <c r="AH53" s="15" t="n">
        <v>1</v>
      </c>
      <c r="AI53" s="15" t="n">
        <v>1</v>
      </c>
      <c r="AJ53" s="15" t="n">
        <v>1</v>
      </c>
      <c r="AK53" s="15" t="n">
        <v>1</v>
      </c>
      <c r="AL53" s="15" t="n">
        <v>1</v>
      </c>
      <c r="AM53" s="15" t="n">
        <v>1</v>
      </c>
      <c r="AN53" s="15" t="n">
        <v>1</v>
      </c>
      <c r="AO53" s="15" t="n">
        <v>1</v>
      </c>
      <c r="AP53" s="15" t="n">
        <v>1</v>
      </c>
      <c r="AQ53" s="16" t="n">
        <f aca="false">AVERAGE(D53:AP53)</f>
        <v>1.41025641025641</v>
      </c>
    </row>
    <row r="54" customFormat="false" ht="23.85" hidden="false" customHeight="false" outlineLevel="0" collapsed="false">
      <c r="A54" s="17" t="s">
        <v>207</v>
      </c>
      <c r="B54" s="18" t="s">
        <v>234</v>
      </c>
      <c r="C54" s="19" t="n">
        <v>295</v>
      </c>
      <c r="D54" s="15" t="n">
        <v>1</v>
      </c>
      <c r="E54" s="15" t="n">
        <v>1</v>
      </c>
      <c r="F54" s="15" t="n">
        <v>1</v>
      </c>
      <c r="G54" s="15" t="n">
        <v>1</v>
      </c>
      <c r="H54" s="15" t="n">
        <v>1</v>
      </c>
      <c r="I54" s="15" t="n">
        <v>1</v>
      </c>
      <c r="J54" s="15" t="n">
        <v>1</v>
      </c>
      <c r="K54" s="15" t="n">
        <v>1</v>
      </c>
      <c r="L54" s="15" t="n">
        <v>1</v>
      </c>
      <c r="M54" s="15" t="n">
        <v>1</v>
      </c>
      <c r="N54" s="15" t="n">
        <v>1</v>
      </c>
      <c r="O54" s="15" t="n">
        <v>1</v>
      </c>
      <c r="P54" s="15" t="n">
        <v>1</v>
      </c>
      <c r="Q54" s="15" t="n">
        <v>1</v>
      </c>
      <c r="R54" s="15" t="n">
        <v>1</v>
      </c>
      <c r="S54" s="15" t="n">
        <v>1</v>
      </c>
      <c r="T54" s="15" t="n">
        <v>1</v>
      </c>
      <c r="U54" s="15" t="n">
        <v>1</v>
      </c>
      <c r="V54" s="15" t="n">
        <v>2</v>
      </c>
      <c r="W54" s="15" t="n">
        <v>1</v>
      </c>
      <c r="X54" s="15" t="n">
        <v>1</v>
      </c>
      <c r="Y54" s="15" t="n">
        <v>2</v>
      </c>
      <c r="Z54" s="15" t="n">
        <v>1</v>
      </c>
      <c r="AA54" s="15" t="n">
        <v>3</v>
      </c>
      <c r="AB54" s="15" t="n">
        <v>1</v>
      </c>
      <c r="AC54" s="15" t="n">
        <v>3</v>
      </c>
      <c r="AD54" s="15" t="n">
        <v>3</v>
      </c>
      <c r="AE54" s="15" t="n">
        <v>2</v>
      </c>
      <c r="AF54" s="15" t="n">
        <v>1</v>
      </c>
      <c r="AG54" s="15" t="n">
        <v>1</v>
      </c>
      <c r="AH54" s="15" t="n">
        <v>1</v>
      </c>
      <c r="AI54" s="15" t="n">
        <v>1</v>
      </c>
      <c r="AJ54" s="15" t="n">
        <v>1</v>
      </c>
      <c r="AK54" s="15" t="n">
        <v>1</v>
      </c>
      <c r="AL54" s="15" t="n">
        <v>1</v>
      </c>
      <c r="AM54" s="15" t="n">
        <v>1</v>
      </c>
      <c r="AN54" s="15" t="n">
        <v>1</v>
      </c>
      <c r="AO54" s="15" t="n">
        <v>1</v>
      </c>
      <c r="AP54" s="15" t="n">
        <v>1</v>
      </c>
      <c r="AQ54" s="16" t="n">
        <f aca="false">AVERAGE(D54:AP54)</f>
        <v>1.23076923076923</v>
      </c>
    </row>
    <row r="55" customFormat="false" ht="15" hidden="false" customHeight="false" outlineLevel="0" collapsed="false">
      <c r="A55" s="17" t="s">
        <v>207</v>
      </c>
      <c r="B55" s="18" t="s">
        <v>235</v>
      </c>
      <c r="C55" s="19" t="n">
        <v>69</v>
      </c>
      <c r="D55" s="15" t="n">
        <v>1</v>
      </c>
      <c r="E55" s="15" t="n">
        <v>1</v>
      </c>
      <c r="F55" s="15" t="n">
        <v>1</v>
      </c>
      <c r="G55" s="15" t="n">
        <v>1</v>
      </c>
      <c r="H55" s="15" t="n">
        <v>1</v>
      </c>
      <c r="I55" s="15" t="n">
        <v>1</v>
      </c>
      <c r="J55" s="15" t="n">
        <v>1</v>
      </c>
      <c r="K55" s="15" t="n">
        <v>1</v>
      </c>
      <c r="L55" s="15" t="n">
        <v>1</v>
      </c>
      <c r="M55" s="15" t="n">
        <v>1</v>
      </c>
      <c r="N55" s="15" t="n">
        <v>1</v>
      </c>
      <c r="O55" s="15" t="n">
        <v>1</v>
      </c>
      <c r="P55" s="15" t="n">
        <v>1</v>
      </c>
      <c r="Q55" s="15" t="n">
        <v>1</v>
      </c>
      <c r="R55" s="15" t="n">
        <v>1</v>
      </c>
      <c r="S55" s="15" t="n">
        <v>1</v>
      </c>
      <c r="T55" s="15" t="n">
        <v>1</v>
      </c>
      <c r="U55" s="15" t="n">
        <v>1</v>
      </c>
      <c r="V55" s="15" t="n">
        <v>2</v>
      </c>
      <c r="W55" s="15" t="n">
        <v>1</v>
      </c>
      <c r="X55" s="15" t="n">
        <v>1</v>
      </c>
      <c r="Y55" s="15" t="n">
        <v>2</v>
      </c>
      <c r="Z55" s="15" t="n">
        <v>1</v>
      </c>
      <c r="AA55" s="15" t="n">
        <v>2</v>
      </c>
      <c r="AB55" s="15" t="n">
        <v>1</v>
      </c>
      <c r="AC55" s="15" t="n">
        <v>2</v>
      </c>
      <c r="AD55" s="15" t="n">
        <v>2</v>
      </c>
      <c r="AE55" s="15" t="n">
        <v>2</v>
      </c>
      <c r="AF55" s="15" t="n">
        <v>1</v>
      </c>
      <c r="AG55" s="15" t="n">
        <v>1</v>
      </c>
      <c r="AH55" s="15" t="n">
        <v>1</v>
      </c>
      <c r="AI55" s="15" t="n">
        <v>1</v>
      </c>
      <c r="AJ55" s="15" t="n">
        <v>1</v>
      </c>
      <c r="AK55" s="15" t="n">
        <v>1</v>
      </c>
      <c r="AL55" s="15" t="n">
        <v>1</v>
      </c>
      <c r="AM55" s="15" t="n">
        <v>1</v>
      </c>
      <c r="AN55" s="15" t="n">
        <v>1</v>
      </c>
      <c r="AO55" s="15" t="n">
        <v>1</v>
      </c>
      <c r="AP55" s="15" t="n">
        <v>1</v>
      </c>
      <c r="AQ55" s="16" t="n">
        <f aca="false">AVERAGE(D55:AP55)</f>
        <v>1.15384615384615</v>
      </c>
    </row>
    <row r="56" customFormat="false" ht="15" hidden="false" customHeight="false" outlineLevel="0" collapsed="false">
      <c r="A56" s="17" t="s">
        <v>207</v>
      </c>
      <c r="B56" s="18" t="s">
        <v>236</v>
      </c>
      <c r="C56" s="19" t="n">
        <v>89</v>
      </c>
      <c r="D56" s="15" t="n">
        <v>2</v>
      </c>
      <c r="E56" s="15" t="n">
        <v>1</v>
      </c>
      <c r="F56" s="15" t="n">
        <v>1</v>
      </c>
      <c r="G56" s="15" t="n">
        <v>1</v>
      </c>
      <c r="H56" s="15" t="n">
        <v>1</v>
      </c>
      <c r="I56" s="15" t="n">
        <v>1</v>
      </c>
      <c r="J56" s="15" t="n">
        <v>1</v>
      </c>
      <c r="K56" s="15" t="n">
        <v>1</v>
      </c>
      <c r="L56" s="15" t="n">
        <v>3</v>
      </c>
      <c r="M56" s="15" t="n">
        <v>1</v>
      </c>
      <c r="N56" s="15" t="n">
        <v>1</v>
      </c>
      <c r="O56" s="15" t="n">
        <v>1</v>
      </c>
      <c r="P56" s="15" t="n">
        <v>1</v>
      </c>
      <c r="Q56" s="15" t="n">
        <v>1</v>
      </c>
      <c r="R56" s="15" t="n">
        <v>3</v>
      </c>
      <c r="S56" s="15" t="n">
        <v>1</v>
      </c>
      <c r="T56" s="15" t="n">
        <v>1</v>
      </c>
      <c r="U56" s="15" t="n">
        <v>1</v>
      </c>
      <c r="V56" s="15" t="n">
        <v>4</v>
      </c>
      <c r="W56" s="15" t="n">
        <v>1</v>
      </c>
      <c r="X56" s="15" t="n">
        <v>1</v>
      </c>
      <c r="Y56" s="15" t="n">
        <v>4</v>
      </c>
      <c r="Z56" s="15" t="n">
        <v>1</v>
      </c>
      <c r="AA56" s="15" t="n">
        <v>5</v>
      </c>
      <c r="AB56" s="15" t="n">
        <v>2</v>
      </c>
      <c r="AC56" s="15" t="n">
        <v>5</v>
      </c>
      <c r="AD56" s="15" t="n">
        <v>4</v>
      </c>
      <c r="AE56" s="15" t="n">
        <v>3</v>
      </c>
      <c r="AF56" s="15" t="n">
        <v>1</v>
      </c>
      <c r="AG56" s="15" t="n">
        <v>1</v>
      </c>
      <c r="AH56" s="15" t="n">
        <v>1</v>
      </c>
      <c r="AI56" s="15" t="n">
        <v>1</v>
      </c>
      <c r="AJ56" s="15" t="n">
        <v>1</v>
      </c>
      <c r="AK56" s="15" t="n">
        <v>1</v>
      </c>
      <c r="AL56" s="15" t="n">
        <v>1</v>
      </c>
      <c r="AM56" s="15" t="n">
        <v>1</v>
      </c>
      <c r="AN56" s="15" t="n">
        <v>1</v>
      </c>
      <c r="AO56" s="15" t="n">
        <v>1</v>
      </c>
      <c r="AP56" s="15" t="n">
        <v>2</v>
      </c>
      <c r="AQ56" s="16" t="n">
        <f aca="false">AVERAGE(D56:AP56)</f>
        <v>1.66666666666667</v>
      </c>
    </row>
    <row r="57" customFormat="false" ht="15" hidden="false" customHeight="false" outlineLevel="0" collapsed="false">
      <c r="A57" s="17" t="s">
        <v>207</v>
      </c>
      <c r="B57" s="18" t="s">
        <v>237</v>
      </c>
      <c r="C57" s="19" t="n">
        <v>390</v>
      </c>
      <c r="D57" s="15" t="n">
        <v>1</v>
      </c>
      <c r="E57" s="15" t="n">
        <v>1</v>
      </c>
      <c r="F57" s="15" t="n">
        <v>1</v>
      </c>
      <c r="G57" s="15" t="n">
        <v>1</v>
      </c>
      <c r="H57" s="15" t="n">
        <v>1</v>
      </c>
      <c r="I57" s="15" t="n">
        <v>1</v>
      </c>
      <c r="J57" s="15" t="n">
        <v>1</v>
      </c>
      <c r="K57" s="15" t="n">
        <v>1</v>
      </c>
      <c r="L57" s="15" t="n">
        <v>1</v>
      </c>
      <c r="M57" s="15" t="n">
        <v>1</v>
      </c>
      <c r="N57" s="15" t="n">
        <v>1</v>
      </c>
      <c r="O57" s="15" t="n">
        <v>1</v>
      </c>
      <c r="P57" s="15" t="n">
        <v>1</v>
      </c>
      <c r="Q57" s="15" t="n">
        <v>1</v>
      </c>
      <c r="R57" s="15" t="n">
        <v>1</v>
      </c>
      <c r="S57" s="15" t="n">
        <v>1</v>
      </c>
      <c r="T57" s="15" t="n">
        <v>1</v>
      </c>
      <c r="U57" s="15" t="n">
        <v>1</v>
      </c>
      <c r="V57" s="15" t="n">
        <v>1</v>
      </c>
      <c r="W57" s="15" t="n">
        <v>1</v>
      </c>
      <c r="X57" s="15" t="n">
        <v>1</v>
      </c>
      <c r="Y57" s="15" t="n">
        <v>1</v>
      </c>
      <c r="Z57" s="15" t="n">
        <v>1</v>
      </c>
      <c r="AA57" s="15" t="n">
        <v>1</v>
      </c>
      <c r="AB57" s="15" t="n">
        <v>1</v>
      </c>
      <c r="AC57" s="15" t="n">
        <v>2</v>
      </c>
      <c r="AD57" s="15" t="n">
        <v>2</v>
      </c>
      <c r="AE57" s="15" t="n">
        <v>2</v>
      </c>
      <c r="AF57" s="15" t="n">
        <v>1</v>
      </c>
      <c r="AG57" s="15" t="n">
        <v>1</v>
      </c>
      <c r="AH57" s="15" t="n">
        <v>1</v>
      </c>
      <c r="AI57" s="15" t="n">
        <v>1</v>
      </c>
      <c r="AJ57" s="15" t="n">
        <v>1</v>
      </c>
      <c r="AK57" s="15" t="n">
        <v>1</v>
      </c>
      <c r="AL57" s="15" t="n">
        <v>1</v>
      </c>
      <c r="AM57" s="15" t="n">
        <v>1</v>
      </c>
      <c r="AN57" s="15" t="n">
        <v>1</v>
      </c>
      <c r="AO57" s="15" t="n">
        <v>1</v>
      </c>
      <c r="AP57" s="15" t="n">
        <v>1</v>
      </c>
      <c r="AQ57" s="16" t="n">
        <f aca="false">AVERAGE(D57:AP57)</f>
        <v>1.07692307692308</v>
      </c>
    </row>
    <row r="58" customFormat="false" ht="15" hidden="false" customHeight="false" outlineLevel="0" collapsed="false">
      <c r="A58" s="17" t="s">
        <v>207</v>
      </c>
      <c r="B58" s="18" t="s">
        <v>238</v>
      </c>
      <c r="C58" s="19" t="n">
        <v>48</v>
      </c>
      <c r="D58" s="15" t="n">
        <v>5</v>
      </c>
      <c r="E58" s="15" t="n">
        <v>2</v>
      </c>
      <c r="F58" s="15" t="n">
        <v>2</v>
      </c>
      <c r="G58" s="15" t="n">
        <v>2</v>
      </c>
      <c r="H58" s="15" t="n">
        <v>2</v>
      </c>
      <c r="I58" s="15" t="n">
        <v>2</v>
      </c>
      <c r="J58" s="15" t="n">
        <v>2</v>
      </c>
      <c r="K58" s="15" t="n">
        <v>2</v>
      </c>
      <c r="L58" s="15" t="n">
        <v>4</v>
      </c>
      <c r="M58" s="15" t="n">
        <v>1</v>
      </c>
      <c r="N58" s="15" t="n">
        <v>2</v>
      </c>
      <c r="O58" s="15" t="n">
        <v>2</v>
      </c>
      <c r="P58" s="15" t="n">
        <v>2</v>
      </c>
      <c r="Q58" s="15" t="n">
        <v>2</v>
      </c>
      <c r="R58" s="15" t="n">
        <v>5</v>
      </c>
      <c r="S58" s="15" t="n">
        <v>2</v>
      </c>
      <c r="T58" s="15" t="n">
        <v>2</v>
      </c>
      <c r="U58" s="15" t="n">
        <v>2</v>
      </c>
      <c r="V58" s="15" t="n">
        <v>3</v>
      </c>
      <c r="W58" s="15" t="n">
        <v>2</v>
      </c>
      <c r="X58" s="15" t="n">
        <v>2</v>
      </c>
      <c r="Y58" s="15" t="n">
        <v>3</v>
      </c>
      <c r="Z58" s="15" t="n">
        <v>2</v>
      </c>
      <c r="AA58" s="15" t="n">
        <v>3</v>
      </c>
      <c r="AB58" s="15" t="n">
        <v>4</v>
      </c>
      <c r="AC58" s="15" t="n">
        <v>3</v>
      </c>
      <c r="AD58" s="15" t="n">
        <v>3</v>
      </c>
      <c r="AE58" s="15" t="n">
        <v>4</v>
      </c>
      <c r="AF58" s="15" t="n">
        <v>1</v>
      </c>
      <c r="AG58" s="15" t="n">
        <v>1</v>
      </c>
      <c r="AH58" s="15" t="n">
        <v>1</v>
      </c>
      <c r="AI58" s="15" t="n">
        <v>1</v>
      </c>
      <c r="AJ58" s="15" t="n">
        <v>1</v>
      </c>
      <c r="AK58" s="15" t="n">
        <v>1</v>
      </c>
      <c r="AL58" s="15" t="n">
        <v>1</v>
      </c>
      <c r="AM58" s="15" t="n">
        <v>1</v>
      </c>
      <c r="AN58" s="15" t="n">
        <v>1</v>
      </c>
      <c r="AO58" s="15" t="n">
        <v>1</v>
      </c>
      <c r="AP58" s="15" t="n">
        <v>1</v>
      </c>
      <c r="AQ58" s="16" t="n">
        <f aca="false">AVERAGE(D58:AP58)</f>
        <v>2.12820512820513</v>
      </c>
    </row>
    <row r="59" customFormat="false" ht="15" hidden="false" customHeight="false" outlineLevel="0" collapsed="false">
      <c r="A59" s="17" t="s">
        <v>207</v>
      </c>
      <c r="B59" s="18" t="s">
        <v>239</v>
      </c>
      <c r="C59" s="19" t="n">
        <v>58</v>
      </c>
      <c r="D59" s="15" t="n">
        <v>2</v>
      </c>
      <c r="E59" s="15" t="n">
        <v>1</v>
      </c>
      <c r="F59" s="15" t="n">
        <v>1</v>
      </c>
      <c r="G59" s="15" t="n">
        <v>1</v>
      </c>
      <c r="H59" s="15" t="n">
        <v>1</v>
      </c>
      <c r="I59" s="15" t="n">
        <v>1</v>
      </c>
      <c r="J59" s="15" t="n">
        <v>1</v>
      </c>
      <c r="K59" s="15" t="n">
        <v>1</v>
      </c>
      <c r="L59" s="15" t="n">
        <v>3</v>
      </c>
      <c r="M59" s="15" t="n">
        <v>1</v>
      </c>
      <c r="N59" s="15" t="n">
        <v>1</v>
      </c>
      <c r="O59" s="15" t="n">
        <v>1</v>
      </c>
      <c r="P59" s="15" t="n">
        <v>1</v>
      </c>
      <c r="Q59" s="15" t="n">
        <v>1</v>
      </c>
      <c r="R59" s="15" t="n">
        <v>3</v>
      </c>
      <c r="S59" s="15" t="n">
        <v>1</v>
      </c>
      <c r="T59" s="15" t="n">
        <v>1</v>
      </c>
      <c r="U59" s="15" t="n">
        <v>1</v>
      </c>
      <c r="V59" s="15" t="n">
        <v>3</v>
      </c>
      <c r="W59" s="15" t="n">
        <v>1</v>
      </c>
      <c r="X59" s="15" t="n">
        <v>1</v>
      </c>
      <c r="Y59" s="15" t="n">
        <v>3</v>
      </c>
      <c r="Z59" s="15" t="n">
        <v>1</v>
      </c>
      <c r="AA59" s="15" t="n">
        <v>3</v>
      </c>
      <c r="AB59" s="15" t="n">
        <v>3</v>
      </c>
      <c r="AC59" s="15" t="n">
        <v>3</v>
      </c>
      <c r="AD59" s="15" t="n">
        <v>3</v>
      </c>
      <c r="AE59" s="15" t="n">
        <v>3</v>
      </c>
      <c r="AF59" s="15" t="n">
        <v>1</v>
      </c>
      <c r="AG59" s="15" t="n">
        <v>1</v>
      </c>
      <c r="AH59" s="15" t="n">
        <v>1</v>
      </c>
      <c r="AI59" s="15" t="n">
        <v>1</v>
      </c>
      <c r="AJ59" s="15" t="n">
        <v>1</v>
      </c>
      <c r="AK59" s="15" t="n">
        <v>1</v>
      </c>
      <c r="AL59" s="15" t="n">
        <v>1</v>
      </c>
      <c r="AM59" s="15" t="n">
        <v>1</v>
      </c>
      <c r="AN59" s="15" t="n">
        <v>1</v>
      </c>
      <c r="AO59" s="15" t="n">
        <v>1</v>
      </c>
      <c r="AP59" s="15" t="n">
        <v>1</v>
      </c>
      <c r="AQ59" s="16" t="n">
        <f aca="false">AVERAGE(D59:AP59)</f>
        <v>1.48717948717949</v>
      </c>
    </row>
    <row r="60" customFormat="false" ht="15" hidden="false" customHeight="false" outlineLevel="0" collapsed="false">
      <c r="A60" s="17" t="s">
        <v>207</v>
      </c>
      <c r="B60" s="18" t="s">
        <v>240</v>
      </c>
      <c r="C60" s="19" t="n">
        <v>88</v>
      </c>
      <c r="D60" s="15" t="n">
        <v>2</v>
      </c>
      <c r="E60" s="15" t="n">
        <v>1</v>
      </c>
      <c r="F60" s="15" t="n">
        <v>1</v>
      </c>
      <c r="G60" s="15" t="n">
        <v>1</v>
      </c>
      <c r="H60" s="15" t="n">
        <v>1</v>
      </c>
      <c r="I60" s="15" t="n">
        <v>1</v>
      </c>
      <c r="J60" s="15" t="n">
        <v>1</v>
      </c>
      <c r="K60" s="15" t="n">
        <v>1</v>
      </c>
      <c r="L60" s="15" t="n">
        <v>3</v>
      </c>
      <c r="M60" s="15" t="n">
        <v>1</v>
      </c>
      <c r="N60" s="15" t="n">
        <v>1</v>
      </c>
      <c r="O60" s="15" t="n">
        <v>1</v>
      </c>
      <c r="P60" s="15" t="n">
        <v>1</v>
      </c>
      <c r="Q60" s="15" t="n">
        <v>1</v>
      </c>
      <c r="R60" s="15" t="n">
        <v>3</v>
      </c>
      <c r="S60" s="15" t="n">
        <v>1</v>
      </c>
      <c r="T60" s="15" t="n">
        <v>1</v>
      </c>
      <c r="U60" s="15" t="n">
        <v>1</v>
      </c>
      <c r="V60" s="15" t="n">
        <v>3</v>
      </c>
      <c r="W60" s="15" t="n">
        <v>1</v>
      </c>
      <c r="X60" s="15" t="n">
        <v>1</v>
      </c>
      <c r="Y60" s="15" t="n">
        <v>3</v>
      </c>
      <c r="Z60" s="15" t="n">
        <v>1</v>
      </c>
      <c r="AA60" s="15" t="n">
        <v>4</v>
      </c>
      <c r="AB60" s="15" t="n">
        <v>3</v>
      </c>
      <c r="AC60" s="15" t="n">
        <v>4</v>
      </c>
      <c r="AD60" s="15" t="n">
        <v>4</v>
      </c>
      <c r="AE60" s="15" t="n">
        <v>3</v>
      </c>
      <c r="AF60" s="15" t="n">
        <v>1</v>
      </c>
      <c r="AG60" s="15" t="n">
        <v>1</v>
      </c>
      <c r="AH60" s="15" t="n">
        <v>1</v>
      </c>
      <c r="AI60" s="15" t="n">
        <v>1</v>
      </c>
      <c r="AJ60" s="15" t="n">
        <v>1</v>
      </c>
      <c r="AK60" s="15" t="n">
        <v>1</v>
      </c>
      <c r="AL60" s="15" t="n">
        <v>1</v>
      </c>
      <c r="AM60" s="15" t="n">
        <v>1</v>
      </c>
      <c r="AN60" s="15" t="n">
        <v>1</v>
      </c>
      <c r="AO60" s="15" t="n">
        <v>1</v>
      </c>
      <c r="AP60" s="15" t="n">
        <v>1</v>
      </c>
      <c r="AQ60" s="16" t="n">
        <f aca="false">AVERAGE(D60:AP60)</f>
        <v>1.56410256410256</v>
      </c>
    </row>
    <row r="61" customFormat="false" ht="15" hidden="false" customHeight="false" outlineLevel="0" collapsed="false">
      <c r="A61" s="17" t="s">
        <v>207</v>
      </c>
      <c r="B61" s="18" t="s">
        <v>241</v>
      </c>
      <c r="C61" s="19" t="n">
        <v>115</v>
      </c>
      <c r="D61" s="15" t="n">
        <v>1</v>
      </c>
      <c r="E61" s="15" t="n">
        <v>1</v>
      </c>
      <c r="F61" s="15" t="n">
        <v>1</v>
      </c>
      <c r="G61" s="15" t="n">
        <v>1</v>
      </c>
      <c r="H61" s="15" t="n">
        <v>1</v>
      </c>
      <c r="I61" s="15" t="n">
        <v>1</v>
      </c>
      <c r="J61" s="15" t="n">
        <v>1</v>
      </c>
      <c r="K61" s="15" t="n">
        <v>1</v>
      </c>
      <c r="L61" s="15" t="n">
        <v>2</v>
      </c>
      <c r="M61" s="15" t="n">
        <v>1</v>
      </c>
      <c r="N61" s="15" t="n">
        <v>1</v>
      </c>
      <c r="O61" s="15" t="n">
        <v>1</v>
      </c>
      <c r="P61" s="15" t="n">
        <v>1</v>
      </c>
      <c r="Q61" s="15" t="n">
        <v>1</v>
      </c>
      <c r="R61" s="15" t="n">
        <v>2</v>
      </c>
      <c r="S61" s="15" t="n">
        <v>1</v>
      </c>
      <c r="T61" s="15" t="n">
        <v>1</v>
      </c>
      <c r="U61" s="15" t="n">
        <v>1</v>
      </c>
      <c r="V61" s="15" t="n">
        <v>3</v>
      </c>
      <c r="W61" s="15" t="n">
        <v>1</v>
      </c>
      <c r="X61" s="15" t="n">
        <v>1</v>
      </c>
      <c r="Y61" s="15" t="n">
        <v>3</v>
      </c>
      <c r="Z61" s="15" t="n">
        <v>1</v>
      </c>
      <c r="AA61" s="15" t="n">
        <v>3</v>
      </c>
      <c r="AB61" s="15" t="n">
        <v>1</v>
      </c>
      <c r="AC61" s="15" t="n">
        <v>3</v>
      </c>
      <c r="AD61" s="15" t="n">
        <v>3</v>
      </c>
      <c r="AE61" s="15" t="n">
        <v>2</v>
      </c>
      <c r="AF61" s="15" t="n">
        <v>1</v>
      </c>
      <c r="AG61" s="15" t="n">
        <v>1</v>
      </c>
      <c r="AH61" s="15" t="n">
        <v>1</v>
      </c>
      <c r="AI61" s="15" t="n">
        <v>1</v>
      </c>
      <c r="AJ61" s="15" t="n">
        <v>1</v>
      </c>
      <c r="AK61" s="15" t="n">
        <v>1</v>
      </c>
      <c r="AL61" s="15" t="n">
        <v>1</v>
      </c>
      <c r="AM61" s="15" t="n">
        <v>1</v>
      </c>
      <c r="AN61" s="15" t="n">
        <v>1</v>
      </c>
      <c r="AO61" s="15" t="n">
        <v>1</v>
      </c>
      <c r="AP61" s="15" t="n">
        <v>1</v>
      </c>
      <c r="AQ61" s="16" t="n">
        <f aca="false">AVERAGE(D61:AP61)</f>
        <v>1.33333333333333</v>
      </c>
    </row>
    <row r="62" customFormat="false" ht="15" hidden="false" customHeight="false" outlineLevel="0" collapsed="false">
      <c r="A62" s="17" t="s">
        <v>207</v>
      </c>
      <c r="B62" s="18" t="s">
        <v>242</v>
      </c>
      <c r="C62" s="19" t="n">
        <v>290</v>
      </c>
      <c r="D62" s="15" t="n">
        <v>1</v>
      </c>
      <c r="E62" s="15" t="n">
        <v>1</v>
      </c>
      <c r="F62" s="15" t="n">
        <v>1</v>
      </c>
      <c r="G62" s="15" t="n">
        <v>1</v>
      </c>
      <c r="H62" s="15" t="n">
        <v>1</v>
      </c>
      <c r="I62" s="15" t="n">
        <v>1</v>
      </c>
      <c r="J62" s="15" t="n">
        <v>1</v>
      </c>
      <c r="K62" s="15" t="n">
        <v>1</v>
      </c>
      <c r="L62" s="15" t="n">
        <v>1</v>
      </c>
      <c r="M62" s="15" t="n">
        <v>1</v>
      </c>
      <c r="N62" s="15" t="n">
        <v>1</v>
      </c>
      <c r="O62" s="15" t="n">
        <v>1</v>
      </c>
      <c r="P62" s="15" t="n">
        <v>1</v>
      </c>
      <c r="Q62" s="15" t="n">
        <v>1</v>
      </c>
      <c r="R62" s="15" t="n">
        <v>1</v>
      </c>
      <c r="S62" s="15" t="n">
        <v>1</v>
      </c>
      <c r="T62" s="15" t="n">
        <v>1</v>
      </c>
      <c r="U62" s="15" t="n">
        <v>1</v>
      </c>
      <c r="V62" s="15" t="n">
        <v>1</v>
      </c>
      <c r="W62" s="15" t="n">
        <v>1</v>
      </c>
      <c r="X62" s="15" t="n">
        <v>1</v>
      </c>
      <c r="Y62" s="15" t="n">
        <v>1</v>
      </c>
      <c r="Z62" s="15" t="n">
        <v>1</v>
      </c>
      <c r="AA62" s="15" t="n">
        <v>1</v>
      </c>
      <c r="AB62" s="15" t="n">
        <v>1</v>
      </c>
      <c r="AC62" s="15" t="n">
        <v>2</v>
      </c>
      <c r="AD62" s="15" t="n">
        <v>2</v>
      </c>
      <c r="AE62" s="15" t="n">
        <v>2</v>
      </c>
      <c r="AF62" s="15" t="n">
        <v>1</v>
      </c>
      <c r="AG62" s="15" t="n">
        <v>1</v>
      </c>
      <c r="AH62" s="15" t="n">
        <v>1</v>
      </c>
      <c r="AI62" s="15" t="n">
        <v>1</v>
      </c>
      <c r="AJ62" s="15" t="n">
        <v>1</v>
      </c>
      <c r="AK62" s="15" t="n">
        <v>1</v>
      </c>
      <c r="AL62" s="15" t="n">
        <v>1</v>
      </c>
      <c r="AM62" s="15" t="n">
        <v>1</v>
      </c>
      <c r="AN62" s="15" t="n">
        <v>1</v>
      </c>
      <c r="AO62" s="15" t="n">
        <v>1</v>
      </c>
      <c r="AP62" s="15" t="n">
        <v>1</v>
      </c>
      <c r="AQ62" s="16" t="n">
        <f aca="false">AVERAGE(D62:AP62)</f>
        <v>1.07692307692308</v>
      </c>
    </row>
    <row r="63" customFormat="false" ht="15" hidden="false" customHeight="false" outlineLevel="0" collapsed="false">
      <c r="A63" s="17" t="s">
        <v>207</v>
      </c>
      <c r="B63" s="18" t="s">
        <v>243</v>
      </c>
      <c r="C63" s="19" t="n">
        <v>560</v>
      </c>
      <c r="D63" s="15" t="n">
        <v>1</v>
      </c>
      <c r="E63" s="15" t="n">
        <v>1</v>
      </c>
      <c r="F63" s="15" t="n">
        <v>1</v>
      </c>
      <c r="G63" s="15" t="n">
        <v>1</v>
      </c>
      <c r="H63" s="15" t="n">
        <v>1</v>
      </c>
      <c r="I63" s="15" t="n">
        <v>1</v>
      </c>
      <c r="J63" s="15" t="n">
        <v>1</v>
      </c>
      <c r="K63" s="15" t="n">
        <v>1</v>
      </c>
      <c r="L63" s="15" t="n">
        <v>1</v>
      </c>
      <c r="M63" s="15" t="n">
        <v>1</v>
      </c>
      <c r="N63" s="15" t="n">
        <v>1</v>
      </c>
      <c r="O63" s="15" t="n">
        <v>1</v>
      </c>
      <c r="P63" s="15" t="n">
        <v>1</v>
      </c>
      <c r="Q63" s="15" t="n">
        <v>1</v>
      </c>
      <c r="R63" s="15" t="n">
        <v>1</v>
      </c>
      <c r="S63" s="15" t="n">
        <v>1</v>
      </c>
      <c r="T63" s="15" t="n">
        <v>1</v>
      </c>
      <c r="U63" s="15" t="n">
        <v>1</v>
      </c>
      <c r="V63" s="15" t="n">
        <v>1</v>
      </c>
      <c r="W63" s="15" t="n">
        <v>1</v>
      </c>
      <c r="X63" s="15" t="n">
        <v>1</v>
      </c>
      <c r="Y63" s="15" t="n">
        <v>1</v>
      </c>
      <c r="Z63" s="15" t="n">
        <v>1</v>
      </c>
      <c r="AA63" s="15" t="n">
        <v>2</v>
      </c>
      <c r="AB63" s="15" t="n">
        <v>1</v>
      </c>
      <c r="AC63" s="15" t="n">
        <v>2</v>
      </c>
      <c r="AD63" s="15" t="n">
        <v>2</v>
      </c>
      <c r="AE63" s="15" t="n">
        <v>2</v>
      </c>
      <c r="AF63" s="15" t="n">
        <v>1</v>
      </c>
      <c r="AG63" s="15" t="n">
        <v>1</v>
      </c>
      <c r="AH63" s="15" t="n">
        <v>1</v>
      </c>
      <c r="AI63" s="15" t="n">
        <v>1</v>
      </c>
      <c r="AJ63" s="15" t="n">
        <v>1</v>
      </c>
      <c r="AK63" s="15" t="n">
        <v>1</v>
      </c>
      <c r="AL63" s="15" t="n">
        <v>1</v>
      </c>
      <c r="AM63" s="15" t="n">
        <v>1</v>
      </c>
      <c r="AN63" s="15" t="n">
        <v>1</v>
      </c>
      <c r="AO63" s="15" t="n">
        <v>1</v>
      </c>
      <c r="AP63" s="15" t="n">
        <v>1</v>
      </c>
      <c r="AQ63" s="16" t="n">
        <f aca="false">AVERAGE(D63:AP63)</f>
        <v>1.1025641025641</v>
      </c>
    </row>
    <row r="64" customFormat="false" ht="15" hidden="false" customHeight="false" outlineLevel="0" collapsed="false">
      <c r="A64" s="17" t="s">
        <v>207</v>
      </c>
      <c r="B64" s="18" t="s">
        <v>244</v>
      </c>
      <c r="C64" s="19" t="n">
        <v>80</v>
      </c>
      <c r="D64" s="15" t="n">
        <v>1</v>
      </c>
      <c r="E64" s="15" t="n">
        <v>1</v>
      </c>
      <c r="F64" s="15" t="n">
        <v>1</v>
      </c>
      <c r="G64" s="15" t="n">
        <v>1</v>
      </c>
      <c r="H64" s="15" t="n">
        <v>1</v>
      </c>
      <c r="I64" s="15" t="n">
        <v>1</v>
      </c>
      <c r="J64" s="15" t="n">
        <v>1</v>
      </c>
      <c r="K64" s="15" t="n">
        <v>1</v>
      </c>
      <c r="L64" s="15" t="n">
        <v>2</v>
      </c>
      <c r="M64" s="15" t="n">
        <v>1</v>
      </c>
      <c r="N64" s="15" t="n">
        <v>1</v>
      </c>
      <c r="O64" s="15" t="n">
        <v>1</v>
      </c>
      <c r="P64" s="15" t="n">
        <v>1</v>
      </c>
      <c r="Q64" s="15" t="n">
        <v>1</v>
      </c>
      <c r="R64" s="15" t="n">
        <v>2</v>
      </c>
      <c r="S64" s="15" t="n">
        <v>1</v>
      </c>
      <c r="T64" s="15" t="n">
        <v>1</v>
      </c>
      <c r="U64" s="15" t="n">
        <v>1</v>
      </c>
      <c r="V64" s="15" t="n">
        <v>3</v>
      </c>
      <c r="W64" s="15" t="n">
        <v>1</v>
      </c>
      <c r="X64" s="15" t="n">
        <v>1</v>
      </c>
      <c r="Y64" s="15" t="n">
        <v>3</v>
      </c>
      <c r="Z64" s="15" t="n">
        <v>1</v>
      </c>
      <c r="AA64" s="15" t="n">
        <v>3</v>
      </c>
      <c r="AB64" s="15" t="n">
        <v>2</v>
      </c>
      <c r="AC64" s="15" t="n">
        <v>3</v>
      </c>
      <c r="AD64" s="15" t="n">
        <v>3</v>
      </c>
      <c r="AE64" s="15" t="n">
        <v>3</v>
      </c>
      <c r="AF64" s="15" t="n">
        <v>1</v>
      </c>
      <c r="AG64" s="15" t="n">
        <v>1</v>
      </c>
      <c r="AH64" s="15" t="n">
        <v>1</v>
      </c>
      <c r="AI64" s="15" t="n">
        <v>1</v>
      </c>
      <c r="AJ64" s="15" t="n">
        <v>1</v>
      </c>
      <c r="AK64" s="15" t="n">
        <v>1</v>
      </c>
      <c r="AL64" s="15" t="n">
        <v>1</v>
      </c>
      <c r="AM64" s="15" t="n">
        <v>1</v>
      </c>
      <c r="AN64" s="15" t="n">
        <v>1</v>
      </c>
      <c r="AO64" s="15" t="n">
        <v>1</v>
      </c>
      <c r="AP64" s="15" t="n">
        <v>1</v>
      </c>
      <c r="AQ64" s="16" t="n">
        <f aca="false">AVERAGE(D64:AP64)</f>
        <v>1.38461538461538</v>
      </c>
    </row>
    <row r="65" customFormat="false" ht="15" hidden="false" customHeight="false" outlineLevel="0" collapsed="false">
      <c r="A65" s="17" t="s">
        <v>207</v>
      </c>
      <c r="B65" s="18" t="s">
        <v>245</v>
      </c>
      <c r="C65" s="19" t="n">
        <v>185</v>
      </c>
      <c r="D65" s="15" t="n">
        <v>1</v>
      </c>
      <c r="E65" s="15" t="n">
        <v>1</v>
      </c>
      <c r="F65" s="15" t="n">
        <v>1</v>
      </c>
      <c r="G65" s="15" t="n">
        <v>1</v>
      </c>
      <c r="H65" s="15" t="n">
        <v>1</v>
      </c>
      <c r="I65" s="15" t="n">
        <v>1</v>
      </c>
      <c r="J65" s="15" t="n">
        <v>1</v>
      </c>
      <c r="K65" s="15" t="n">
        <v>1</v>
      </c>
      <c r="L65" s="15" t="n">
        <v>1</v>
      </c>
      <c r="M65" s="15" t="n">
        <v>1</v>
      </c>
      <c r="N65" s="15" t="n">
        <v>1</v>
      </c>
      <c r="O65" s="15" t="n">
        <v>1</v>
      </c>
      <c r="P65" s="15" t="n">
        <v>1</v>
      </c>
      <c r="Q65" s="15" t="n">
        <v>1</v>
      </c>
      <c r="R65" s="15" t="n">
        <v>1</v>
      </c>
      <c r="S65" s="15" t="n">
        <v>1</v>
      </c>
      <c r="T65" s="15" t="n">
        <v>1</v>
      </c>
      <c r="U65" s="15" t="n">
        <v>1</v>
      </c>
      <c r="V65" s="15" t="n">
        <v>1</v>
      </c>
      <c r="W65" s="15" t="n">
        <v>1</v>
      </c>
      <c r="X65" s="15" t="n">
        <v>1</v>
      </c>
      <c r="Y65" s="15" t="n">
        <v>1</v>
      </c>
      <c r="Z65" s="15" t="n">
        <v>1</v>
      </c>
      <c r="AA65" s="15" t="n">
        <v>1</v>
      </c>
      <c r="AB65" s="15" t="n">
        <v>1</v>
      </c>
      <c r="AC65" s="15" t="n">
        <v>2</v>
      </c>
      <c r="AD65" s="15" t="n">
        <v>2</v>
      </c>
      <c r="AE65" s="15" t="n">
        <v>2</v>
      </c>
      <c r="AF65" s="15" t="n">
        <v>1</v>
      </c>
      <c r="AG65" s="15" t="n">
        <v>1</v>
      </c>
      <c r="AH65" s="15" t="n">
        <v>1</v>
      </c>
      <c r="AI65" s="15" t="n">
        <v>1</v>
      </c>
      <c r="AJ65" s="15" t="n">
        <v>1</v>
      </c>
      <c r="AK65" s="15" t="n">
        <v>1</v>
      </c>
      <c r="AL65" s="15" t="n">
        <v>1</v>
      </c>
      <c r="AM65" s="15" t="n">
        <v>1</v>
      </c>
      <c r="AN65" s="15" t="n">
        <v>1</v>
      </c>
      <c r="AO65" s="15" t="n">
        <v>1</v>
      </c>
      <c r="AP65" s="15" t="n">
        <v>1</v>
      </c>
      <c r="AQ65" s="16" t="n">
        <f aca="false">AVERAGE(D65:AP65)</f>
        <v>1.07692307692308</v>
      </c>
    </row>
    <row r="66" customFormat="false" ht="15" hidden="false" customHeight="false" outlineLevel="0" collapsed="false">
      <c r="A66" s="17" t="s">
        <v>207</v>
      </c>
      <c r="B66" s="18" t="s">
        <v>246</v>
      </c>
      <c r="C66" s="19" t="n">
        <v>68</v>
      </c>
      <c r="D66" s="15" t="n">
        <v>3</v>
      </c>
      <c r="E66" s="15" t="n">
        <v>1</v>
      </c>
      <c r="F66" s="15" t="n">
        <v>1</v>
      </c>
      <c r="G66" s="15" t="n">
        <v>1</v>
      </c>
      <c r="H66" s="15" t="n">
        <v>1</v>
      </c>
      <c r="I66" s="15" t="n">
        <v>1</v>
      </c>
      <c r="J66" s="15" t="n">
        <v>1</v>
      </c>
      <c r="K66" s="15" t="n">
        <v>1</v>
      </c>
      <c r="L66" s="15" t="n">
        <v>4</v>
      </c>
      <c r="M66" s="15" t="n">
        <v>1</v>
      </c>
      <c r="N66" s="15" t="n">
        <v>1</v>
      </c>
      <c r="O66" s="15" t="n">
        <v>1</v>
      </c>
      <c r="P66" s="15" t="n">
        <v>1</v>
      </c>
      <c r="Q66" s="15" t="n">
        <v>1</v>
      </c>
      <c r="R66" s="15" t="n">
        <v>4</v>
      </c>
      <c r="S66" s="15" t="n">
        <v>1</v>
      </c>
      <c r="T66" s="15" t="n">
        <v>1</v>
      </c>
      <c r="U66" s="15" t="n">
        <v>1</v>
      </c>
      <c r="V66" s="15" t="n">
        <v>4</v>
      </c>
      <c r="W66" s="15" t="n">
        <v>1</v>
      </c>
      <c r="X66" s="15" t="n">
        <v>1</v>
      </c>
      <c r="Y66" s="15" t="n">
        <v>4</v>
      </c>
      <c r="Z66" s="15" t="n">
        <v>1</v>
      </c>
      <c r="AA66" s="15" t="n">
        <v>4</v>
      </c>
      <c r="AB66" s="15" t="n">
        <v>3</v>
      </c>
      <c r="AC66" s="15" t="n">
        <v>4</v>
      </c>
      <c r="AD66" s="15" t="n">
        <v>4</v>
      </c>
      <c r="AE66" s="15" t="n">
        <v>3</v>
      </c>
      <c r="AF66" s="15" t="n">
        <v>1</v>
      </c>
      <c r="AG66" s="15" t="n">
        <v>1</v>
      </c>
      <c r="AH66" s="15" t="n">
        <v>1</v>
      </c>
      <c r="AI66" s="15" t="n">
        <v>1</v>
      </c>
      <c r="AJ66" s="15" t="n">
        <v>1</v>
      </c>
      <c r="AK66" s="15" t="n">
        <v>1</v>
      </c>
      <c r="AL66" s="15" t="n">
        <v>1</v>
      </c>
      <c r="AM66" s="15" t="n">
        <v>1</v>
      </c>
      <c r="AN66" s="15" t="n">
        <v>1</v>
      </c>
      <c r="AO66" s="15" t="n">
        <v>1</v>
      </c>
      <c r="AP66" s="15" t="n">
        <v>2</v>
      </c>
      <c r="AQ66" s="16" t="n">
        <f aca="false">AVERAGE(D66:AP66)</f>
        <v>1.71794871794872</v>
      </c>
    </row>
    <row r="67" customFormat="false" ht="15" hidden="false" customHeight="false" outlineLevel="0" collapsed="false">
      <c r="A67" s="17" t="s">
        <v>207</v>
      </c>
      <c r="B67" s="18" t="s">
        <v>247</v>
      </c>
      <c r="C67" s="19" t="n">
        <v>38</v>
      </c>
      <c r="D67" s="15" t="n">
        <v>1</v>
      </c>
      <c r="E67" s="15" t="n">
        <v>1</v>
      </c>
      <c r="F67" s="15" t="n">
        <v>1</v>
      </c>
      <c r="G67" s="15" t="n">
        <v>1</v>
      </c>
      <c r="H67" s="15" t="n">
        <v>1</v>
      </c>
      <c r="I67" s="15" t="n">
        <v>1</v>
      </c>
      <c r="J67" s="15" t="n">
        <v>1</v>
      </c>
      <c r="K67" s="15" t="n">
        <v>1</v>
      </c>
      <c r="L67" s="15" t="n">
        <v>3</v>
      </c>
      <c r="M67" s="15" t="n">
        <v>1</v>
      </c>
      <c r="N67" s="15" t="n">
        <v>1</v>
      </c>
      <c r="O67" s="15" t="n">
        <v>1</v>
      </c>
      <c r="P67" s="15" t="n">
        <v>1</v>
      </c>
      <c r="Q67" s="15" t="n">
        <v>1</v>
      </c>
      <c r="R67" s="15" t="n">
        <v>3</v>
      </c>
      <c r="S67" s="15" t="n">
        <v>1</v>
      </c>
      <c r="T67" s="15" t="n">
        <v>1</v>
      </c>
      <c r="U67" s="15" t="n">
        <v>1</v>
      </c>
      <c r="V67" s="15" t="n">
        <v>3</v>
      </c>
      <c r="W67" s="15" t="n">
        <v>1</v>
      </c>
      <c r="X67" s="15" t="n">
        <v>1</v>
      </c>
      <c r="Y67" s="15" t="n">
        <v>3</v>
      </c>
      <c r="Z67" s="15" t="n">
        <v>1</v>
      </c>
      <c r="AA67" s="15" t="n">
        <v>3</v>
      </c>
      <c r="AB67" s="15" t="n">
        <v>2</v>
      </c>
      <c r="AC67" s="15" t="n">
        <v>4</v>
      </c>
      <c r="AD67" s="15" t="n">
        <v>4</v>
      </c>
      <c r="AE67" s="15" t="n">
        <v>2</v>
      </c>
      <c r="AF67" s="15" t="n">
        <v>1</v>
      </c>
      <c r="AG67" s="15" t="n">
        <v>1</v>
      </c>
      <c r="AH67" s="15" t="n">
        <v>1</v>
      </c>
      <c r="AI67" s="15" t="n">
        <v>1</v>
      </c>
      <c r="AJ67" s="15" t="n">
        <v>1</v>
      </c>
      <c r="AK67" s="15" t="n">
        <v>1</v>
      </c>
      <c r="AL67" s="15" t="n">
        <v>1</v>
      </c>
      <c r="AM67" s="15" t="n">
        <v>1</v>
      </c>
      <c r="AN67" s="15" t="n">
        <v>1</v>
      </c>
      <c r="AO67" s="15" t="n">
        <v>1</v>
      </c>
      <c r="AP67" s="15" t="n">
        <v>2</v>
      </c>
      <c r="AQ67" s="16" t="n">
        <f aca="false">AVERAGE(D67:AP67)</f>
        <v>1.48717948717949</v>
      </c>
    </row>
    <row r="68" customFormat="false" ht="23.85" hidden="false" customHeight="false" outlineLevel="0" collapsed="false">
      <c r="A68" s="17" t="s">
        <v>207</v>
      </c>
      <c r="B68" s="18" t="s">
        <v>248</v>
      </c>
      <c r="C68" s="19" t="n">
        <v>32</v>
      </c>
      <c r="D68" s="15" t="n">
        <v>1</v>
      </c>
      <c r="E68" s="15" t="n">
        <v>1</v>
      </c>
      <c r="F68" s="15" t="n">
        <v>1</v>
      </c>
      <c r="G68" s="15" t="n">
        <v>1</v>
      </c>
      <c r="H68" s="15" t="n">
        <v>1</v>
      </c>
      <c r="I68" s="15" t="n">
        <v>1</v>
      </c>
      <c r="J68" s="15" t="n">
        <v>1</v>
      </c>
      <c r="K68" s="15" t="n">
        <v>1</v>
      </c>
      <c r="L68" s="15" t="n">
        <v>1</v>
      </c>
      <c r="M68" s="15" t="n">
        <v>1</v>
      </c>
      <c r="N68" s="15" t="n">
        <v>1</v>
      </c>
      <c r="O68" s="15" t="n">
        <v>1</v>
      </c>
      <c r="P68" s="15" t="n">
        <v>1</v>
      </c>
      <c r="Q68" s="15" t="n">
        <v>1</v>
      </c>
      <c r="R68" s="15" t="n">
        <v>1</v>
      </c>
      <c r="S68" s="15" t="n">
        <v>1</v>
      </c>
      <c r="T68" s="15" t="n">
        <v>1</v>
      </c>
      <c r="U68" s="15" t="n">
        <v>1</v>
      </c>
      <c r="V68" s="15" t="n">
        <v>2</v>
      </c>
      <c r="W68" s="15" t="n">
        <v>1</v>
      </c>
      <c r="X68" s="15" t="n">
        <v>1</v>
      </c>
      <c r="Y68" s="15" t="n">
        <v>2</v>
      </c>
      <c r="Z68" s="15" t="n">
        <v>1</v>
      </c>
      <c r="AA68" s="15" t="n">
        <v>2</v>
      </c>
      <c r="AB68" s="15" t="n">
        <v>1</v>
      </c>
      <c r="AC68" s="15" t="n">
        <v>2</v>
      </c>
      <c r="AD68" s="15" t="n">
        <v>2</v>
      </c>
      <c r="AE68" s="15" t="n">
        <v>2</v>
      </c>
      <c r="AF68" s="15" t="n">
        <v>1</v>
      </c>
      <c r="AG68" s="15" t="n">
        <v>1</v>
      </c>
      <c r="AH68" s="15" t="n">
        <v>1</v>
      </c>
      <c r="AI68" s="15" t="n">
        <v>1</v>
      </c>
      <c r="AJ68" s="15" t="n">
        <v>1</v>
      </c>
      <c r="AK68" s="15" t="n">
        <v>1</v>
      </c>
      <c r="AL68" s="15" t="n">
        <v>1</v>
      </c>
      <c r="AM68" s="15" t="n">
        <v>1</v>
      </c>
      <c r="AN68" s="15" t="n">
        <v>1</v>
      </c>
      <c r="AO68" s="15" t="n">
        <v>1</v>
      </c>
      <c r="AP68" s="15" t="n">
        <v>1</v>
      </c>
      <c r="AQ68" s="16" t="n">
        <f aca="false">AVERAGE(D68:AP68)</f>
        <v>1.15384615384615</v>
      </c>
    </row>
    <row r="69" customFormat="false" ht="15" hidden="false" customHeight="false" outlineLevel="0" collapsed="false">
      <c r="A69" s="10" t="s">
        <v>249</v>
      </c>
      <c r="B69" s="10" t="s">
        <v>250</v>
      </c>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row>
    <row r="70" customFormat="false" ht="15" hidden="false" customHeight="false" outlineLevel="0" collapsed="false">
      <c r="A70" s="20" t="s">
        <v>249</v>
      </c>
      <c r="B70" s="21" t="s">
        <v>251</v>
      </c>
      <c r="C70" s="22" t="n">
        <v>42</v>
      </c>
      <c r="D70" s="15" t="n">
        <v>3</v>
      </c>
      <c r="E70" s="15" t="n">
        <v>3</v>
      </c>
      <c r="F70" s="15" t="n">
        <v>3</v>
      </c>
      <c r="G70" s="15" t="n">
        <v>3</v>
      </c>
      <c r="H70" s="15" t="n">
        <v>3</v>
      </c>
      <c r="I70" s="15" t="n">
        <v>3</v>
      </c>
      <c r="J70" s="15" t="n">
        <v>3</v>
      </c>
      <c r="K70" s="15" t="n">
        <v>3</v>
      </c>
      <c r="L70" s="15" t="n">
        <v>3</v>
      </c>
      <c r="M70" s="15" t="n">
        <v>2</v>
      </c>
      <c r="N70" s="15" t="n">
        <v>3</v>
      </c>
      <c r="O70" s="15" t="n">
        <v>2</v>
      </c>
      <c r="P70" s="15" t="n">
        <v>3</v>
      </c>
      <c r="Q70" s="15" t="n">
        <v>3</v>
      </c>
      <c r="R70" s="15" t="n">
        <v>4</v>
      </c>
      <c r="S70" s="15" t="n">
        <v>3</v>
      </c>
      <c r="T70" s="15" t="n">
        <v>3</v>
      </c>
      <c r="U70" s="15" t="n">
        <v>3</v>
      </c>
      <c r="V70" s="15" t="n">
        <v>3</v>
      </c>
      <c r="W70" s="15" t="n">
        <v>2</v>
      </c>
      <c r="X70" s="15" t="n">
        <v>3</v>
      </c>
      <c r="Y70" s="15" t="n">
        <v>3</v>
      </c>
      <c r="Z70" s="15" t="n">
        <v>3</v>
      </c>
      <c r="AA70" s="15" t="n">
        <v>3</v>
      </c>
      <c r="AB70" s="15" t="n">
        <v>3</v>
      </c>
      <c r="AC70" s="15" t="n">
        <v>2</v>
      </c>
      <c r="AD70" s="15" t="n">
        <v>2</v>
      </c>
      <c r="AE70" s="15" t="n">
        <v>2</v>
      </c>
      <c r="AF70" s="15" t="n">
        <v>1</v>
      </c>
      <c r="AG70" s="15" t="n">
        <v>1</v>
      </c>
      <c r="AH70" s="15" t="n">
        <v>1</v>
      </c>
      <c r="AI70" s="15" t="n">
        <v>1</v>
      </c>
      <c r="AJ70" s="15" t="n">
        <v>1</v>
      </c>
      <c r="AK70" s="15" t="n">
        <v>1</v>
      </c>
      <c r="AL70" s="15" t="n">
        <v>1</v>
      </c>
      <c r="AM70" s="15" t="n">
        <v>1</v>
      </c>
      <c r="AN70" s="15" t="n">
        <v>1</v>
      </c>
      <c r="AO70" s="15" t="n">
        <v>1</v>
      </c>
      <c r="AP70" s="15" t="n">
        <v>2</v>
      </c>
      <c r="AQ70" s="16" t="n">
        <f aca="false">AVERAGE(D70:AP70)</f>
        <v>2.33333333333333</v>
      </c>
    </row>
    <row r="71" customFormat="false" ht="23.85" hidden="false" customHeight="false" outlineLevel="0" collapsed="false">
      <c r="A71" s="20" t="s">
        <v>249</v>
      </c>
      <c r="B71" s="21" t="s">
        <v>252</v>
      </c>
      <c r="C71" s="22" t="n">
        <v>55</v>
      </c>
      <c r="D71" s="15" t="n">
        <v>3</v>
      </c>
      <c r="E71" s="15" t="n">
        <v>3</v>
      </c>
      <c r="F71" s="15" t="n">
        <v>3</v>
      </c>
      <c r="G71" s="15" t="n">
        <v>3</v>
      </c>
      <c r="H71" s="15" t="n">
        <v>3</v>
      </c>
      <c r="I71" s="15" t="n">
        <v>3</v>
      </c>
      <c r="J71" s="15" t="n">
        <v>3</v>
      </c>
      <c r="K71" s="15" t="n">
        <v>3</v>
      </c>
      <c r="L71" s="15" t="n">
        <v>3</v>
      </c>
      <c r="M71" s="15" t="n">
        <v>2</v>
      </c>
      <c r="N71" s="15" t="n">
        <v>3</v>
      </c>
      <c r="O71" s="15" t="n">
        <v>2</v>
      </c>
      <c r="P71" s="15" t="n">
        <v>3</v>
      </c>
      <c r="Q71" s="15" t="n">
        <v>3</v>
      </c>
      <c r="R71" s="15" t="n">
        <v>4</v>
      </c>
      <c r="S71" s="15" t="n">
        <v>3</v>
      </c>
      <c r="T71" s="15" t="n">
        <v>3</v>
      </c>
      <c r="U71" s="15" t="n">
        <v>3</v>
      </c>
      <c r="V71" s="15" t="n">
        <v>3</v>
      </c>
      <c r="W71" s="15" t="n">
        <v>2</v>
      </c>
      <c r="X71" s="15" t="n">
        <v>3</v>
      </c>
      <c r="Y71" s="15" t="n">
        <v>3</v>
      </c>
      <c r="Z71" s="15" t="n">
        <v>3</v>
      </c>
      <c r="AA71" s="15" t="n">
        <v>3</v>
      </c>
      <c r="AB71" s="15" t="n">
        <v>3</v>
      </c>
      <c r="AC71" s="15" t="n">
        <v>2</v>
      </c>
      <c r="AD71" s="15" t="n">
        <v>2</v>
      </c>
      <c r="AE71" s="15" t="n">
        <v>2</v>
      </c>
      <c r="AF71" s="15" t="n">
        <v>1</v>
      </c>
      <c r="AG71" s="15" t="n">
        <v>1</v>
      </c>
      <c r="AH71" s="15" t="n">
        <v>1</v>
      </c>
      <c r="AI71" s="15" t="n">
        <v>1</v>
      </c>
      <c r="AJ71" s="15" t="n">
        <v>1</v>
      </c>
      <c r="AK71" s="15" t="n">
        <v>1</v>
      </c>
      <c r="AL71" s="15" t="n">
        <v>1</v>
      </c>
      <c r="AM71" s="15" t="n">
        <v>1</v>
      </c>
      <c r="AN71" s="15" t="n">
        <v>1</v>
      </c>
      <c r="AO71" s="15" t="n">
        <v>1</v>
      </c>
      <c r="AP71" s="15" t="n">
        <v>2</v>
      </c>
      <c r="AQ71" s="16" t="n">
        <f aca="false">AVERAGE(D71:AP71)</f>
        <v>2.33333333333333</v>
      </c>
    </row>
    <row r="72" customFormat="false" ht="15" hidden="false" customHeight="false" outlineLevel="0" collapsed="false">
      <c r="A72" s="10" t="s">
        <v>253</v>
      </c>
      <c r="B72" s="10" t="s">
        <v>254</v>
      </c>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row>
    <row r="73" customFormat="false" ht="23.85" hidden="false" customHeight="false" outlineLevel="0" collapsed="false">
      <c r="A73" s="23" t="s">
        <v>253</v>
      </c>
      <c r="B73" s="24" t="s">
        <v>255</v>
      </c>
      <c r="C73" s="25" t="n">
        <v>62</v>
      </c>
      <c r="D73" s="15" t="n">
        <v>3</v>
      </c>
      <c r="E73" s="15" t="n">
        <v>3</v>
      </c>
      <c r="F73" s="15" t="n">
        <v>3</v>
      </c>
      <c r="G73" s="15" t="n">
        <v>3</v>
      </c>
      <c r="H73" s="15" t="n">
        <v>3</v>
      </c>
      <c r="I73" s="15" t="n">
        <v>3</v>
      </c>
      <c r="J73" s="15" t="n">
        <v>3</v>
      </c>
      <c r="K73" s="15" t="n">
        <v>3</v>
      </c>
      <c r="L73" s="15" t="n">
        <v>3</v>
      </c>
      <c r="M73" s="15" t="n">
        <v>3</v>
      </c>
      <c r="N73" s="15" t="n">
        <v>3</v>
      </c>
      <c r="O73" s="15" t="n">
        <v>2</v>
      </c>
      <c r="P73" s="15" t="n">
        <v>3</v>
      </c>
      <c r="Q73" s="15" t="n">
        <v>3</v>
      </c>
      <c r="R73" s="15" t="n">
        <v>3</v>
      </c>
      <c r="S73" s="15" t="n">
        <v>3</v>
      </c>
      <c r="T73" s="15" t="n">
        <v>3</v>
      </c>
      <c r="U73" s="15" t="n">
        <v>3</v>
      </c>
      <c r="V73" s="15" t="n">
        <v>3</v>
      </c>
      <c r="W73" s="15" t="n">
        <v>2</v>
      </c>
      <c r="X73" s="15" t="n">
        <v>3</v>
      </c>
      <c r="Y73" s="15" t="n">
        <v>3</v>
      </c>
      <c r="Z73" s="15" t="n">
        <v>3</v>
      </c>
      <c r="AA73" s="15" t="n">
        <v>3</v>
      </c>
      <c r="AB73" s="15" t="n">
        <v>3</v>
      </c>
      <c r="AC73" s="15" t="n">
        <v>2</v>
      </c>
      <c r="AD73" s="15" t="n">
        <v>3</v>
      </c>
      <c r="AE73" s="15" t="n">
        <v>2</v>
      </c>
      <c r="AF73" s="15" t="n">
        <v>1</v>
      </c>
      <c r="AG73" s="15" t="n">
        <v>1</v>
      </c>
      <c r="AH73" s="15" t="n">
        <v>1</v>
      </c>
      <c r="AI73" s="15" t="n">
        <v>1</v>
      </c>
      <c r="AJ73" s="15" t="n">
        <v>2</v>
      </c>
      <c r="AK73" s="15" t="n">
        <v>1</v>
      </c>
      <c r="AL73" s="15" t="n">
        <v>1</v>
      </c>
      <c r="AM73" s="15" t="n">
        <v>1</v>
      </c>
      <c r="AN73" s="15" t="n">
        <v>1</v>
      </c>
      <c r="AO73" s="15" t="n">
        <v>2</v>
      </c>
      <c r="AP73" s="15" t="n">
        <v>2</v>
      </c>
      <c r="AQ73" s="16" t="n">
        <f aca="false">AVERAGE(D73:AP73)</f>
        <v>2.41025641025641</v>
      </c>
    </row>
    <row r="74" customFormat="false" ht="15" hidden="false" customHeight="false" outlineLevel="0" collapsed="false">
      <c r="A74" s="23" t="s">
        <v>253</v>
      </c>
      <c r="B74" s="24" t="s">
        <v>256</v>
      </c>
      <c r="C74" s="25" t="n">
        <v>58</v>
      </c>
      <c r="D74" s="15" t="n">
        <v>3</v>
      </c>
      <c r="E74" s="15" t="n">
        <v>4</v>
      </c>
      <c r="F74" s="15" t="n">
        <v>4</v>
      </c>
      <c r="G74" s="15" t="n">
        <v>4</v>
      </c>
      <c r="H74" s="15" t="n">
        <v>4</v>
      </c>
      <c r="I74" s="15" t="n">
        <v>4</v>
      </c>
      <c r="J74" s="15" t="n">
        <v>5</v>
      </c>
      <c r="K74" s="15" t="n">
        <v>5</v>
      </c>
      <c r="L74" s="15" t="n">
        <v>3</v>
      </c>
      <c r="M74" s="15" t="n">
        <v>2</v>
      </c>
      <c r="N74" s="15" t="n">
        <v>4</v>
      </c>
      <c r="O74" s="15" t="n">
        <v>2</v>
      </c>
      <c r="P74" s="15" t="n">
        <v>5</v>
      </c>
      <c r="Q74" s="15" t="n">
        <v>4</v>
      </c>
      <c r="R74" s="15" t="n">
        <v>3</v>
      </c>
      <c r="S74" s="15" t="n">
        <v>4</v>
      </c>
      <c r="T74" s="15" t="n">
        <v>4</v>
      </c>
      <c r="U74" s="15" t="n">
        <v>4</v>
      </c>
      <c r="V74" s="15" t="n">
        <v>3</v>
      </c>
      <c r="W74" s="15" t="n">
        <v>2</v>
      </c>
      <c r="X74" s="15" t="n">
        <v>4</v>
      </c>
      <c r="Y74" s="15" t="n">
        <v>4</v>
      </c>
      <c r="Z74" s="15" t="n">
        <v>5</v>
      </c>
      <c r="AA74" s="15" t="n">
        <v>3</v>
      </c>
      <c r="AB74" s="15" t="n">
        <v>3</v>
      </c>
      <c r="AC74" s="15" t="n">
        <v>2</v>
      </c>
      <c r="AD74" s="15" t="n">
        <v>3</v>
      </c>
      <c r="AE74" s="15" t="n">
        <v>2</v>
      </c>
      <c r="AF74" s="15" t="n">
        <v>1</v>
      </c>
      <c r="AG74" s="15" t="n">
        <v>1</v>
      </c>
      <c r="AH74" s="15" t="n">
        <v>1</v>
      </c>
      <c r="AI74" s="15" t="n">
        <v>1</v>
      </c>
      <c r="AJ74" s="15" t="n">
        <v>1</v>
      </c>
      <c r="AK74" s="15" t="n">
        <v>1</v>
      </c>
      <c r="AL74" s="15" t="n">
        <v>1</v>
      </c>
      <c r="AM74" s="15" t="n">
        <v>1</v>
      </c>
      <c r="AN74" s="15" t="n">
        <v>1</v>
      </c>
      <c r="AO74" s="15" t="n">
        <v>1</v>
      </c>
      <c r="AP74" s="15" t="n">
        <v>3</v>
      </c>
      <c r="AQ74" s="16" t="n">
        <f aca="false">AVERAGE(D74:AP74)</f>
        <v>2.87179487179487</v>
      </c>
    </row>
    <row r="75" customFormat="false" ht="15" hidden="false" customHeight="false" outlineLevel="0" collapsed="false">
      <c r="A75" s="23" t="s">
        <v>253</v>
      </c>
      <c r="B75" s="24" t="s">
        <v>257</v>
      </c>
      <c r="C75" s="25" t="n">
        <v>105</v>
      </c>
      <c r="D75" s="15" t="n">
        <v>3</v>
      </c>
      <c r="E75" s="15" t="n">
        <v>4</v>
      </c>
      <c r="F75" s="15" t="n">
        <v>4</v>
      </c>
      <c r="G75" s="15" t="n">
        <v>4</v>
      </c>
      <c r="H75" s="15" t="n">
        <v>4</v>
      </c>
      <c r="I75" s="15" t="n">
        <v>4</v>
      </c>
      <c r="J75" s="15" t="n">
        <v>5</v>
      </c>
      <c r="K75" s="15" t="n">
        <v>5</v>
      </c>
      <c r="L75" s="15" t="n">
        <v>3</v>
      </c>
      <c r="M75" s="15" t="n">
        <v>2</v>
      </c>
      <c r="N75" s="15" t="n">
        <v>4</v>
      </c>
      <c r="O75" s="15" t="n">
        <v>2</v>
      </c>
      <c r="P75" s="15" t="n">
        <v>5</v>
      </c>
      <c r="Q75" s="15" t="n">
        <v>4</v>
      </c>
      <c r="R75" s="15" t="n">
        <v>3</v>
      </c>
      <c r="S75" s="15" t="n">
        <v>4</v>
      </c>
      <c r="T75" s="15" t="n">
        <v>4</v>
      </c>
      <c r="U75" s="15" t="n">
        <v>4</v>
      </c>
      <c r="V75" s="15" t="n">
        <v>3</v>
      </c>
      <c r="W75" s="15" t="n">
        <v>2</v>
      </c>
      <c r="X75" s="15" t="n">
        <v>4</v>
      </c>
      <c r="Y75" s="15" t="n">
        <v>4</v>
      </c>
      <c r="Z75" s="15" t="n">
        <v>5</v>
      </c>
      <c r="AA75" s="15" t="n">
        <v>3</v>
      </c>
      <c r="AB75" s="15" t="n">
        <v>3</v>
      </c>
      <c r="AC75" s="15" t="n">
        <v>2</v>
      </c>
      <c r="AD75" s="15" t="n">
        <v>3</v>
      </c>
      <c r="AE75" s="15" t="n">
        <v>2</v>
      </c>
      <c r="AF75" s="15" t="n">
        <v>1</v>
      </c>
      <c r="AG75" s="15" t="n">
        <v>1</v>
      </c>
      <c r="AH75" s="15" t="n">
        <v>1</v>
      </c>
      <c r="AI75" s="15" t="n">
        <v>1</v>
      </c>
      <c r="AJ75" s="15" t="n">
        <v>1</v>
      </c>
      <c r="AK75" s="15" t="n">
        <v>1</v>
      </c>
      <c r="AL75" s="15" t="n">
        <v>1</v>
      </c>
      <c r="AM75" s="15" t="n">
        <v>1</v>
      </c>
      <c r="AN75" s="15" t="n">
        <v>1</v>
      </c>
      <c r="AO75" s="15" t="n">
        <v>1</v>
      </c>
      <c r="AP75" s="15" t="n">
        <v>3</v>
      </c>
      <c r="AQ75" s="16" t="n">
        <f aca="false">AVERAGE(D75:AP75)</f>
        <v>2.87179487179487</v>
      </c>
    </row>
    <row r="76" customFormat="false" ht="15" hidden="false" customHeight="false" outlineLevel="0" collapsed="false">
      <c r="A76" s="23" t="s">
        <v>253</v>
      </c>
      <c r="B76" s="24" t="s">
        <v>258</v>
      </c>
      <c r="C76" s="25" t="n">
        <v>168</v>
      </c>
      <c r="D76" s="15" t="n">
        <v>3</v>
      </c>
      <c r="E76" s="15" t="n">
        <v>2</v>
      </c>
      <c r="F76" s="15" t="n">
        <v>3</v>
      </c>
      <c r="G76" s="15" t="n">
        <v>2</v>
      </c>
      <c r="H76" s="15" t="n">
        <v>2</v>
      </c>
      <c r="I76" s="15" t="n">
        <v>2</v>
      </c>
      <c r="J76" s="15" t="n">
        <v>3</v>
      </c>
      <c r="K76" s="15" t="n">
        <v>3</v>
      </c>
      <c r="L76" s="15" t="n">
        <v>3</v>
      </c>
      <c r="M76" s="15" t="n">
        <v>2</v>
      </c>
      <c r="N76" s="15" t="n">
        <v>2</v>
      </c>
      <c r="O76" s="15" t="n">
        <v>2</v>
      </c>
      <c r="P76" s="15" t="n">
        <v>5</v>
      </c>
      <c r="Q76" s="15" t="n">
        <v>3</v>
      </c>
      <c r="R76" s="15" t="n">
        <v>3</v>
      </c>
      <c r="S76" s="15" t="n">
        <v>2</v>
      </c>
      <c r="T76" s="15" t="n">
        <v>2</v>
      </c>
      <c r="U76" s="15" t="n">
        <v>3</v>
      </c>
      <c r="V76" s="15" t="n">
        <v>3</v>
      </c>
      <c r="W76" s="15" t="n">
        <v>2</v>
      </c>
      <c r="X76" s="15" t="n">
        <v>2</v>
      </c>
      <c r="Y76" s="15" t="n">
        <v>4</v>
      </c>
      <c r="Z76" s="15" t="n">
        <v>4</v>
      </c>
      <c r="AA76" s="15" t="n">
        <v>3</v>
      </c>
      <c r="AB76" s="15" t="n">
        <v>3</v>
      </c>
      <c r="AC76" s="15" t="n">
        <v>2</v>
      </c>
      <c r="AD76" s="15" t="n">
        <v>3</v>
      </c>
      <c r="AE76" s="15" t="n">
        <v>2</v>
      </c>
      <c r="AF76" s="15" t="n">
        <v>1</v>
      </c>
      <c r="AG76" s="15" t="n">
        <v>1</v>
      </c>
      <c r="AH76" s="15" t="n">
        <v>1</v>
      </c>
      <c r="AI76" s="15" t="n">
        <v>1</v>
      </c>
      <c r="AJ76" s="15" t="n">
        <v>1</v>
      </c>
      <c r="AK76" s="15" t="n">
        <v>1</v>
      </c>
      <c r="AL76" s="15" t="n">
        <v>1</v>
      </c>
      <c r="AM76" s="15" t="n">
        <v>1</v>
      </c>
      <c r="AN76" s="15" t="n">
        <v>1</v>
      </c>
      <c r="AO76" s="15" t="n">
        <v>1</v>
      </c>
      <c r="AP76" s="15" t="n">
        <v>2</v>
      </c>
      <c r="AQ76" s="16" t="n">
        <f aca="false">AVERAGE(D76:AP76)</f>
        <v>2.23076923076923</v>
      </c>
    </row>
    <row r="77" customFormat="false" ht="23.85" hidden="false" customHeight="false" outlineLevel="0" collapsed="false">
      <c r="A77" s="23" t="s">
        <v>253</v>
      </c>
      <c r="B77" s="24" t="s">
        <v>259</v>
      </c>
      <c r="C77" s="25" t="n">
        <v>90</v>
      </c>
      <c r="D77" s="15" t="n">
        <v>3</v>
      </c>
      <c r="E77" s="15" t="n">
        <v>4</v>
      </c>
      <c r="F77" s="15" t="n">
        <v>4</v>
      </c>
      <c r="G77" s="15" t="n">
        <v>4</v>
      </c>
      <c r="H77" s="15" t="n">
        <v>4</v>
      </c>
      <c r="I77" s="15" t="n">
        <v>4</v>
      </c>
      <c r="J77" s="15" t="n">
        <v>5</v>
      </c>
      <c r="K77" s="15" t="n">
        <v>5</v>
      </c>
      <c r="L77" s="15" t="n">
        <v>3</v>
      </c>
      <c r="M77" s="15" t="n">
        <v>2</v>
      </c>
      <c r="N77" s="15" t="n">
        <v>4</v>
      </c>
      <c r="O77" s="15" t="n">
        <v>2</v>
      </c>
      <c r="P77" s="15" t="n">
        <v>3</v>
      </c>
      <c r="Q77" s="15" t="n">
        <v>4</v>
      </c>
      <c r="R77" s="15" t="n">
        <v>3</v>
      </c>
      <c r="S77" s="15" t="n">
        <v>4</v>
      </c>
      <c r="T77" s="15" t="n">
        <v>4</v>
      </c>
      <c r="U77" s="15" t="n">
        <v>4</v>
      </c>
      <c r="V77" s="15" t="n">
        <v>3</v>
      </c>
      <c r="W77" s="15" t="n">
        <v>2</v>
      </c>
      <c r="X77" s="15" t="n">
        <v>4</v>
      </c>
      <c r="Y77" s="15" t="n">
        <v>3</v>
      </c>
      <c r="Z77" s="15" t="n">
        <v>3</v>
      </c>
      <c r="AA77" s="15" t="n">
        <v>3</v>
      </c>
      <c r="AB77" s="15" t="n">
        <v>3</v>
      </c>
      <c r="AC77" s="15" t="n">
        <v>2</v>
      </c>
      <c r="AD77" s="15" t="n">
        <v>3</v>
      </c>
      <c r="AE77" s="15" t="n">
        <v>2</v>
      </c>
      <c r="AF77" s="15" t="n">
        <v>1</v>
      </c>
      <c r="AG77" s="15" t="n">
        <v>1</v>
      </c>
      <c r="AH77" s="15" t="n">
        <v>1</v>
      </c>
      <c r="AI77" s="15" t="n">
        <v>1</v>
      </c>
      <c r="AJ77" s="15" t="n">
        <v>1</v>
      </c>
      <c r="AK77" s="15" t="n">
        <v>1</v>
      </c>
      <c r="AL77" s="15" t="n">
        <v>1</v>
      </c>
      <c r="AM77" s="15" t="n">
        <v>1</v>
      </c>
      <c r="AN77" s="15" t="n">
        <v>1</v>
      </c>
      <c r="AO77" s="15" t="n">
        <v>1</v>
      </c>
      <c r="AP77" s="15" t="n">
        <v>3</v>
      </c>
      <c r="AQ77" s="16" t="n">
        <f aca="false">AVERAGE(D77:AP77)</f>
        <v>2.74358974358974</v>
      </c>
    </row>
    <row r="78" customFormat="false" ht="15" hidden="false" customHeight="false" outlineLevel="0" collapsed="false">
      <c r="A78" s="23" t="s">
        <v>253</v>
      </c>
      <c r="B78" s="24" t="s">
        <v>260</v>
      </c>
      <c r="C78" s="25" t="n">
        <v>175</v>
      </c>
      <c r="D78" s="15" t="n">
        <v>3</v>
      </c>
      <c r="E78" s="15" t="n">
        <v>4</v>
      </c>
      <c r="F78" s="15" t="n">
        <v>4</v>
      </c>
      <c r="G78" s="15" t="n">
        <v>4</v>
      </c>
      <c r="H78" s="15" t="n">
        <v>4</v>
      </c>
      <c r="I78" s="15" t="n">
        <v>4</v>
      </c>
      <c r="J78" s="15" t="n">
        <v>5</v>
      </c>
      <c r="K78" s="15" t="n">
        <v>5</v>
      </c>
      <c r="L78" s="15" t="n">
        <v>3</v>
      </c>
      <c r="M78" s="15" t="n">
        <v>2</v>
      </c>
      <c r="N78" s="15" t="n">
        <v>4</v>
      </c>
      <c r="O78" s="15" t="n">
        <v>2</v>
      </c>
      <c r="P78" s="15" t="n">
        <v>3</v>
      </c>
      <c r="Q78" s="15" t="n">
        <v>4</v>
      </c>
      <c r="R78" s="15" t="n">
        <v>3</v>
      </c>
      <c r="S78" s="15" t="n">
        <v>4</v>
      </c>
      <c r="T78" s="15" t="n">
        <v>4</v>
      </c>
      <c r="U78" s="15" t="n">
        <v>4</v>
      </c>
      <c r="V78" s="15" t="n">
        <v>3</v>
      </c>
      <c r="W78" s="15" t="n">
        <v>2</v>
      </c>
      <c r="X78" s="15" t="n">
        <v>4</v>
      </c>
      <c r="Y78" s="15" t="n">
        <v>3</v>
      </c>
      <c r="Z78" s="15" t="n">
        <v>3</v>
      </c>
      <c r="AA78" s="15" t="n">
        <v>3</v>
      </c>
      <c r="AB78" s="15" t="n">
        <v>3</v>
      </c>
      <c r="AC78" s="15" t="n">
        <v>2</v>
      </c>
      <c r="AD78" s="15" t="n">
        <v>3</v>
      </c>
      <c r="AE78" s="15" t="n">
        <v>2</v>
      </c>
      <c r="AF78" s="15" t="n">
        <v>1</v>
      </c>
      <c r="AG78" s="15" t="n">
        <v>1</v>
      </c>
      <c r="AH78" s="15" t="n">
        <v>1</v>
      </c>
      <c r="AI78" s="15" t="n">
        <v>1</v>
      </c>
      <c r="AJ78" s="15" t="n">
        <v>1</v>
      </c>
      <c r="AK78" s="15" t="n">
        <v>1</v>
      </c>
      <c r="AL78" s="15" t="n">
        <v>1</v>
      </c>
      <c r="AM78" s="15" t="n">
        <v>1</v>
      </c>
      <c r="AN78" s="15" t="n">
        <v>1</v>
      </c>
      <c r="AO78" s="15" t="n">
        <v>1</v>
      </c>
      <c r="AP78" s="15" t="n">
        <v>3</v>
      </c>
      <c r="AQ78" s="16" t="n">
        <f aca="false">AVERAGE(D78:AP78)</f>
        <v>2.74358974358974</v>
      </c>
    </row>
    <row r="79" customFormat="false" ht="15" hidden="false" customHeight="false" outlineLevel="0" collapsed="false">
      <c r="A79" s="23" t="s">
        <v>253</v>
      </c>
      <c r="B79" s="24" t="s">
        <v>261</v>
      </c>
      <c r="C79" s="25" t="n">
        <v>340</v>
      </c>
      <c r="D79" s="15" t="n">
        <v>3</v>
      </c>
      <c r="E79" s="15" t="n">
        <v>4</v>
      </c>
      <c r="F79" s="15" t="n">
        <v>4</v>
      </c>
      <c r="G79" s="15" t="n">
        <v>4</v>
      </c>
      <c r="H79" s="15" t="n">
        <v>4</v>
      </c>
      <c r="I79" s="15" t="n">
        <v>4</v>
      </c>
      <c r="J79" s="15" t="n">
        <v>5</v>
      </c>
      <c r="K79" s="15" t="n">
        <v>5</v>
      </c>
      <c r="L79" s="15" t="n">
        <v>3</v>
      </c>
      <c r="M79" s="15" t="n">
        <v>2</v>
      </c>
      <c r="N79" s="15" t="n">
        <v>3</v>
      </c>
      <c r="O79" s="15" t="n">
        <v>3</v>
      </c>
      <c r="P79" s="15" t="n">
        <v>5</v>
      </c>
      <c r="Q79" s="15" t="n">
        <v>4</v>
      </c>
      <c r="R79" s="15" t="n">
        <v>3</v>
      </c>
      <c r="S79" s="15" t="n">
        <v>4</v>
      </c>
      <c r="T79" s="15" t="n">
        <v>4</v>
      </c>
      <c r="U79" s="15" t="n">
        <v>4</v>
      </c>
      <c r="V79" s="15" t="n">
        <v>3</v>
      </c>
      <c r="W79" s="15" t="n">
        <v>2</v>
      </c>
      <c r="X79" s="15" t="n">
        <v>4</v>
      </c>
      <c r="Y79" s="15" t="n">
        <v>4</v>
      </c>
      <c r="Z79" s="15" t="n">
        <v>5</v>
      </c>
      <c r="AA79" s="15" t="n">
        <v>3</v>
      </c>
      <c r="AB79" s="15" t="n">
        <v>3</v>
      </c>
      <c r="AC79" s="15" t="n">
        <v>2</v>
      </c>
      <c r="AD79" s="15" t="n">
        <v>3</v>
      </c>
      <c r="AE79" s="15" t="n">
        <v>2</v>
      </c>
      <c r="AF79" s="15" t="n">
        <v>1</v>
      </c>
      <c r="AG79" s="15" t="n">
        <v>1</v>
      </c>
      <c r="AH79" s="15" t="n">
        <v>1</v>
      </c>
      <c r="AI79" s="15" t="n">
        <v>1</v>
      </c>
      <c r="AJ79" s="15" t="n">
        <v>1</v>
      </c>
      <c r="AK79" s="15" t="n">
        <v>1</v>
      </c>
      <c r="AL79" s="15" t="n">
        <v>1</v>
      </c>
      <c r="AM79" s="15" t="n">
        <v>1</v>
      </c>
      <c r="AN79" s="15" t="n">
        <v>1</v>
      </c>
      <c r="AO79" s="15" t="n">
        <v>1</v>
      </c>
      <c r="AP79" s="15" t="n">
        <v>3</v>
      </c>
      <c r="AQ79" s="16" t="n">
        <f aca="false">AVERAGE(D79:AP79)</f>
        <v>2.87179487179487</v>
      </c>
    </row>
    <row r="80" customFormat="false" ht="15" hidden="false" customHeight="false" outlineLevel="0" collapsed="false">
      <c r="A80" s="10" t="s">
        <v>262</v>
      </c>
      <c r="B80" s="10" t="s">
        <v>263</v>
      </c>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row>
    <row r="81" customFormat="false" ht="15" hidden="false" customHeight="false" outlineLevel="0" collapsed="false">
      <c r="A81" s="26" t="s">
        <v>262</v>
      </c>
      <c r="B81" s="27" t="s">
        <v>264</v>
      </c>
      <c r="C81" s="28" t="n">
        <v>15</v>
      </c>
      <c r="D81" s="15" t="n">
        <v>1</v>
      </c>
      <c r="E81" s="15" t="n">
        <v>1</v>
      </c>
      <c r="F81" s="15" t="n">
        <v>1</v>
      </c>
      <c r="G81" s="15" t="n">
        <v>1</v>
      </c>
      <c r="H81" s="15" t="n">
        <v>1</v>
      </c>
      <c r="I81" s="15" t="n">
        <v>1</v>
      </c>
      <c r="J81" s="15" t="n">
        <v>1</v>
      </c>
      <c r="K81" s="15" t="n">
        <v>1</v>
      </c>
      <c r="L81" s="15" t="n">
        <v>1</v>
      </c>
      <c r="M81" s="15" t="n">
        <v>3</v>
      </c>
      <c r="N81" s="15" t="n">
        <v>1</v>
      </c>
      <c r="O81" s="15" t="n">
        <v>5</v>
      </c>
      <c r="P81" s="15" t="n">
        <v>1</v>
      </c>
      <c r="Q81" s="15" t="n">
        <v>1</v>
      </c>
      <c r="R81" s="15" t="n">
        <v>1</v>
      </c>
      <c r="S81" s="15" t="n">
        <v>1</v>
      </c>
      <c r="T81" s="15" t="n">
        <v>1</v>
      </c>
      <c r="U81" s="15" t="n">
        <v>1</v>
      </c>
      <c r="V81" s="15" t="n">
        <v>1</v>
      </c>
      <c r="W81" s="15" t="n">
        <v>3</v>
      </c>
      <c r="X81" s="15" t="n">
        <v>1</v>
      </c>
      <c r="Y81" s="15" t="n">
        <v>1</v>
      </c>
      <c r="Z81" s="15" t="n">
        <v>1</v>
      </c>
      <c r="AA81" s="15" t="n">
        <v>1</v>
      </c>
      <c r="AB81" s="15" t="n">
        <v>1</v>
      </c>
      <c r="AC81" s="15" t="n">
        <v>1</v>
      </c>
      <c r="AD81" s="15" t="n">
        <v>1</v>
      </c>
      <c r="AE81" s="15" t="n">
        <v>1</v>
      </c>
      <c r="AF81" s="15" t="n">
        <v>5</v>
      </c>
      <c r="AG81" s="15" t="n">
        <v>2</v>
      </c>
      <c r="AH81" s="15" t="n">
        <v>2</v>
      </c>
      <c r="AI81" s="15" t="n">
        <v>2</v>
      </c>
      <c r="AJ81" s="15" t="n">
        <v>3</v>
      </c>
      <c r="AK81" s="15" t="n">
        <v>4</v>
      </c>
      <c r="AL81" s="15" t="n">
        <v>4</v>
      </c>
      <c r="AM81" s="15" t="n">
        <v>2</v>
      </c>
      <c r="AN81" s="15" t="n">
        <v>4</v>
      </c>
      <c r="AO81" s="15" t="n">
        <v>2</v>
      </c>
      <c r="AP81" s="15" t="n">
        <v>3</v>
      </c>
      <c r="AQ81" s="16" t="n">
        <f aca="false">AVERAGE(D81:AP81)</f>
        <v>1.76923076923077</v>
      </c>
    </row>
    <row r="82" customFormat="false" ht="15" hidden="false" customHeight="false" outlineLevel="0" collapsed="false">
      <c r="A82" s="1"/>
      <c r="B82" s="1" t="s">
        <v>265</v>
      </c>
      <c r="C82" s="1"/>
      <c r="D82" s="15" t="n">
        <f aca="false">MAX(D6:D81)</f>
        <v>5</v>
      </c>
      <c r="E82" s="15" t="n">
        <f aca="false">MAX(E6:E81)</f>
        <v>4</v>
      </c>
      <c r="F82" s="15" t="n">
        <f aca="false">MAX(F6:F81)</f>
        <v>4</v>
      </c>
      <c r="G82" s="15" t="n">
        <f aca="false">MAX(G6:G81)</f>
        <v>5</v>
      </c>
      <c r="H82" s="15" t="n">
        <f aca="false">MAX(H6:H81)</f>
        <v>4</v>
      </c>
      <c r="I82" s="15" t="n">
        <f aca="false">MAX(I6:I81)</f>
        <v>5</v>
      </c>
      <c r="J82" s="15" t="n">
        <f aca="false">MAX(J6:J81)</f>
        <v>5</v>
      </c>
      <c r="K82" s="15" t="n">
        <f aca="false">MAX(K6:K81)</f>
        <v>5</v>
      </c>
      <c r="L82" s="15" t="n">
        <f aca="false">MAX(L6:L81)</f>
        <v>5</v>
      </c>
      <c r="M82" s="15" t="n">
        <f aca="false">MAX(M6:M81)</f>
        <v>3</v>
      </c>
      <c r="N82" s="15" t="n">
        <f aca="false">MAX(N6:N81)</f>
        <v>4</v>
      </c>
      <c r="O82" s="15" t="n">
        <f aca="false">MAX(O6:O81)</f>
        <v>5</v>
      </c>
      <c r="P82" s="15" t="n">
        <f aca="false">MAX(P6:P81)</f>
        <v>5</v>
      </c>
      <c r="Q82" s="15" t="n">
        <f aca="false">MAX(Q6:Q81)</f>
        <v>4</v>
      </c>
      <c r="R82" s="15" t="n">
        <f aca="false">MAX(R6:R81)</f>
        <v>5</v>
      </c>
      <c r="S82" s="15" t="n">
        <f aca="false">MAX(S6:S81)</f>
        <v>4</v>
      </c>
      <c r="T82" s="15" t="n">
        <f aca="false">MAX(T6:T81)</f>
        <v>5</v>
      </c>
      <c r="U82" s="15" t="n">
        <f aca="false">MAX(U6:U81)</f>
        <v>4</v>
      </c>
      <c r="V82" s="15" t="n">
        <f aca="false">MAX(V6:V81)</f>
        <v>5</v>
      </c>
      <c r="W82" s="15" t="n">
        <f aca="false">MAX(W6:W81)</f>
        <v>3</v>
      </c>
      <c r="X82" s="15" t="n">
        <f aca="false">MAX(X6:X81)</f>
        <v>4</v>
      </c>
      <c r="Y82" s="15" t="n">
        <f aca="false">MAX(Y6:Y81)</f>
        <v>5</v>
      </c>
      <c r="Z82" s="15" t="n">
        <f aca="false">MAX(Z6:Z81)</f>
        <v>5</v>
      </c>
      <c r="AA82" s="15" t="n">
        <f aca="false">MAX(AA6:AA81)</f>
        <v>5</v>
      </c>
      <c r="AB82" s="15" t="n">
        <f aca="false">MAX(AB6:AB81)</f>
        <v>4</v>
      </c>
      <c r="AC82" s="15" t="n">
        <f aca="false">MAX(AC6:AC81)</f>
        <v>5</v>
      </c>
      <c r="AD82" s="15" t="n">
        <f aca="false">MAX(AD6:AD81)</f>
        <v>5</v>
      </c>
      <c r="AE82" s="15" t="n">
        <f aca="false">MAX(AE6:AE81)</f>
        <v>4</v>
      </c>
      <c r="AF82" s="15" t="n">
        <f aca="false">MAX(AF6:AF81)</f>
        <v>5</v>
      </c>
      <c r="AG82" s="15" t="n">
        <f aca="false">MAX(AG6:AG81)</f>
        <v>2</v>
      </c>
      <c r="AH82" s="15" t="n">
        <f aca="false">MAX(AH6:AH81)</f>
        <v>2</v>
      </c>
      <c r="AI82" s="15" t="n">
        <f aca="false">MAX(AI6:AI81)</f>
        <v>2</v>
      </c>
      <c r="AJ82" s="15" t="n">
        <f aca="false">MAX(AJ6:AJ81)</f>
        <v>3</v>
      </c>
      <c r="AK82" s="15" t="n">
        <f aca="false">MAX(AK6:AK81)</f>
        <v>4</v>
      </c>
      <c r="AL82" s="15" t="n">
        <f aca="false">MAX(AL6:AL81)</f>
        <v>4</v>
      </c>
      <c r="AM82" s="15" t="n">
        <f aca="false">MAX(AM6:AM81)</f>
        <v>2</v>
      </c>
      <c r="AN82" s="15" t="n">
        <f aca="false">MAX(AN6:AN81)</f>
        <v>4</v>
      </c>
      <c r="AO82" s="15" t="n">
        <f aca="false">MAX(AO6:AO81)</f>
        <v>2</v>
      </c>
      <c r="AP82" s="15" t="n">
        <f aca="false">MAX(AP6:AP81)</f>
        <v>4</v>
      </c>
    </row>
  </sheetData>
  <mergeCells count="3">
    <mergeCell ref="D4:P4"/>
    <mergeCell ref="Q4:AE4"/>
    <mergeCell ref="AF4:AP4"/>
  </mergeCells>
  <conditionalFormatting sqref="D6:AP82">
    <cfRule type="cellIs" priority="2" operator="equal" aboveAverage="0" equalAverage="0" bottom="0" percent="0" rank="0" text="" dxfId="0">
      <formula>1</formula>
    </cfRule>
    <cfRule type="cellIs" priority="3" operator="equal" aboveAverage="0" equalAverage="0" bottom="0" percent="0" rank="0" text="" dxfId="1">
      <formula>2</formula>
    </cfRule>
    <cfRule type="cellIs" priority="4" operator="equal" aboveAverage="0" equalAverage="0" bottom="0" percent="0" rank="0" text="" dxfId="2">
      <formula>3</formula>
    </cfRule>
    <cfRule type="cellIs" priority="5" operator="equal" aboveAverage="0" equalAverage="0" bottom="0" percent="0" rank="0" text="" dxfId="3">
      <formula>4</formula>
    </cfRule>
    <cfRule type="cellIs" priority="6" operator="equal" aboveAverage="0" equalAverage="0" bottom="0" percent="0" rank="0" text="" dxfId="4">
      <formula>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8"/>
    <col collapsed="false" customWidth="true" hidden="false" outlineLevel="0" max="42" min="4" style="0" width="34"/>
    <col collapsed="false" customWidth="true" hidden="false" outlineLevel="0" max="43" min="43" style="0" width="11"/>
  </cols>
  <sheetData>
    <row r="1" customFormat="false" ht="17.35" hidden="false" customHeight="false" outlineLevel="0" collapsed="false">
      <c r="A1" s="6" t="s">
        <v>266</v>
      </c>
    </row>
    <row r="2" customFormat="false" ht="15" hidden="false" customHeight="false" outlineLevel="0" collapsed="false">
      <c r="A2" s="7" t="s">
        <v>267</v>
      </c>
    </row>
    <row r="3" customFormat="false" ht="15" hidden="false" customHeight="false" outlineLevel="0" collapsed="false">
      <c r="A3" s="7" t="s">
        <v>177</v>
      </c>
    </row>
    <row r="4" customFormat="false" ht="15" hidden="false" customHeight="true" outlineLevel="0" collapsed="false">
      <c r="A4" s="1"/>
      <c r="B4" s="1"/>
      <c r="C4" s="1"/>
      <c r="D4" s="9" t="s">
        <v>178</v>
      </c>
      <c r="E4" s="9"/>
      <c r="F4" s="9"/>
      <c r="G4" s="9"/>
      <c r="H4" s="9"/>
      <c r="I4" s="9"/>
      <c r="J4" s="9"/>
      <c r="K4" s="9"/>
      <c r="L4" s="9"/>
      <c r="M4" s="9"/>
      <c r="N4" s="9"/>
      <c r="O4" s="9"/>
      <c r="P4" s="9"/>
      <c r="Q4" s="9" t="s">
        <v>179</v>
      </c>
      <c r="R4" s="9"/>
      <c r="S4" s="9"/>
      <c r="T4" s="9"/>
      <c r="U4" s="9"/>
      <c r="V4" s="9"/>
      <c r="W4" s="9"/>
      <c r="X4" s="9"/>
      <c r="Y4" s="9"/>
      <c r="Z4" s="9"/>
      <c r="AA4" s="9"/>
      <c r="AB4" s="9"/>
      <c r="AC4" s="9"/>
      <c r="AD4" s="9"/>
      <c r="AE4" s="9"/>
      <c r="AF4" s="9" t="s">
        <v>180</v>
      </c>
      <c r="AG4" s="9"/>
      <c r="AH4" s="9"/>
      <c r="AI4" s="9"/>
      <c r="AJ4" s="9"/>
      <c r="AK4" s="9"/>
      <c r="AL4" s="9"/>
      <c r="AM4" s="9"/>
      <c r="AN4" s="9"/>
      <c r="AO4" s="9"/>
      <c r="AP4" s="9"/>
    </row>
    <row r="5" customFormat="false" ht="120" hidden="false" customHeight="true" outlineLevel="0" collapsed="false">
      <c r="A5" s="1" t="s">
        <v>181</v>
      </c>
      <c r="B5" s="1" t="s">
        <v>182</v>
      </c>
      <c r="C5" s="1" t="s">
        <v>4</v>
      </c>
      <c r="D5" s="1" t="s">
        <v>7</v>
      </c>
      <c r="E5" s="1" t="s">
        <v>11</v>
      </c>
      <c r="F5" s="1" t="s">
        <v>14</v>
      </c>
      <c r="G5" s="1" t="s">
        <v>17</v>
      </c>
      <c r="H5" s="1" t="s">
        <v>20</v>
      </c>
      <c r="I5" s="1" t="s">
        <v>23</v>
      </c>
      <c r="J5" s="1" t="s">
        <v>26</v>
      </c>
      <c r="K5" s="1" t="s">
        <v>30</v>
      </c>
      <c r="L5" s="1" t="s">
        <v>34</v>
      </c>
      <c r="M5" s="1" t="s">
        <v>37</v>
      </c>
      <c r="N5" s="1" t="s">
        <v>40</v>
      </c>
      <c r="O5" s="1" t="s">
        <v>43</v>
      </c>
      <c r="P5" s="1" t="s">
        <v>46</v>
      </c>
      <c r="Q5" s="1" t="s">
        <v>49</v>
      </c>
      <c r="R5" s="1" t="s">
        <v>53</v>
      </c>
      <c r="S5" s="1" t="s">
        <v>56</v>
      </c>
      <c r="T5" s="1" t="s">
        <v>59</v>
      </c>
      <c r="U5" s="1" t="s">
        <v>62</v>
      </c>
      <c r="V5" s="1" t="s">
        <v>65</v>
      </c>
      <c r="W5" s="1" t="s">
        <v>68</v>
      </c>
      <c r="X5" s="1" t="s">
        <v>71</v>
      </c>
      <c r="Y5" s="1" t="s">
        <v>74</v>
      </c>
      <c r="Z5" s="1" t="s">
        <v>77</v>
      </c>
      <c r="AA5" s="1" t="s">
        <v>80</v>
      </c>
      <c r="AB5" s="1" t="s">
        <v>83</v>
      </c>
      <c r="AC5" s="1" t="s">
        <v>86</v>
      </c>
      <c r="AD5" s="1" t="s">
        <v>89</v>
      </c>
      <c r="AE5" s="1" t="s">
        <v>92</v>
      </c>
      <c r="AF5" s="1" t="s">
        <v>95</v>
      </c>
      <c r="AG5" s="1" t="s">
        <v>99</v>
      </c>
      <c r="AH5" s="1" t="s">
        <v>102</v>
      </c>
      <c r="AI5" s="1" t="s">
        <v>104</v>
      </c>
      <c r="AJ5" s="1" t="s">
        <v>107</v>
      </c>
      <c r="AK5" s="1" t="s">
        <v>110</v>
      </c>
      <c r="AL5" s="1" t="s">
        <v>113</v>
      </c>
      <c r="AM5" s="1" t="s">
        <v>116</v>
      </c>
      <c r="AN5" s="1" t="s">
        <v>119</v>
      </c>
      <c r="AO5" s="1" t="s">
        <v>121</v>
      </c>
      <c r="AP5" s="1" t="s">
        <v>124</v>
      </c>
    </row>
    <row r="6" customFormat="false" ht="15" hidden="false" customHeight="false" outlineLevel="0" collapsed="false">
      <c r="A6" s="10" t="s">
        <v>184</v>
      </c>
      <c r="B6" s="10" t="s">
        <v>185</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row>
    <row r="7" customFormat="false" ht="61.5" hidden="false" customHeight="true" outlineLevel="0" collapsed="false">
      <c r="A7" s="12" t="s">
        <v>184</v>
      </c>
      <c r="B7" s="13" t="s">
        <v>186</v>
      </c>
      <c r="C7" s="14" t="n">
        <v>38</v>
      </c>
      <c r="D7" s="29" t="s">
        <v>268</v>
      </c>
      <c r="E7" s="30" t="s">
        <v>269</v>
      </c>
      <c r="F7" s="30" t="s">
        <v>270</v>
      </c>
      <c r="G7" s="30" t="s">
        <v>271</v>
      </c>
      <c r="H7" s="30" t="s">
        <v>272</v>
      </c>
      <c r="I7" s="31" t="s">
        <v>273</v>
      </c>
      <c r="J7" s="30" t="s">
        <v>274</v>
      </c>
      <c r="K7" s="30" t="s">
        <v>274</v>
      </c>
      <c r="L7" s="30" t="s">
        <v>271</v>
      </c>
      <c r="M7" s="32" t="s">
        <v>275</v>
      </c>
      <c r="N7" s="30" t="s">
        <v>276</v>
      </c>
      <c r="O7" s="32" t="s">
        <v>277</v>
      </c>
      <c r="P7" s="29" t="s">
        <v>278</v>
      </c>
      <c r="Q7" s="30" t="s">
        <v>279</v>
      </c>
      <c r="R7" s="30" t="s">
        <v>280</v>
      </c>
      <c r="S7" s="30" t="s">
        <v>281</v>
      </c>
      <c r="T7" s="31" t="s">
        <v>282</v>
      </c>
      <c r="U7" s="30" t="s">
        <v>283</v>
      </c>
      <c r="V7" s="29" t="s">
        <v>278</v>
      </c>
      <c r="W7" s="32" t="s">
        <v>284</v>
      </c>
      <c r="X7" s="30" t="s">
        <v>285</v>
      </c>
      <c r="Y7" s="29" t="s">
        <v>278</v>
      </c>
      <c r="Z7" s="29" t="s">
        <v>278</v>
      </c>
      <c r="AA7" s="29" t="s">
        <v>278</v>
      </c>
      <c r="AB7" s="29" t="s">
        <v>286</v>
      </c>
      <c r="AC7" s="32" t="s">
        <v>287</v>
      </c>
      <c r="AD7" s="29" t="s">
        <v>278</v>
      </c>
      <c r="AE7" s="32" t="s">
        <v>287</v>
      </c>
      <c r="AF7" s="33" t="s">
        <v>288</v>
      </c>
      <c r="AG7" s="33" t="s">
        <v>289</v>
      </c>
      <c r="AH7" s="33" t="s">
        <v>289</v>
      </c>
      <c r="AI7" s="33" t="s">
        <v>288</v>
      </c>
      <c r="AJ7" s="33" t="s">
        <v>288</v>
      </c>
      <c r="AK7" s="33" t="s">
        <v>288</v>
      </c>
      <c r="AL7" s="33" t="s">
        <v>288</v>
      </c>
      <c r="AM7" s="33" t="s">
        <v>289</v>
      </c>
      <c r="AN7" s="33" t="s">
        <v>288</v>
      </c>
      <c r="AO7" s="33" t="s">
        <v>290</v>
      </c>
      <c r="AP7" s="29" t="s">
        <v>291</v>
      </c>
    </row>
    <row r="8" customFormat="false" ht="61.5" hidden="false" customHeight="true" outlineLevel="0" collapsed="false">
      <c r="A8" s="12" t="s">
        <v>184</v>
      </c>
      <c r="B8" s="13" t="s">
        <v>187</v>
      </c>
      <c r="C8" s="14" t="n">
        <v>58</v>
      </c>
      <c r="D8" s="29" t="s">
        <v>268</v>
      </c>
      <c r="E8" s="30" t="s">
        <v>269</v>
      </c>
      <c r="F8" s="30" t="s">
        <v>292</v>
      </c>
      <c r="G8" s="30" t="s">
        <v>293</v>
      </c>
      <c r="H8" s="30" t="s">
        <v>272</v>
      </c>
      <c r="I8" s="31" t="s">
        <v>273</v>
      </c>
      <c r="J8" s="30" t="s">
        <v>294</v>
      </c>
      <c r="K8" s="30" t="s">
        <v>294</v>
      </c>
      <c r="L8" s="30" t="s">
        <v>293</v>
      </c>
      <c r="M8" s="32" t="s">
        <v>275</v>
      </c>
      <c r="N8" s="30" t="s">
        <v>276</v>
      </c>
      <c r="O8" s="32" t="s">
        <v>277</v>
      </c>
      <c r="P8" s="30" t="s">
        <v>293</v>
      </c>
      <c r="Q8" s="30" t="s">
        <v>279</v>
      </c>
      <c r="R8" s="30" t="s">
        <v>295</v>
      </c>
      <c r="S8" s="30" t="s">
        <v>296</v>
      </c>
      <c r="T8" s="31" t="s">
        <v>282</v>
      </c>
      <c r="U8" s="30" t="s">
        <v>283</v>
      </c>
      <c r="V8" s="30" t="s">
        <v>293</v>
      </c>
      <c r="W8" s="32" t="s">
        <v>284</v>
      </c>
      <c r="X8" s="30" t="s">
        <v>285</v>
      </c>
      <c r="Y8" s="30" t="s">
        <v>293</v>
      </c>
      <c r="Z8" s="30" t="s">
        <v>293</v>
      </c>
      <c r="AA8" s="30" t="s">
        <v>293</v>
      </c>
      <c r="AB8" s="29" t="s">
        <v>286</v>
      </c>
      <c r="AC8" s="32" t="s">
        <v>297</v>
      </c>
      <c r="AD8" s="29" t="s">
        <v>286</v>
      </c>
      <c r="AE8" s="32" t="s">
        <v>297</v>
      </c>
      <c r="AF8" s="33" t="s">
        <v>288</v>
      </c>
      <c r="AG8" s="33" t="s">
        <v>289</v>
      </c>
      <c r="AH8" s="33" t="s">
        <v>289</v>
      </c>
      <c r="AI8" s="33" t="s">
        <v>288</v>
      </c>
      <c r="AJ8" s="33" t="s">
        <v>288</v>
      </c>
      <c r="AK8" s="33" t="s">
        <v>288</v>
      </c>
      <c r="AL8" s="33" t="s">
        <v>288</v>
      </c>
      <c r="AM8" s="33" t="s">
        <v>289</v>
      </c>
      <c r="AN8" s="33" t="s">
        <v>288</v>
      </c>
      <c r="AO8" s="33" t="s">
        <v>290</v>
      </c>
      <c r="AP8" s="29" t="s">
        <v>291</v>
      </c>
    </row>
    <row r="9" customFormat="false" ht="61.5" hidden="false" customHeight="true" outlineLevel="0" collapsed="false">
      <c r="A9" s="12" t="s">
        <v>184</v>
      </c>
      <c r="B9" s="13" t="s">
        <v>188</v>
      </c>
      <c r="C9" s="14" t="n">
        <v>80</v>
      </c>
      <c r="D9" s="29" t="s">
        <v>268</v>
      </c>
      <c r="E9" s="30" t="s">
        <v>269</v>
      </c>
      <c r="F9" s="30" t="s">
        <v>292</v>
      </c>
      <c r="G9" s="31" t="s">
        <v>298</v>
      </c>
      <c r="H9" s="30" t="s">
        <v>272</v>
      </c>
      <c r="I9" s="31" t="s">
        <v>273</v>
      </c>
      <c r="J9" s="30" t="s">
        <v>294</v>
      </c>
      <c r="K9" s="30" t="s">
        <v>294</v>
      </c>
      <c r="L9" s="30" t="s">
        <v>293</v>
      </c>
      <c r="M9" s="32" t="s">
        <v>275</v>
      </c>
      <c r="N9" s="30" t="s">
        <v>276</v>
      </c>
      <c r="O9" s="32" t="s">
        <v>277</v>
      </c>
      <c r="P9" s="31" t="s">
        <v>299</v>
      </c>
      <c r="Q9" s="30" t="s">
        <v>279</v>
      </c>
      <c r="R9" s="30" t="s">
        <v>295</v>
      </c>
      <c r="S9" s="30" t="s">
        <v>300</v>
      </c>
      <c r="T9" s="31" t="s">
        <v>282</v>
      </c>
      <c r="U9" s="30" t="s">
        <v>283</v>
      </c>
      <c r="V9" s="30" t="s">
        <v>293</v>
      </c>
      <c r="W9" s="32" t="s">
        <v>284</v>
      </c>
      <c r="X9" s="30" t="s">
        <v>285</v>
      </c>
      <c r="Y9" s="30" t="s">
        <v>293</v>
      </c>
      <c r="Z9" s="31" t="s">
        <v>301</v>
      </c>
      <c r="AA9" s="30" t="s">
        <v>293</v>
      </c>
      <c r="AB9" s="29" t="s">
        <v>286</v>
      </c>
      <c r="AC9" s="32" t="s">
        <v>297</v>
      </c>
      <c r="AD9" s="29" t="s">
        <v>286</v>
      </c>
      <c r="AE9" s="32" t="s">
        <v>297</v>
      </c>
      <c r="AF9" s="33" t="s">
        <v>288</v>
      </c>
      <c r="AG9" s="33" t="s">
        <v>289</v>
      </c>
      <c r="AH9" s="33" t="s">
        <v>289</v>
      </c>
      <c r="AI9" s="33" t="s">
        <v>288</v>
      </c>
      <c r="AJ9" s="33" t="s">
        <v>288</v>
      </c>
      <c r="AK9" s="33" t="s">
        <v>288</v>
      </c>
      <c r="AL9" s="33" t="s">
        <v>288</v>
      </c>
      <c r="AM9" s="33" t="s">
        <v>289</v>
      </c>
      <c r="AN9" s="33" t="s">
        <v>288</v>
      </c>
      <c r="AO9" s="33" t="s">
        <v>290</v>
      </c>
      <c r="AP9" s="29" t="s">
        <v>291</v>
      </c>
    </row>
    <row r="10" customFormat="false" ht="61.5" hidden="false" customHeight="true" outlineLevel="0" collapsed="false">
      <c r="A10" s="12" t="s">
        <v>184</v>
      </c>
      <c r="B10" s="13" t="s">
        <v>189</v>
      </c>
      <c r="C10" s="14" t="n">
        <v>120</v>
      </c>
      <c r="D10" s="32" t="s">
        <v>302</v>
      </c>
      <c r="E10" s="32" t="s">
        <v>303</v>
      </c>
      <c r="F10" s="32" t="s">
        <v>304</v>
      </c>
      <c r="G10" s="32" t="s">
        <v>303</v>
      </c>
      <c r="H10" s="32" t="s">
        <v>303</v>
      </c>
      <c r="I10" s="32" t="s">
        <v>303</v>
      </c>
      <c r="J10" s="32" t="s">
        <v>304</v>
      </c>
      <c r="K10" s="32" t="s">
        <v>304</v>
      </c>
      <c r="L10" s="29" t="s">
        <v>305</v>
      </c>
      <c r="M10" s="33" t="s">
        <v>306</v>
      </c>
      <c r="N10" s="32" t="s">
        <v>303</v>
      </c>
      <c r="O10" s="32" t="s">
        <v>277</v>
      </c>
      <c r="P10" s="29" t="s">
        <v>305</v>
      </c>
      <c r="Q10" s="29" t="s">
        <v>305</v>
      </c>
      <c r="R10" s="29" t="s">
        <v>305</v>
      </c>
      <c r="S10" s="29" t="s">
        <v>305</v>
      </c>
      <c r="T10" s="32" t="s">
        <v>303</v>
      </c>
      <c r="U10" s="32" t="s">
        <v>303</v>
      </c>
      <c r="V10" s="30" t="s">
        <v>307</v>
      </c>
      <c r="W10" s="32" t="s">
        <v>284</v>
      </c>
      <c r="X10" s="29" t="s">
        <v>305</v>
      </c>
      <c r="Y10" s="30" t="s">
        <v>307</v>
      </c>
      <c r="Z10" s="29" t="s">
        <v>305</v>
      </c>
      <c r="AA10" s="30" t="s">
        <v>307</v>
      </c>
      <c r="AB10" s="29" t="s">
        <v>305</v>
      </c>
      <c r="AC10" s="32" t="s">
        <v>297</v>
      </c>
      <c r="AD10" s="29" t="s">
        <v>286</v>
      </c>
      <c r="AE10" s="32" t="s">
        <v>297</v>
      </c>
      <c r="AF10" s="33" t="s">
        <v>288</v>
      </c>
      <c r="AG10" s="33" t="s">
        <v>289</v>
      </c>
      <c r="AH10" s="33" t="s">
        <v>289</v>
      </c>
      <c r="AI10" s="33" t="s">
        <v>288</v>
      </c>
      <c r="AJ10" s="33" t="s">
        <v>288</v>
      </c>
      <c r="AK10" s="33" t="s">
        <v>288</v>
      </c>
      <c r="AL10" s="33" t="s">
        <v>288</v>
      </c>
      <c r="AM10" s="33" t="s">
        <v>289</v>
      </c>
      <c r="AN10" s="33" t="s">
        <v>288</v>
      </c>
      <c r="AO10" s="33" t="s">
        <v>290</v>
      </c>
      <c r="AP10" s="29" t="s">
        <v>308</v>
      </c>
    </row>
    <row r="11" customFormat="false" ht="61.5" hidden="false" customHeight="true" outlineLevel="0" collapsed="false">
      <c r="A11" s="12" t="s">
        <v>184</v>
      </c>
      <c r="B11" s="13" t="s">
        <v>190</v>
      </c>
      <c r="C11" s="14" t="n">
        <v>46</v>
      </c>
      <c r="D11" s="29" t="s">
        <v>268</v>
      </c>
      <c r="E11" s="30" t="s">
        <v>269</v>
      </c>
      <c r="F11" s="30" t="s">
        <v>270</v>
      </c>
      <c r="G11" s="31" t="s">
        <v>298</v>
      </c>
      <c r="H11" s="30" t="s">
        <v>272</v>
      </c>
      <c r="I11" s="31" t="s">
        <v>273</v>
      </c>
      <c r="J11" s="30" t="s">
        <v>274</v>
      </c>
      <c r="K11" s="30" t="s">
        <v>274</v>
      </c>
      <c r="L11" s="31" t="s">
        <v>309</v>
      </c>
      <c r="M11" s="32" t="s">
        <v>275</v>
      </c>
      <c r="N11" s="30" t="s">
        <v>276</v>
      </c>
      <c r="O11" s="32" t="s">
        <v>277</v>
      </c>
      <c r="P11" s="30" t="s">
        <v>310</v>
      </c>
      <c r="Q11" s="30" t="s">
        <v>311</v>
      </c>
      <c r="R11" s="30" t="s">
        <v>280</v>
      </c>
      <c r="S11" s="30" t="s">
        <v>300</v>
      </c>
      <c r="T11" s="31" t="s">
        <v>282</v>
      </c>
      <c r="U11" s="30" t="s">
        <v>283</v>
      </c>
      <c r="V11" s="29" t="s">
        <v>278</v>
      </c>
      <c r="W11" s="32" t="s">
        <v>284</v>
      </c>
      <c r="X11" s="30" t="s">
        <v>312</v>
      </c>
      <c r="Y11" s="29" t="s">
        <v>278</v>
      </c>
      <c r="Z11" s="30" t="s">
        <v>313</v>
      </c>
      <c r="AA11" s="29" t="s">
        <v>278</v>
      </c>
      <c r="AB11" s="29" t="s">
        <v>286</v>
      </c>
      <c r="AC11" s="32" t="s">
        <v>287</v>
      </c>
      <c r="AD11" s="29" t="s">
        <v>278</v>
      </c>
      <c r="AE11" s="32" t="s">
        <v>287</v>
      </c>
      <c r="AF11" s="33" t="s">
        <v>288</v>
      </c>
      <c r="AG11" s="33" t="s">
        <v>289</v>
      </c>
      <c r="AH11" s="33" t="s">
        <v>289</v>
      </c>
      <c r="AI11" s="33" t="s">
        <v>288</v>
      </c>
      <c r="AJ11" s="33" t="s">
        <v>288</v>
      </c>
      <c r="AK11" s="33" t="s">
        <v>288</v>
      </c>
      <c r="AL11" s="33" t="s">
        <v>288</v>
      </c>
      <c r="AM11" s="33" t="s">
        <v>289</v>
      </c>
      <c r="AN11" s="33" t="s">
        <v>288</v>
      </c>
      <c r="AO11" s="33" t="s">
        <v>290</v>
      </c>
      <c r="AP11" s="29" t="s">
        <v>291</v>
      </c>
    </row>
    <row r="12" customFormat="false" ht="61.5" hidden="false" customHeight="true" outlineLevel="0" collapsed="false">
      <c r="A12" s="12" t="s">
        <v>184</v>
      </c>
      <c r="B12" s="13" t="s">
        <v>191</v>
      </c>
      <c r="C12" s="14" t="n">
        <v>48</v>
      </c>
      <c r="D12" s="29" t="s">
        <v>268</v>
      </c>
      <c r="E12" s="32" t="s">
        <v>314</v>
      </c>
      <c r="F12" s="32" t="s">
        <v>315</v>
      </c>
      <c r="G12" s="32" t="s">
        <v>316</v>
      </c>
      <c r="H12" s="32" t="s">
        <v>317</v>
      </c>
      <c r="I12" s="32" t="s">
        <v>318</v>
      </c>
      <c r="J12" s="32" t="s">
        <v>319</v>
      </c>
      <c r="K12" s="32" t="s">
        <v>320</v>
      </c>
      <c r="L12" s="31" t="s">
        <v>309</v>
      </c>
      <c r="M12" s="32" t="s">
        <v>275</v>
      </c>
      <c r="N12" s="32" t="s">
        <v>321</v>
      </c>
      <c r="O12" s="32" t="s">
        <v>277</v>
      </c>
      <c r="P12" s="30" t="s">
        <v>322</v>
      </c>
      <c r="Q12" s="32" t="s">
        <v>323</v>
      </c>
      <c r="R12" s="30" t="s">
        <v>324</v>
      </c>
      <c r="S12" s="29" t="s">
        <v>325</v>
      </c>
      <c r="T12" s="32" t="s">
        <v>316</v>
      </c>
      <c r="U12" s="32" t="s">
        <v>326</v>
      </c>
      <c r="V12" s="30" t="s">
        <v>322</v>
      </c>
      <c r="W12" s="32" t="s">
        <v>284</v>
      </c>
      <c r="X12" s="32" t="s">
        <v>327</v>
      </c>
      <c r="Y12" s="30" t="s">
        <v>322</v>
      </c>
      <c r="Z12" s="30" t="s">
        <v>322</v>
      </c>
      <c r="AA12" s="30" t="s">
        <v>322</v>
      </c>
      <c r="AB12" s="29" t="s">
        <v>328</v>
      </c>
      <c r="AC12" s="32" t="s">
        <v>297</v>
      </c>
      <c r="AD12" s="29" t="s">
        <v>286</v>
      </c>
      <c r="AE12" s="32" t="s">
        <v>329</v>
      </c>
      <c r="AF12" s="33" t="s">
        <v>288</v>
      </c>
      <c r="AG12" s="33" t="s">
        <v>289</v>
      </c>
      <c r="AH12" s="33" t="s">
        <v>289</v>
      </c>
      <c r="AI12" s="33" t="s">
        <v>288</v>
      </c>
      <c r="AJ12" s="33" t="s">
        <v>288</v>
      </c>
      <c r="AK12" s="33" t="s">
        <v>288</v>
      </c>
      <c r="AL12" s="33" t="s">
        <v>288</v>
      </c>
      <c r="AM12" s="33" t="s">
        <v>289</v>
      </c>
      <c r="AN12" s="33" t="s">
        <v>288</v>
      </c>
      <c r="AO12" s="33" t="s">
        <v>290</v>
      </c>
      <c r="AP12" s="32" t="s">
        <v>330</v>
      </c>
    </row>
    <row r="13" customFormat="false" ht="61.5" hidden="false" customHeight="true" outlineLevel="0" collapsed="false">
      <c r="A13" s="12" t="s">
        <v>184</v>
      </c>
      <c r="B13" s="13" t="s">
        <v>192</v>
      </c>
      <c r="C13" s="14" t="n">
        <v>49</v>
      </c>
      <c r="D13" s="29" t="s">
        <v>268</v>
      </c>
      <c r="E13" s="32" t="s">
        <v>314</v>
      </c>
      <c r="F13" s="32" t="s">
        <v>315</v>
      </c>
      <c r="G13" s="32" t="s">
        <v>316</v>
      </c>
      <c r="H13" s="32" t="s">
        <v>317</v>
      </c>
      <c r="I13" s="32" t="s">
        <v>318</v>
      </c>
      <c r="J13" s="32" t="s">
        <v>319</v>
      </c>
      <c r="K13" s="32" t="s">
        <v>320</v>
      </c>
      <c r="L13" s="31" t="s">
        <v>309</v>
      </c>
      <c r="M13" s="32" t="s">
        <v>275</v>
      </c>
      <c r="N13" s="32" t="s">
        <v>321</v>
      </c>
      <c r="O13" s="32" t="s">
        <v>277</v>
      </c>
      <c r="P13" s="29" t="s">
        <v>278</v>
      </c>
      <c r="Q13" s="32" t="s">
        <v>323</v>
      </c>
      <c r="R13" s="30" t="s">
        <v>331</v>
      </c>
      <c r="S13" s="29" t="s">
        <v>325</v>
      </c>
      <c r="T13" s="32" t="s">
        <v>316</v>
      </c>
      <c r="U13" s="32" t="s">
        <v>326</v>
      </c>
      <c r="V13" s="29" t="s">
        <v>278</v>
      </c>
      <c r="W13" s="32" t="s">
        <v>284</v>
      </c>
      <c r="X13" s="32" t="s">
        <v>327</v>
      </c>
      <c r="Y13" s="29" t="s">
        <v>278</v>
      </c>
      <c r="Z13" s="29" t="s">
        <v>278</v>
      </c>
      <c r="AA13" s="29" t="s">
        <v>278</v>
      </c>
      <c r="AB13" s="29" t="s">
        <v>328</v>
      </c>
      <c r="AC13" s="32" t="s">
        <v>287</v>
      </c>
      <c r="AD13" s="29" t="s">
        <v>278</v>
      </c>
      <c r="AE13" s="32" t="s">
        <v>332</v>
      </c>
      <c r="AF13" s="33" t="s">
        <v>288</v>
      </c>
      <c r="AG13" s="33" t="s">
        <v>289</v>
      </c>
      <c r="AH13" s="33" t="s">
        <v>289</v>
      </c>
      <c r="AI13" s="33" t="s">
        <v>288</v>
      </c>
      <c r="AJ13" s="33" t="s">
        <v>288</v>
      </c>
      <c r="AK13" s="33" t="s">
        <v>288</v>
      </c>
      <c r="AL13" s="33" t="s">
        <v>288</v>
      </c>
      <c r="AM13" s="33" t="s">
        <v>289</v>
      </c>
      <c r="AN13" s="33" t="s">
        <v>288</v>
      </c>
      <c r="AO13" s="33" t="s">
        <v>290</v>
      </c>
      <c r="AP13" s="32" t="s">
        <v>330</v>
      </c>
    </row>
    <row r="14" customFormat="false" ht="61.5" hidden="false" customHeight="true" outlineLevel="0" collapsed="false">
      <c r="A14" s="12" t="s">
        <v>184</v>
      </c>
      <c r="B14" s="13" t="s">
        <v>193</v>
      </c>
      <c r="C14" s="14" t="n">
        <v>195</v>
      </c>
      <c r="D14" s="33" t="s">
        <v>333</v>
      </c>
      <c r="E14" s="33" t="s">
        <v>334</v>
      </c>
      <c r="F14" s="32" t="s">
        <v>304</v>
      </c>
      <c r="G14" s="32" t="s">
        <v>303</v>
      </c>
      <c r="H14" s="33" t="s">
        <v>334</v>
      </c>
      <c r="I14" s="32" t="s">
        <v>303</v>
      </c>
      <c r="J14" s="32" t="s">
        <v>304</v>
      </c>
      <c r="K14" s="32" t="s">
        <v>304</v>
      </c>
      <c r="L14" s="29" t="s">
        <v>305</v>
      </c>
      <c r="M14" s="33" t="s">
        <v>306</v>
      </c>
      <c r="N14" s="33" t="s">
        <v>334</v>
      </c>
      <c r="O14" s="29" t="s">
        <v>335</v>
      </c>
      <c r="P14" s="29" t="s">
        <v>305</v>
      </c>
      <c r="Q14" s="32" t="s">
        <v>303</v>
      </c>
      <c r="R14" s="29" t="s">
        <v>305</v>
      </c>
      <c r="S14" s="29" t="s">
        <v>305</v>
      </c>
      <c r="T14" s="32" t="s">
        <v>303</v>
      </c>
      <c r="U14" s="32" t="s">
        <v>303</v>
      </c>
      <c r="V14" s="31" t="s">
        <v>336</v>
      </c>
      <c r="W14" s="32" t="s">
        <v>284</v>
      </c>
      <c r="X14" s="32" t="s">
        <v>303</v>
      </c>
      <c r="Y14" s="31" t="s">
        <v>337</v>
      </c>
      <c r="Z14" s="29" t="s">
        <v>305</v>
      </c>
      <c r="AA14" s="30" t="s">
        <v>338</v>
      </c>
      <c r="AB14" s="29" t="s">
        <v>305</v>
      </c>
      <c r="AC14" s="32" t="s">
        <v>297</v>
      </c>
      <c r="AD14" s="29" t="s">
        <v>286</v>
      </c>
      <c r="AE14" s="32" t="s">
        <v>297</v>
      </c>
      <c r="AF14" s="33" t="s">
        <v>288</v>
      </c>
      <c r="AG14" s="33" t="s">
        <v>289</v>
      </c>
      <c r="AH14" s="33" t="s">
        <v>289</v>
      </c>
      <c r="AI14" s="33" t="s">
        <v>288</v>
      </c>
      <c r="AJ14" s="33" t="s">
        <v>288</v>
      </c>
      <c r="AK14" s="33" t="s">
        <v>288</v>
      </c>
      <c r="AL14" s="33" t="s">
        <v>288</v>
      </c>
      <c r="AM14" s="33" t="s">
        <v>289</v>
      </c>
      <c r="AN14" s="33" t="s">
        <v>288</v>
      </c>
      <c r="AO14" s="33" t="s">
        <v>290</v>
      </c>
      <c r="AP14" s="29" t="s">
        <v>308</v>
      </c>
    </row>
    <row r="15" customFormat="false" ht="61.5" hidden="false" customHeight="true" outlineLevel="0" collapsed="false">
      <c r="A15" s="12" t="s">
        <v>184</v>
      </c>
      <c r="B15" s="13" t="s">
        <v>194</v>
      </c>
      <c r="C15" s="14" t="n">
        <v>395</v>
      </c>
      <c r="D15" s="33" t="s">
        <v>333</v>
      </c>
      <c r="E15" s="33" t="s">
        <v>334</v>
      </c>
      <c r="F15" s="32" t="s">
        <v>304</v>
      </c>
      <c r="G15" s="32" t="s">
        <v>303</v>
      </c>
      <c r="H15" s="33" t="s">
        <v>334</v>
      </c>
      <c r="I15" s="32" t="s">
        <v>303</v>
      </c>
      <c r="J15" s="32" t="s">
        <v>304</v>
      </c>
      <c r="K15" s="32" t="s">
        <v>304</v>
      </c>
      <c r="L15" s="29" t="s">
        <v>305</v>
      </c>
      <c r="M15" s="33" t="s">
        <v>306</v>
      </c>
      <c r="N15" s="33" t="s">
        <v>334</v>
      </c>
      <c r="O15" s="29" t="s">
        <v>335</v>
      </c>
      <c r="P15" s="29" t="s">
        <v>305</v>
      </c>
      <c r="Q15" s="32" t="s">
        <v>303</v>
      </c>
      <c r="R15" s="29" t="s">
        <v>305</v>
      </c>
      <c r="S15" s="29" t="s">
        <v>305</v>
      </c>
      <c r="T15" s="32" t="s">
        <v>303</v>
      </c>
      <c r="U15" s="32" t="s">
        <v>303</v>
      </c>
      <c r="V15" s="30" t="s">
        <v>338</v>
      </c>
      <c r="W15" s="32" t="s">
        <v>284</v>
      </c>
      <c r="X15" s="32" t="s">
        <v>303</v>
      </c>
      <c r="Y15" s="30" t="s">
        <v>338</v>
      </c>
      <c r="Z15" s="29" t="s">
        <v>305</v>
      </c>
      <c r="AA15" s="30" t="s">
        <v>338</v>
      </c>
      <c r="AB15" s="29" t="s">
        <v>305</v>
      </c>
      <c r="AC15" s="32" t="s">
        <v>297</v>
      </c>
      <c r="AD15" s="29" t="s">
        <v>286</v>
      </c>
      <c r="AE15" s="32" t="s">
        <v>297</v>
      </c>
      <c r="AF15" s="33" t="s">
        <v>288</v>
      </c>
      <c r="AG15" s="33" t="s">
        <v>289</v>
      </c>
      <c r="AH15" s="33" t="s">
        <v>289</v>
      </c>
      <c r="AI15" s="33" t="s">
        <v>288</v>
      </c>
      <c r="AJ15" s="33" t="s">
        <v>288</v>
      </c>
      <c r="AK15" s="33" t="s">
        <v>288</v>
      </c>
      <c r="AL15" s="33" t="s">
        <v>288</v>
      </c>
      <c r="AM15" s="33" t="s">
        <v>289</v>
      </c>
      <c r="AN15" s="33" t="s">
        <v>288</v>
      </c>
      <c r="AO15" s="33" t="s">
        <v>290</v>
      </c>
      <c r="AP15" s="29" t="s">
        <v>308</v>
      </c>
    </row>
    <row r="16" customFormat="false" ht="61.5" hidden="false" customHeight="true" outlineLevel="0" collapsed="false">
      <c r="A16" s="12" t="s">
        <v>184</v>
      </c>
      <c r="B16" s="13" t="s">
        <v>195</v>
      </c>
      <c r="C16" s="14" t="n">
        <v>240</v>
      </c>
      <c r="D16" s="33" t="s">
        <v>333</v>
      </c>
      <c r="E16" s="33" t="s">
        <v>339</v>
      </c>
      <c r="F16" s="33" t="s">
        <v>340</v>
      </c>
      <c r="G16" s="33" t="s">
        <v>341</v>
      </c>
      <c r="H16" s="33" t="s">
        <v>342</v>
      </c>
      <c r="I16" s="33" t="s">
        <v>343</v>
      </c>
      <c r="J16" s="33" t="s">
        <v>344</v>
      </c>
      <c r="K16" s="33" t="s">
        <v>345</v>
      </c>
      <c r="L16" s="29" t="s">
        <v>305</v>
      </c>
      <c r="M16" s="33" t="s">
        <v>306</v>
      </c>
      <c r="N16" s="33" t="s">
        <v>346</v>
      </c>
      <c r="O16" s="29" t="s">
        <v>335</v>
      </c>
      <c r="P16" s="29" t="s">
        <v>305</v>
      </c>
      <c r="Q16" s="33" t="s">
        <v>347</v>
      </c>
      <c r="R16" s="29" t="s">
        <v>305</v>
      </c>
      <c r="S16" s="32" t="s">
        <v>348</v>
      </c>
      <c r="T16" s="33" t="s">
        <v>341</v>
      </c>
      <c r="U16" s="33" t="s">
        <v>349</v>
      </c>
      <c r="V16" s="30" t="s">
        <v>350</v>
      </c>
      <c r="W16" s="32" t="s">
        <v>284</v>
      </c>
      <c r="X16" s="33" t="s">
        <v>351</v>
      </c>
      <c r="Y16" s="30" t="s">
        <v>350</v>
      </c>
      <c r="Z16" s="29" t="s">
        <v>305</v>
      </c>
      <c r="AA16" s="30" t="s">
        <v>350</v>
      </c>
      <c r="AB16" s="32" t="s">
        <v>352</v>
      </c>
      <c r="AC16" s="32" t="s">
        <v>297</v>
      </c>
      <c r="AD16" s="29" t="s">
        <v>286</v>
      </c>
      <c r="AE16" s="32" t="s">
        <v>329</v>
      </c>
      <c r="AF16" s="33" t="s">
        <v>288</v>
      </c>
      <c r="AG16" s="33" t="s">
        <v>289</v>
      </c>
      <c r="AH16" s="33" t="s">
        <v>289</v>
      </c>
      <c r="AI16" s="33" t="s">
        <v>288</v>
      </c>
      <c r="AJ16" s="33" t="s">
        <v>288</v>
      </c>
      <c r="AK16" s="33" t="s">
        <v>288</v>
      </c>
      <c r="AL16" s="33" t="s">
        <v>288</v>
      </c>
      <c r="AM16" s="33" t="s">
        <v>289</v>
      </c>
      <c r="AN16" s="33" t="s">
        <v>288</v>
      </c>
      <c r="AO16" s="33" t="s">
        <v>290</v>
      </c>
      <c r="AP16" s="32" t="s">
        <v>330</v>
      </c>
    </row>
    <row r="17" customFormat="false" ht="61.5" hidden="false" customHeight="true" outlineLevel="0" collapsed="false">
      <c r="A17" s="12" t="s">
        <v>184</v>
      </c>
      <c r="B17" s="13" t="s">
        <v>196</v>
      </c>
      <c r="C17" s="14" t="n">
        <v>250</v>
      </c>
      <c r="D17" s="33" t="s">
        <v>333</v>
      </c>
      <c r="E17" s="33" t="s">
        <v>339</v>
      </c>
      <c r="F17" s="33" t="s">
        <v>340</v>
      </c>
      <c r="G17" s="33" t="s">
        <v>341</v>
      </c>
      <c r="H17" s="33" t="s">
        <v>342</v>
      </c>
      <c r="I17" s="33" t="s">
        <v>343</v>
      </c>
      <c r="J17" s="33" t="s">
        <v>344</v>
      </c>
      <c r="K17" s="33" t="s">
        <v>345</v>
      </c>
      <c r="L17" s="29" t="s">
        <v>305</v>
      </c>
      <c r="M17" s="33" t="s">
        <v>306</v>
      </c>
      <c r="N17" s="33" t="s">
        <v>346</v>
      </c>
      <c r="O17" s="29" t="s">
        <v>335</v>
      </c>
      <c r="P17" s="29" t="s">
        <v>305</v>
      </c>
      <c r="Q17" s="33" t="s">
        <v>347</v>
      </c>
      <c r="R17" s="29" t="s">
        <v>305</v>
      </c>
      <c r="S17" s="32" t="s">
        <v>348</v>
      </c>
      <c r="T17" s="33" t="s">
        <v>341</v>
      </c>
      <c r="U17" s="33" t="s">
        <v>349</v>
      </c>
      <c r="V17" s="31" t="s">
        <v>336</v>
      </c>
      <c r="W17" s="32" t="s">
        <v>284</v>
      </c>
      <c r="X17" s="33" t="s">
        <v>351</v>
      </c>
      <c r="Y17" s="31" t="s">
        <v>337</v>
      </c>
      <c r="Z17" s="29" t="s">
        <v>305</v>
      </c>
      <c r="AA17" s="30" t="s">
        <v>353</v>
      </c>
      <c r="AB17" s="32" t="s">
        <v>352</v>
      </c>
      <c r="AC17" s="32" t="s">
        <v>297</v>
      </c>
      <c r="AD17" s="29" t="s">
        <v>286</v>
      </c>
      <c r="AE17" s="32" t="s">
        <v>329</v>
      </c>
      <c r="AF17" s="33" t="s">
        <v>288</v>
      </c>
      <c r="AG17" s="33" t="s">
        <v>289</v>
      </c>
      <c r="AH17" s="33" t="s">
        <v>289</v>
      </c>
      <c r="AI17" s="33" t="s">
        <v>288</v>
      </c>
      <c r="AJ17" s="33" t="s">
        <v>288</v>
      </c>
      <c r="AK17" s="33" t="s">
        <v>288</v>
      </c>
      <c r="AL17" s="33" t="s">
        <v>288</v>
      </c>
      <c r="AM17" s="33" t="s">
        <v>289</v>
      </c>
      <c r="AN17" s="33" t="s">
        <v>288</v>
      </c>
      <c r="AO17" s="33" t="s">
        <v>290</v>
      </c>
      <c r="AP17" s="29" t="s">
        <v>354</v>
      </c>
    </row>
    <row r="18" customFormat="false" ht="61.5" hidden="false" customHeight="true" outlineLevel="0" collapsed="false">
      <c r="A18" s="12" t="s">
        <v>184</v>
      </c>
      <c r="B18" s="13" t="s">
        <v>197</v>
      </c>
      <c r="C18" s="14" t="n">
        <v>285</v>
      </c>
      <c r="D18" s="33" t="s">
        <v>333</v>
      </c>
      <c r="E18" s="33" t="s">
        <v>339</v>
      </c>
      <c r="F18" s="33" t="s">
        <v>340</v>
      </c>
      <c r="G18" s="33" t="s">
        <v>341</v>
      </c>
      <c r="H18" s="33" t="s">
        <v>342</v>
      </c>
      <c r="I18" s="33" t="s">
        <v>343</v>
      </c>
      <c r="J18" s="33" t="s">
        <v>344</v>
      </c>
      <c r="K18" s="33" t="s">
        <v>345</v>
      </c>
      <c r="L18" s="29" t="s">
        <v>305</v>
      </c>
      <c r="M18" s="33" t="s">
        <v>306</v>
      </c>
      <c r="N18" s="33" t="s">
        <v>346</v>
      </c>
      <c r="O18" s="29" t="s">
        <v>335</v>
      </c>
      <c r="P18" s="29" t="s">
        <v>305</v>
      </c>
      <c r="Q18" s="33" t="s">
        <v>347</v>
      </c>
      <c r="R18" s="29" t="s">
        <v>305</v>
      </c>
      <c r="S18" s="32" t="s">
        <v>348</v>
      </c>
      <c r="T18" s="33" t="s">
        <v>341</v>
      </c>
      <c r="U18" s="33" t="s">
        <v>349</v>
      </c>
      <c r="V18" s="31" t="s">
        <v>336</v>
      </c>
      <c r="W18" s="32" t="s">
        <v>284</v>
      </c>
      <c r="X18" s="33" t="s">
        <v>351</v>
      </c>
      <c r="Y18" s="31" t="s">
        <v>337</v>
      </c>
      <c r="Z18" s="29" t="s">
        <v>305</v>
      </c>
      <c r="AA18" s="30" t="s">
        <v>353</v>
      </c>
      <c r="AB18" s="32" t="s">
        <v>352</v>
      </c>
      <c r="AC18" s="32" t="s">
        <v>297</v>
      </c>
      <c r="AD18" s="29" t="s">
        <v>286</v>
      </c>
      <c r="AE18" s="32" t="s">
        <v>329</v>
      </c>
      <c r="AF18" s="33" t="s">
        <v>288</v>
      </c>
      <c r="AG18" s="33" t="s">
        <v>289</v>
      </c>
      <c r="AH18" s="33" t="s">
        <v>289</v>
      </c>
      <c r="AI18" s="33" t="s">
        <v>288</v>
      </c>
      <c r="AJ18" s="33" t="s">
        <v>288</v>
      </c>
      <c r="AK18" s="33" t="s">
        <v>288</v>
      </c>
      <c r="AL18" s="33" t="s">
        <v>288</v>
      </c>
      <c r="AM18" s="33" t="s">
        <v>289</v>
      </c>
      <c r="AN18" s="33" t="s">
        <v>288</v>
      </c>
      <c r="AO18" s="33" t="s">
        <v>290</v>
      </c>
      <c r="AP18" s="29" t="s">
        <v>354</v>
      </c>
    </row>
    <row r="19" customFormat="false" ht="61.5" hidden="false" customHeight="true" outlineLevel="0" collapsed="false">
      <c r="A19" s="12" t="s">
        <v>184</v>
      </c>
      <c r="B19" s="13" t="s">
        <v>198</v>
      </c>
      <c r="C19" s="14" t="n">
        <v>560</v>
      </c>
      <c r="D19" s="33" t="s">
        <v>333</v>
      </c>
      <c r="E19" s="33" t="s">
        <v>334</v>
      </c>
      <c r="F19" s="32" t="s">
        <v>304</v>
      </c>
      <c r="G19" s="32" t="s">
        <v>303</v>
      </c>
      <c r="H19" s="33" t="s">
        <v>334</v>
      </c>
      <c r="I19" s="32" t="s">
        <v>303</v>
      </c>
      <c r="J19" s="32" t="s">
        <v>304</v>
      </c>
      <c r="K19" s="32" t="s">
        <v>304</v>
      </c>
      <c r="L19" s="29" t="s">
        <v>305</v>
      </c>
      <c r="M19" s="33" t="s">
        <v>306</v>
      </c>
      <c r="N19" s="33" t="s">
        <v>334</v>
      </c>
      <c r="O19" s="29" t="s">
        <v>335</v>
      </c>
      <c r="P19" s="29" t="s">
        <v>305</v>
      </c>
      <c r="Q19" s="32" t="s">
        <v>303</v>
      </c>
      <c r="R19" s="29" t="s">
        <v>305</v>
      </c>
      <c r="S19" s="29" t="s">
        <v>305</v>
      </c>
      <c r="T19" s="32" t="s">
        <v>303</v>
      </c>
      <c r="U19" s="32" t="s">
        <v>303</v>
      </c>
      <c r="V19" s="30" t="s">
        <v>355</v>
      </c>
      <c r="W19" s="32" t="s">
        <v>284</v>
      </c>
      <c r="X19" s="32" t="s">
        <v>303</v>
      </c>
      <c r="Y19" s="30" t="s">
        <v>355</v>
      </c>
      <c r="Z19" s="29" t="s">
        <v>305</v>
      </c>
      <c r="AA19" s="30" t="s">
        <v>355</v>
      </c>
      <c r="AB19" s="29" t="s">
        <v>305</v>
      </c>
      <c r="AC19" s="32" t="s">
        <v>297</v>
      </c>
      <c r="AD19" s="29" t="s">
        <v>286</v>
      </c>
      <c r="AE19" s="32" t="s">
        <v>297</v>
      </c>
      <c r="AF19" s="33" t="s">
        <v>288</v>
      </c>
      <c r="AG19" s="33" t="s">
        <v>289</v>
      </c>
      <c r="AH19" s="33" t="s">
        <v>289</v>
      </c>
      <c r="AI19" s="33" t="s">
        <v>288</v>
      </c>
      <c r="AJ19" s="33" t="s">
        <v>288</v>
      </c>
      <c r="AK19" s="33" t="s">
        <v>288</v>
      </c>
      <c r="AL19" s="33" t="s">
        <v>288</v>
      </c>
      <c r="AM19" s="33" t="s">
        <v>289</v>
      </c>
      <c r="AN19" s="33" t="s">
        <v>288</v>
      </c>
      <c r="AO19" s="33" t="s">
        <v>290</v>
      </c>
      <c r="AP19" s="29" t="s">
        <v>308</v>
      </c>
    </row>
    <row r="20" customFormat="false" ht="61.5" hidden="false" customHeight="true" outlineLevel="0" collapsed="false">
      <c r="A20" s="12" t="s">
        <v>184</v>
      </c>
      <c r="B20" s="13" t="s">
        <v>199</v>
      </c>
      <c r="C20" s="14" t="n">
        <v>86</v>
      </c>
      <c r="D20" s="32" t="s">
        <v>356</v>
      </c>
      <c r="E20" s="33" t="s">
        <v>339</v>
      </c>
      <c r="F20" s="32" t="s">
        <v>315</v>
      </c>
      <c r="G20" s="32" t="s">
        <v>316</v>
      </c>
      <c r="H20" s="33" t="s">
        <v>342</v>
      </c>
      <c r="I20" s="32" t="s">
        <v>318</v>
      </c>
      <c r="J20" s="32" t="s">
        <v>319</v>
      </c>
      <c r="K20" s="32" t="s">
        <v>320</v>
      </c>
      <c r="L20" s="30" t="s">
        <v>357</v>
      </c>
      <c r="M20" s="32" t="s">
        <v>275</v>
      </c>
      <c r="N20" s="33" t="s">
        <v>346</v>
      </c>
      <c r="O20" s="29" t="s">
        <v>335</v>
      </c>
      <c r="P20" s="30" t="s">
        <v>357</v>
      </c>
      <c r="Q20" s="32" t="s">
        <v>323</v>
      </c>
      <c r="R20" s="30" t="s">
        <v>358</v>
      </c>
      <c r="S20" s="29" t="s">
        <v>325</v>
      </c>
      <c r="T20" s="32" t="s">
        <v>316</v>
      </c>
      <c r="U20" s="32" t="s">
        <v>326</v>
      </c>
      <c r="V20" s="30" t="s">
        <v>357</v>
      </c>
      <c r="W20" s="29" t="s">
        <v>359</v>
      </c>
      <c r="X20" s="32" t="s">
        <v>327</v>
      </c>
      <c r="Y20" s="30" t="s">
        <v>357</v>
      </c>
      <c r="Z20" s="30" t="s">
        <v>357</v>
      </c>
      <c r="AA20" s="30" t="s">
        <v>357</v>
      </c>
      <c r="AB20" s="29" t="s">
        <v>328</v>
      </c>
      <c r="AC20" s="32" t="s">
        <v>297</v>
      </c>
      <c r="AD20" s="29" t="s">
        <v>286</v>
      </c>
      <c r="AE20" s="32" t="s">
        <v>329</v>
      </c>
      <c r="AF20" s="33" t="s">
        <v>288</v>
      </c>
      <c r="AG20" s="33" t="s">
        <v>289</v>
      </c>
      <c r="AH20" s="33" t="s">
        <v>289</v>
      </c>
      <c r="AI20" s="33" t="s">
        <v>288</v>
      </c>
      <c r="AJ20" s="33" t="s">
        <v>288</v>
      </c>
      <c r="AK20" s="33" t="s">
        <v>288</v>
      </c>
      <c r="AL20" s="33" t="s">
        <v>288</v>
      </c>
      <c r="AM20" s="33" t="s">
        <v>289</v>
      </c>
      <c r="AN20" s="33" t="s">
        <v>288</v>
      </c>
      <c r="AO20" s="33" t="s">
        <v>290</v>
      </c>
      <c r="AP20" s="32" t="s">
        <v>330</v>
      </c>
    </row>
    <row r="21" customFormat="false" ht="61.5" hidden="false" customHeight="true" outlineLevel="0" collapsed="false">
      <c r="A21" s="12" t="s">
        <v>184</v>
      </c>
      <c r="B21" s="13" t="s">
        <v>200</v>
      </c>
      <c r="C21" s="14" t="n">
        <v>125</v>
      </c>
      <c r="D21" s="33" t="s">
        <v>360</v>
      </c>
      <c r="E21" s="33" t="s">
        <v>361</v>
      </c>
      <c r="F21" s="33" t="s">
        <v>362</v>
      </c>
      <c r="G21" s="33" t="s">
        <v>363</v>
      </c>
      <c r="H21" s="33" t="s">
        <v>364</v>
      </c>
      <c r="I21" s="33" t="s">
        <v>365</v>
      </c>
      <c r="J21" s="33" t="s">
        <v>366</v>
      </c>
      <c r="K21" s="33" t="s">
        <v>367</v>
      </c>
      <c r="L21" s="29" t="s">
        <v>368</v>
      </c>
      <c r="M21" s="33" t="s">
        <v>306</v>
      </c>
      <c r="N21" s="33" t="s">
        <v>369</v>
      </c>
      <c r="O21" s="29" t="s">
        <v>335</v>
      </c>
      <c r="P21" s="29" t="s">
        <v>370</v>
      </c>
      <c r="Q21" s="33" t="s">
        <v>371</v>
      </c>
      <c r="R21" s="29" t="s">
        <v>372</v>
      </c>
      <c r="S21" s="32" t="s">
        <v>373</v>
      </c>
      <c r="T21" s="33" t="s">
        <v>363</v>
      </c>
      <c r="U21" s="33" t="s">
        <v>374</v>
      </c>
      <c r="V21" s="29" t="s">
        <v>375</v>
      </c>
      <c r="W21" s="29" t="s">
        <v>359</v>
      </c>
      <c r="X21" s="33" t="s">
        <v>376</v>
      </c>
      <c r="Y21" s="29" t="s">
        <v>377</v>
      </c>
      <c r="Z21" s="29" t="s">
        <v>377</v>
      </c>
      <c r="AA21" s="29" t="s">
        <v>378</v>
      </c>
      <c r="AB21" s="32" t="s">
        <v>379</v>
      </c>
      <c r="AC21" s="32" t="s">
        <v>380</v>
      </c>
      <c r="AD21" s="29" t="s">
        <v>377</v>
      </c>
      <c r="AE21" s="32" t="s">
        <v>329</v>
      </c>
      <c r="AF21" s="33" t="s">
        <v>288</v>
      </c>
      <c r="AG21" s="33" t="s">
        <v>289</v>
      </c>
      <c r="AH21" s="33" t="s">
        <v>289</v>
      </c>
      <c r="AI21" s="33" t="s">
        <v>288</v>
      </c>
      <c r="AJ21" s="33" t="s">
        <v>288</v>
      </c>
      <c r="AK21" s="33" t="s">
        <v>288</v>
      </c>
      <c r="AL21" s="33" t="s">
        <v>288</v>
      </c>
      <c r="AM21" s="33" t="s">
        <v>289</v>
      </c>
      <c r="AN21" s="33" t="s">
        <v>288</v>
      </c>
      <c r="AO21" s="33" t="s">
        <v>290</v>
      </c>
      <c r="AP21" s="32" t="s">
        <v>330</v>
      </c>
    </row>
    <row r="22" customFormat="false" ht="61.5" hidden="false" customHeight="true" outlineLevel="0" collapsed="false">
      <c r="A22" s="12" t="s">
        <v>184</v>
      </c>
      <c r="B22" s="13" t="s">
        <v>201</v>
      </c>
      <c r="C22" s="14" t="n">
        <v>95</v>
      </c>
      <c r="D22" s="33" t="s">
        <v>360</v>
      </c>
      <c r="E22" s="33" t="s">
        <v>361</v>
      </c>
      <c r="F22" s="33" t="s">
        <v>362</v>
      </c>
      <c r="G22" s="33" t="s">
        <v>363</v>
      </c>
      <c r="H22" s="33" t="s">
        <v>364</v>
      </c>
      <c r="I22" s="33" t="s">
        <v>365</v>
      </c>
      <c r="J22" s="33" t="s">
        <v>366</v>
      </c>
      <c r="K22" s="33" t="s">
        <v>367</v>
      </c>
      <c r="L22" s="29" t="s">
        <v>368</v>
      </c>
      <c r="M22" s="33" t="s">
        <v>306</v>
      </c>
      <c r="N22" s="33" t="s">
        <v>369</v>
      </c>
      <c r="O22" s="29" t="s">
        <v>335</v>
      </c>
      <c r="P22" s="29" t="s">
        <v>370</v>
      </c>
      <c r="Q22" s="33" t="s">
        <v>371</v>
      </c>
      <c r="R22" s="29" t="s">
        <v>372</v>
      </c>
      <c r="S22" s="32" t="s">
        <v>373</v>
      </c>
      <c r="T22" s="33" t="s">
        <v>363</v>
      </c>
      <c r="U22" s="33" t="s">
        <v>374</v>
      </c>
      <c r="V22" s="29" t="s">
        <v>375</v>
      </c>
      <c r="W22" s="29" t="s">
        <v>359</v>
      </c>
      <c r="X22" s="33" t="s">
        <v>376</v>
      </c>
      <c r="Y22" s="29" t="s">
        <v>377</v>
      </c>
      <c r="Z22" s="29" t="s">
        <v>377</v>
      </c>
      <c r="AA22" s="29" t="s">
        <v>378</v>
      </c>
      <c r="AB22" s="32" t="s">
        <v>379</v>
      </c>
      <c r="AC22" s="32" t="s">
        <v>380</v>
      </c>
      <c r="AD22" s="29" t="s">
        <v>377</v>
      </c>
      <c r="AE22" s="32" t="s">
        <v>329</v>
      </c>
      <c r="AF22" s="33" t="s">
        <v>288</v>
      </c>
      <c r="AG22" s="33" t="s">
        <v>289</v>
      </c>
      <c r="AH22" s="33" t="s">
        <v>289</v>
      </c>
      <c r="AI22" s="33" t="s">
        <v>288</v>
      </c>
      <c r="AJ22" s="33" t="s">
        <v>288</v>
      </c>
      <c r="AK22" s="33" t="s">
        <v>288</v>
      </c>
      <c r="AL22" s="33" t="s">
        <v>288</v>
      </c>
      <c r="AM22" s="33" t="s">
        <v>289</v>
      </c>
      <c r="AN22" s="33" t="s">
        <v>288</v>
      </c>
      <c r="AO22" s="33" t="s">
        <v>290</v>
      </c>
      <c r="AP22" s="32" t="s">
        <v>330</v>
      </c>
    </row>
    <row r="23" customFormat="false" ht="61.5" hidden="false" customHeight="true" outlineLevel="0" collapsed="false">
      <c r="A23" s="12" t="s">
        <v>184</v>
      </c>
      <c r="B23" s="13" t="s">
        <v>202</v>
      </c>
      <c r="C23" s="14" t="n">
        <v>46</v>
      </c>
      <c r="D23" s="29" t="s">
        <v>268</v>
      </c>
      <c r="E23" s="29" t="s">
        <v>381</v>
      </c>
      <c r="F23" s="29" t="s">
        <v>382</v>
      </c>
      <c r="G23" s="29" t="s">
        <v>383</v>
      </c>
      <c r="H23" s="29" t="s">
        <v>384</v>
      </c>
      <c r="I23" s="29" t="s">
        <v>385</v>
      </c>
      <c r="J23" s="29" t="s">
        <v>386</v>
      </c>
      <c r="K23" s="29" t="s">
        <v>387</v>
      </c>
      <c r="L23" s="30" t="s">
        <v>388</v>
      </c>
      <c r="M23" s="32" t="s">
        <v>275</v>
      </c>
      <c r="N23" s="29" t="s">
        <v>389</v>
      </c>
      <c r="O23" s="32" t="s">
        <v>277</v>
      </c>
      <c r="P23" s="29" t="s">
        <v>278</v>
      </c>
      <c r="Q23" s="30" t="s">
        <v>390</v>
      </c>
      <c r="R23" s="30" t="s">
        <v>391</v>
      </c>
      <c r="S23" s="29" t="s">
        <v>325</v>
      </c>
      <c r="T23" s="29" t="s">
        <v>383</v>
      </c>
      <c r="U23" s="29" t="s">
        <v>382</v>
      </c>
      <c r="V23" s="29" t="s">
        <v>278</v>
      </c>
      <c r="W23" s="32" t="s">
        <v>284</v>
      </c>
      <c r="X23" s="30" t="s">
        <v>392</v>
      </c>
      <c r="Y23" s="29" t="s">
        <v>278</v>
      </c>
      <c r="Z23" s="29" t="s">
        <v>278</v>
      </c>
      <c r="AA23" s="29" t="s">
        <v>278</v>
      </c>
      <c r="AB23" s="29" t="s">
        <v>328</v>
      </c>
      <c r="AC23" s="32" t="s">
        <v>287</v>
      </c>
      <c r="AD23" s="29" t="s">
        <v>278</v>
      </c>
      <c r="AE23" s="32" t="s">
        <v>332</v>
      </c>
      <c r="AF23" s="33" t="s">
        <v>288</v>
      </c>
      <c r="AG23" s="33" t="s">
        <v>289</v>
      </c>
      <c r="AH23" s="33" t="s">
        <v>289</v>
      </c>
      <c r="AI23" s="33" t="s">
        <v>288</v>
      </c>
      <c r="AJ23" s="33" t="s">
        <v>288</v>
      </c>
      <c r="AK23" s="33" t="s">
        <v>288</v>
      </c>
      <c r="AL23" s="33" t="s">
        <v>288</v>
      </c>
      <c r="AM23" s="33" t="s">
        <v>289</v>
      </c>
      <c r="AN23" s="33" t="s">
        <v>288</v>
      </c>
      <c r="AO23" s="33" t="s">
        <v>290</v>
      </c>
      <c r="AP23" s="32" t="s">
        <v>330</v>
      </c>
    </row>
    <row r="24" customFormat="false" ht="61.5" hidden="false" customHeight="true" outlineLevel="0" collapsed="false">
      <c r="A24" s="12" t="s">
        <v>184</v>
      </c>
      <c r="B24" s="13" t="s">
        <v>203</v>
      </c>
      <c r="C24" s="14" t="n">
        <v>48</v>
      </c>
      <c r="D24" s="29" t="s">
        <v>268</v>
      </c>
      <c r="E24" s="30" t="s">
        <v>269</v>
      </c>
      <c r="F24" s="30" t="s">
        <v>270</v>
      </c>
      <c r="G24" s="30" t="s">
        <v>271</v>
      </c>
      <c r="H24" s="30" t="s">
        <v>272</v>
      </c>
      <c r="I24" s="31" t="s">
        <v>273</v>
      </c>
      <c r="J24" s="30" t="s">
        <v>274</v>
      </c>
      <c r="K24" s="30" t="s">
        <v>274</v>
      </c>
      <c r="L24" s="30" t="s">
        <v>271</v>
      </c>
      <c r="M24" s="32" t="s">
        <v>275</v>
      </c>
      <c r="N24" s="30" t="s">
        <v>276</v>
      </c>
      <c r="O24" s="32" t="s">
        <v>277</v>
      </c>
      <c r="P24" s="29" t="s">
        <v>278</v>
      </c>
      <c r="Q24" s="30" t="s">
        <v>311</v>
      </c>
      <c r="R24" s="30" t="s">
        <v>280</v>
      </c>
      <c r="S24" s="30" t="s">
        <v>281</v>
      </c>
      <c r="T24" s="30" t="s">
        <v>271</v>
      </c>
      <c r="U24" s="30" t="s">
        <v>283</v>
      </c>
      <c r="V24" s="29" t="s">
        <v>278</v>
      </c>
      <c r="W24" s="32" t="s">
        <v>284</v>
      </c>
      <c r="X24" s="30" t="s">
        <v>312</v>
      </c>
      <c r="Y24" s="29" t="s">
        <v>278</v>
      </c>
      <c r="Z24" s="29" t="s">
        <v>278</v>
      </c>
      <c r="AA24" s="29" t="s">
        <v>278</v>
      </c>
      <c r="AB24" s="29" t="s">
        <v>286</v>
      </c>
      <c r="AC24" s="32" t="s">
        <v>287</v>
      </c>
      <c r="AD24" s="29" t="s">
        <v>278</v>
      </c>
      <c r="AE24" s="32" t="s">
        <v>287</v>
      </c>
      <c r="AF24" s="33" t="s">
        <v>288</v>
      </c>
      <c r="AG24" s="33" t="s">
        <v>289</v>
      </c>
      <c r="AH24" s="33" t="s">
        <v>289</v>
      </c>
      <c r="AI24" s="33" t="s">
        <v>288</v>
      </c>
      <c r="AJ24" s="33" t="s">
        <v>288</v>
      </c>
      <c r="AK24" s="33" t="s">
        <v>288</v>
      </c>
      <c r="AL24" s="33" t="s">
        <v>288</v>
      </c>
      <c r="AM24" s="33" t="s">
        <v>289</v>
      </c>
      <c r="AN24" s="33" t="s">
        <v>288</v>
      </c>
      <c r="AO24" s="33" t="s">
        <v>290</v>
      </c>
      <c r="AP24" s="29" t="s">
        <v>291</v>
      </c>
    </row>
    <row r="25" customFormat="false" ht="61.5" hidden="false" customHeight="true" outlineLevel="0" collapsed="false">
      <c r="A25" s="12" t="s">
        <v>184</v>
      </c>
      <c r="B25" s="13" t="s">
        <v>204</v>
      </c>
      <c r="C25" s="14" t="n">
        <v>42</v>
      </c>
      <c r="D25" s="32" t="s">
        <v>356</v>
      </c>
      <c r="E25" s="33" t="s">
        <v>339</v>
      </c>
      <c r="F25" s="32" t="s">
        <v>315</v>
      </c>
      <c r="G25" s="32" t="s">
        <v>316</v>
      </c>
      <c r="H25" s="33" t="s">
        <v>342</v>
      </c>
      <c r="I25" s="32" t="s">
        <v>318</v>
      </c>
      <c r="J25" s="32" t="s">
        <v>319</v>
      </c>
      <c r="K25" s="32" t="s">
        <v>320</v>
      </c>
      <c r="L25" s="30" t="s">
        <v>357</v>
      </c>
      <c r="M25" s="32" t="s">
        <v>275</v>
      </c>
      <c r="N25" s="33" t="s">
        <v>346</v>
      </c>
      <c r="O25" s="29" t="s">
        <v>335</v>
      </c>
      <c r="P25" s="30" t="s">
        <v>357</v>
      </c>
      <c r="Q25" s="32" t="s">
        <v>323</v>
      </c>
      <c r="R25" s="30" t="s">
        <v>358</v>
      </c>
      <c r="S25" s="29" t="s">
        <v>325</v>
      </c>
      <c r="T25" s="32" t="s">
        <v>316</v>
      </c>
      <c r="U25" s="32" t="s">
        <v>326</v>
      </c>
      <c r="V25" s="30" t="s">
        <v>357</v>
      </c>
      <c r="W25" s="29" t="s">
        <v>359</v>
      </c>
      <c r="X25" s="32" t="s">
        <v>327</v>
      </c>
      <c r="Y25" s="30" t="s">
        <v>357</v>
      </c>
      <c r="Z25" s="30" t="s">
        <v>357</v>
      </c>
      <c r="AA25" s="30" t="s">
        <v>357</v>
      </c>
      <c r="AB25" s="29" t="s">
        <v>328</v>
      </c>
      <c r="AC25" s="32" t="s">
        <v>297</v>
      </c>
      <c r="AD25" s="29" t="s">
        <v>286</v>
      </c>
      <c r="AE25" s="32" t="s">
        <v>329</v>
      </c>
      <c r="AF25" s="33" t="s">
        <v>288</v>
      </c>
      <c r="AG25" s="33" t="s">
        <v>289</v>
      </c>
      <c r="AH25" s="33" t="s">
        <v>289</v>
      </c>
      <c r="AI25" s="33" t="s">
        <v>288</v>
      </c>
      <c r="AJ25" s="33" t="s">
        <v>288</v>
      </c>
      <c r="AK25" s="33" t="s">
        <v>288</v>
      </c>
      <c r="AL25" s="33" t="s">
        <v>288</v>
      </c>
      <c r="AM25" s="33" t="s">
        <v>289</v>
      </c>
      <c r="AN25" s="33" t="s">
        <v>288</v>
      </c>
      <c r="AO25" s="33" t="s">
        <v>290</v>
      </c>
      <c r="AP25" s="32" t="s">
        <v>330</v>
      </c>
    </row>
    <row r="26" customFormat="false" ht="61.5" hidden="false" customHeight="true" outlineLevel="0" collapsed="false">
      <c r="A26" s="12" t="s">
        <v>184</v>
      </c>
      <c r="B26" s="13" t="s">
        <v>205</v>
      </c>
      <c r="C26" s="14" t="n">
        <v>58</v>
      </c>
      <c r="D26" s="29" t="s">
        <v>393</v>
      </c>
      <c r="E26" s="29" t="s">
        <v>305</v>
      </c>
      <c r="F26" s="29" t="s">
        <v>394</v>
      </c>
      <c r="G26" s="29" t="s">
        <v>305</v>
      </c>
      <c r="H26" s="29" t="s">
        <v>305</v>
      </c>
      <c r="I26" s="29" t="s">
        <v>305</v>
      </c>
      <c r="J26" s="29" t="s">
        <v>394</v>
      </c>
      <c r="K26" s="29" t="s">
        <v>394</v>
      </c>
      <c r="L26" s="30" t="s">
        <v>395</v>
      </c>
      <c r="M26" s="32" t="s">
        <v>275</v>
      </c>
      <c r="N26" s="29" t="s">
        <v>305</v>
      </c>
      <c r="O26" s="32" t="s">
        <v>277</v>
      </c>
      <c r="P26" s="30" t="s">
        <v>395</v>
      </c>
      <c r="Q26" s="30" t="s">
        <v>396</v>
      </c>
      <c r="R26" s="30" t="s">
        <v>397</v>
      </c>
      <c r="S26" s="30" t="s">
        <v>398</v>
      </c>
      <c r="T26" s="29" t="s">
        <v>305</v>
      </c>
      <c r="U26" s="29" t="s">
        <v>305</v>
      </c>
      <c r="V26" s="30" t="s">
        <v>395</v>
      </c>
      <c r="W26" s="29" t="s">
        <v>399</v>
      </c>
      <c r="X26" s="30" t="s">
        <v>400</v>
      </c>
      <c r="Y26" s="30" t="s">
        <v>395</v>
      </c>
      <c r="Z26" s="30" t="s">
        <v>395</v>
      </c>
      <c r="AA26" s="30" t="s">
        <v>395</v>
      </c>
      <c r="AB26" s="29" t="s">
        <v>286</v>
      </c>
      <c r="AC26" s="32" t="s">
        <v>297</v>
      </c>
      <c r="AD26" s="29" t="s">
        <v>286</v>
      </c>
      <c r="AE26" s="32" t="s">
        <v>297</v>
      </c>
      <c r="AF26" s="33" t="s">
        <v>288</v>
      </c>
      <c r="AG26" s="33" t="s">
        <v>289</v>
      </c>
      <c r="AH26" s="33" t="s">
        <v>289</v>
      </c>
      <c r="AI26" s="33" t="s">
        <v>288</v>
      </c>
      <c r="AJ26" s="33" t="s">
        <v>288</v>
      </c>
      <c r="AK26" s="33" t="s">
        <v>288</v>
      </c>
      <c r="AL26" s="33" t="s">
        <v>288</v>
      </c>
      <c r="AM26" s="33" t="s">
        <v>289</v>
      </c>
      <c r="AN26" s="33" t="s">
        <v>288</v>
      </c>
      <c r="AO26" s="33" t="s">
        <v>290</v>
      </c>
      <c r="AP26" s="30" t="s">
        <v>401</v>
      </c>
    </row>
    <row r="27" customFormat="false" ht="61.5" hidden="false" customHeight="true" outlineLevel="0" collapsed="false">
      <c r="A27" s="12" t="s">
        <v>184</v>
      </c>
      <c r="B27" s="13" t="s">
        <v>206</v>
      </c>
      <c r="C27" s="14" t="n">
        <v>28</v>
      </c>
      <c r="D27" s="29" t="s">
        <v>268</v>
      </c>
      <c r="E27" s="30" t="s">
        <v>269</v>
      </c>
      <c r="F27" s="30" t="s">
        <v>270</v>
      </c>
      <c r="G27" s="30" t="s">
        <v>271</v>
      </c>
      <c r="H27" s="30" t="s">
        <v>272</v>
      </c>
      <c r="I27" s="31" t="s">
        <v>273</v>
      </c>
      <c r="J27" s="30" t="s">
        <v>274</v>
      </c>
      <c r="K27" s="30" t="s">
        <v>274</v>
      </c>
      <c r="L27" s="31" t="s">
        <v>309</v>
      </c>
      <c r="M27" s="32" t="s">
        <v>275</v>
      </c>
      <c r="N27" s="30" t="s">
        <v>276</v>
      </c>
      <c r="O27" s="32" t="s">
        <v>277</v>
      </c>
      <c r="P27" s="29" t="s">
        <v>278</v>
      </c>
      <c r="Q27" s="30" t="s">
        <v>311</v>
      </c>
      <c r="R27" s="30" t="s">
        <v>280</v>
      </c>
      <c r="S27" s="30" t="s">
        <v>281</v>
      </c>
      <c r="T27" s="31" t="s">
        <v>282</v>
      </c>
      <c r="U27" s="30" t="s">
        <v>283</v>
      </c>
      <c r="V27" s="29" t="s">
        <v>278</v>
      </c>
      <c r="W27" s="32" t="s">
        <v>284</v>
      </c>
      <c r="X27" s="30" t="s">
        <v>312</v>
      </c>
      <c r="Y27" s="29" t="s">
        <v>278</v>
      </c>
      <c r="Z27" s="29" t="s">
        <v>278</v>
      </c>
      <c r="AA27" s="29" t="s">
        <v>278</v>
      </c>
      <c r="AB27" s="29" t="s">
        <v>286</v>
      </c>
      <c r="AC27" s="32" t="s">
        <v>287</v>
      </c>
      <c r="AD27" s="29" t="s">
        <v>278</v>
      </c>
      <c r="AE27" s="32" t="s">
        <v>287</v>
      </c>
      <c r="AF27" s="33" t="s">
        <v>288</v>
      </c>
      <c r="AG27" s="33" t="s">
        <v>289</v>
      </c>
      <c r="AH27" s="33" t="s">
        <v>289</v>
      </c>
      <c r="AI27" s="33" t="s">
        <v>288</v>
      </c>
      <c r="AJ27" s="33" t="s">
        <v>288</v>
      </c>
      <c r="AK27" s="33" t="s">
        <v>288</v>
      </c>
      <c r="AL27" s="33" t="s">
        <v>288</v>
      </c>
      <c r="AM27" s="33" t="s">
        <v>289</v>
      </c>
      <c r="AN27" s="33" t="s">
        <v>288</v>
      </c>
      <c r="AO27" s="33" t="s">
        <v>290</v>
      </c>
      <c r="AP27" s="29" t="s">
        <v>291</v>
      </c>
    </row>
    <row r="28" customFormat="false" ht="15" hidden="false" customHeight="false" outlineLevel="0" collapsed="false">
      <c r="A28" s="10" t="s">
        <v>207</v>
      </c>
      <c r="B28" s="10" t="s">
        <v>208</v>
      </c>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row>
    <row r="29" customFormat="false" ht="61.5" hidden="false" customHeight="true" outlineLevel="0" collapsed="false">
      <c r="A29" s="17" t="s">
        <v>207</v>
      </c>
      <c r="B29" s="18" t="s">
        <v>209</v>
      </c>
      <c r="C29" s="19" t="n">
        <v>50</v>
      </c>
      <c r="D29" s="31" t="s">
        <v>402</v>
      </c>
      <c r="E29" s="32" t="s">
        <v>403</v>
      </c>
      <c r="F29" s="32" t="s">
        <v>404</v>
      </c>
      <c r="G29" s="32" t="s">
        <v>405</v>
      </c>
      <c r="H29" s="32" t="s">
        <v>406</v>
      </c>
      <c r="I29" s="32" t="s">
        <v>407</v>
      </c>
      <c r="J29" s="32" t="s">
        <v>408</v>
      </c>
      <c r="K29" s="32" t="s">
        <v>409</v>
      </c>
      <c r="L29" s="30" t="s">
        <v>410</v>
      </c>
      <c r="M29" s="33" t="s">
        <v>411</v>
      </c>
      <c r="N29" s="32" t="s">
        <v>412</v>
      </c>
      <c r="O29" s="32" t="s">
        <v>413</v>
      </c>
      <c r="P29" s="32" t="s">
        <v>414</v>
      </c>
      <c r="Q29" s="30" t="s">
        <v>415</v>
      </c>
      <c r="R29" s="31" t="s">
        <v>416</v>
      </c>
      <c r="S29" s="32" t="s">
        <v>417</v>
      </c>
      <c r="T29" s="32" t="s">
        <v>418</v>
      </c>
      <c r="U29" s="29" t="s">
        <v>419</v>
      </c>
      <c r="V29" s="29" t="s">
        <v>278</v>
      </c>
      <c r="W29" s="32" t="s">
        <v>420</v>
      </c>
      <c r="X29" s="32" t="s">
        <v>421</v>
      </c>
      <c r="Y29" s="29" t="s">
        <v>278</v>
      </c>
      <c r="Z29" s="32" t="s">
        <v>422</v>
      </c>
      <c r="AA29" s="29" t="s">
        <v>278</v>
      </c>
      <c r="AB29" s="30" t="s">
        <v>423</v>
      </c>
      <c r="AC29" s="29" t="s">
        <v>278</v>
      </c>
      <c r="AD29" s="29" t="s">
        <v>278</v>
      </c>
      <c r="AE29" s="30" t="s">
        <v>424</v>
      </c>
      <c r="AF29" s="33" t="s">
        <v>288</v>
      </c>
      <c r="AG29" s="33" t="s">
        <v>289</v>
      </c>
      <c r="AH29" s="33" t="s">
        <v>289</v>
      </c>
      <c r="AI29" s="33" t="s">
        <v>288</v>
      </c>
      <c r="AJ29" s="33" t="s">
        <v>288</v>
      </c>
      <c r="AK29" s="33" t="s">
        <v>288</v>
      </c>
      <c r="AL29" s="33" t="s">
        <v>288</v>
      </c>
      <c r="AM29" s="33" t="s">
        <v>289</v>
      </c>
      <c r="AN29" s="33" t="s">
        <v>288</v>
      </c>
      <c r="AO29" s="33" t="s">
        <v>290</v>
      </c>
      <c r="AP29" s="32" t="s">
        <v>425</v>
      </c>
    </row>
    <row r="30" customFormat="false" ht="61.5" hidden="false" customHeight="true" outlineLevel="0" collapsed="false">
      <c r="A30" s="17" t="s">
        <v>207</v>
      </c>
      <c r="B30" s="18" t="s">
        <v>210</v>
      </c>
      <c r="C30" s="19" t="n">
        <v>54</v>
      </c>
      <c r="D30" s="30" t="s">
        <v>426</v>
      </c>
      <c r="E30" s="33" t="s">
        <v>427</v>
      </c>
      <c r="F30" s="33" t="s">
        <v>428</v>
      </c>
      <c r="G30" s="33" t="s">
        <v>429</v>
      </c>
      <c r="H30" s="33" t="s">
        <v>430</v>
      </c>
      <c r="I30" s="33" t="s">
        <v>431</v>
      </c>
      <c r="J30" s="33" t="s">
        <v>432</v>
      </c>
      <c r="K30" s="33" t="s">
        <v>433</v>
      </c>
      <c r="L30" s="30" t="s">
        <v>434</v>
      </c>
      <c r="M30" s="33" t="s">
        <v>411</v>
      </c>
      <c r="N30" s="33" t="s">
        <v>435</v>
      </c>
      <c r="O30" s="32" t="s">
        <v>413</v>
      </c>
      <c r="P30" s="33" t="s">
        <v>436</v>
      </c>
      <c r="Q30" s="32" t="s">
        <v>437</v>
      </c>
      <c r="R30" s="30" t="s">
        <v>434</v>
      </c>
      <c r="S30" s="33" t="s">
        <v>438</v>
      </c>
      <c r="T30" s="33" t="s">
        <v>439</v>
      </c>
      <c r="U30" s="32" t="s">
        <v>440</v>
      </c>
      <c r="V30" s="30" t="s">
        <v>434</v>
      </c>
      <c r="W30" s="32" t="s">
        <v>420</v>
      </c>
      <c r="X30" s="33" t="s">
        <v>441</v>
      </c>
      <c r="Y30" s="30" t="s">
        <v>426</v>
      </c>
      <c r="Z30" s="33" t="s">
        <v>442</v>
      </c>
      <c r="AA30" s="30" t="s">
        <v>443</v>
      </c>
      <c r="AB30" s="29" t="s">
        <v>328</v>
      </c>
      <c r="AC30" s="30" t="s">
        <v>444</v>
      </c>
      <c r="AD30" s="30" t="s">
        <v>434</v>
      </c>
      <c r="AE30" s="29" t="s">
        <v>445</v>
      </c>
      <c r="AF30" s="33" t="s">
        <v>288</v>
      </c>
      <c r="AG30" s="33" t="s">
        <v>289</v>
      </c>
      <c r="AH30" s="33" t="s">
        <v>289</v>
      </c>
      <c r="AI30" s="33" t="s">
        <v>288</v>
      </c>
      <c r="AJ30" s="33" t="s">
        <v>288</v>
      </c>
      <c r="AK30" s="33" t="s">
        <v>288</v>
      </c>
      <c r="AL30" s="33" t="s">
        <v>288</v>
      </c>
      <c r="AM30" s="33" t="s">
        <v>289</v>
      </c>
      <c r="AN30" s="33" t="s">
        <v>288</v>
      </c>
      <c r="AO30" s="33" t="s">
        <v>290</v>
      </c>
      <c r="AP30" s="33" t="s">
        <v>446</v>
      </c>
    </row>
    <row r="31" customFormat="false" ht="61.5" hidden="false" customHeight="true" outlineLevel="0" collapsed="false">
      <c r="A31" s="17" t="s">
        <v>207</v>
      </c>
      <c r="B31" s="18" t="s">
        <v>211</v>
      </c>
      <c r="C31" s="19" t="n">
        <v>145</v>
      </c>
      <c r="D31" s="32" t="s">
        <v>356</v>
      </c>
      <c r="E31" s="33" t="s">
        <v>427</v>
      </c>
      <c r="F31" s="33" t="s">
        <v>428</v>
      </c>
      <c r="G31" s="33" t="s">
        <v>429</v>
      </c>
      <c r="H31" s="33" t="s">
        <v>430</v>
      </c>
      <c r="I31" s="33" t="s">
        <v>431</v>
      </c>
      <c r="J31" s="33" t="s">
        <v>432</v>
      </c>
      <c r="K31" s="33" t="s">
        <v>433</v>
      </c>
      <c r="L31" s="30" t="s">
        <v>447</v>
      </c>
      <c r="M31" s="33" t="s">
        <v>411</v>
      </c>
      <c r="N31" s="33" t="s">
        <v>435</v>
      </c>
      <c r="O31" s="33" t="s">
        <v>448</v>
      </c>
      <c r="P31" s="33" t="s">
        <v>436</v>
      </c>
      <c r="Q31" s="33" t="s">
        <v>449</v>
      </c>
      <c r="R31" s="30" t="s">
        <v>447</v>
      </c>
      <c r="S31" s="33" t="s">
        <v>438</v>
      </c>
      <c r="T31" s="33" t="s">
        <v>439</v>
      </c>
      <c r="U31" s="33" t="s">
        <v>450</v>
      </c>
      <c r="V31" s="31" t="s">
        <v>451</v>
      </c>
      <c r="W31" s="33" t="s">
        <v>452</v>
      </c>
      <c r="X31" s="33" t="s">
        <v>441</v>
      </c>
      <c r="Y31" s="30" t="s">
        <v>453</v>
      </c>
      <c r="Z31" s="33" t="s">
        <v>442</v>
      </c>
      <c r="AA31" s="31" t="s">
        <v>454</v>
      </c>
      <c r="AB31" s="29" t="s">
        <v>328</v>
      </c>
      <c r="AC31" s="31" t="s">
        <v>455</v>
      </c>
      <c r="AD31" s="31" t="s">
        <v>456</v>
      </c>
      <c r="AE31" s="29" t="s">
        <v>445</v>
      </c>
      <c r="AF31" s="33" t="s">
        <v>288</v>
      </c>
      <c r="AG31" s="33" t="s">
        <v>289</v>
      </c>
      <c r="AH31" s="33" t="s">
        <v>289</v>
      </c>
      <c r="AI31" s="33" t="s">
        <v>288</v>
      </c>
      <c r="AJ31" s="33" t="s">
        <v>288</v>
      </c>
      <c r="AK31" s="33" t="s">
        <v>288</v>
      </c>
      <c r="AL31" s="33" t="s">
        <v>288</v>
      </c>
      <c r="AM31" s="33" t="s">
        <v>289</v>
      </c>
      <c r="AN31" s="33" t="s">
        <v>288</v>
      </c>
      <c r="AO31" s="33" t="s">
        <v>290</v>
      </c>
      <c r="AP31" s="29" t="s">
        <v>457</v>
      </c>
    </row>
    <row r="32" customFormat="false" ht="61.5" hidden="false" customHeight="true" outlineLevel="0" collapsed="false">
      <c r="A32" s="17" t="s">
        <v>207</v>
      </c>
      <c r="B32" s="18" t="s">
        <v>212</v>
      </c>
      <c r="C32" s="19" t="n">
        <v>49</v>
      </c>
      <c r="D32" s="30" t="s">
        <v>458</v>
      </c>
      <c r="E32" s="32" t="s">
        <v>403</v>
      </c>
      <c r="F32" s="32" t="s">
        <v>404</v>
      </c>
      <c r="G32" s="32" t="s">
        <v>405</v>
      </c>
      <c r="H32" s="32" t="s">
        <v>406</v>
      </c>
      <c r="I32" s="32" t="s">
        <v>407</v>
      </c>
      <c r="J32" s="32" t="s">
        <v>408</v>
      </c>
      <c r="K32" s="32" t="s">
        <v>409</v>
      </c>
      <c r="L32" s="30" t="s">
        <v>459</v>
      </c>
      <c r="M32" s="33" t="s">
        <v>411</v>
      </c>
      <c r="N32" s="32" t="s">
        <v>412</v>
      </c>
      <c r="O32" s="32" t="s">
        <v>413</v>
      </c>
      <c r="P32" s="32" t="s">
        <v>414</v>
      </c>
      <c r="Q32" s="33" t="s">
        <v>449</v>
      </c>
      <c r="R32" s="30" t="s">
        <v>460</v>
      </c>
      <c r="S32" s="32" t="s">
        <v>417</v>
      </c>
      <c r="T32" s="32" t="s">
        <v>418</v>
      </c>
      <c r="U32" s="33" t="s">
        <v>450</v>
      </c>
      <c r="V32" s="29" t="s">
        <v>278</v>
      </c>
      <c r="W32" s="32" t="s">
        <v>420</v>
      </c>
      <c r="X32" s="32" t="s">
        <v>421</v>
      </c>
      <c r="Y32" s="29" t="s">
        <v>278</v>
      </c>
      <c r="Z32" s="32" t="s">
        <v>422</v>
      </c>
      <c r="AA32" s="29" t="s">
        <v>278</v>
      </c>
      <c r="AB32" s="29" t="s">
        <v>328</v>
      </c>
      <c r="AC32" s="29" t="s">
        <v>278</v>
      </c>
      <c r="AD32" s="29" t="s">
        <v>278</v>
      </c>
      <c r="AE32" s="32" t="s">
        <v>332</v>
      </c>
      <c r="AF32" s="33" t="s">
        <v>288</v>
      </c>
      <c r="AG32" s="33" t="s">
        <v>289</v>
      </c>
      <c r="AH32" s="33" t="s">
        <v>289</v>
      </c>
      <c r="AI32" s="33" t="s">
        <v>288</v>
      </c>
      <c r="AJ32" s="33" t="s">
        <v>288</v>
      </c>
      <c r="AK32" s="33" t="s">
        <v>288</v>
      </c>
      <c r="AL32" s="33" t="s">
        <v>288</v>
      </c>
      <c r="AM32" s="33" t="s">
        <v>289</v>
      </c>
      <c r="AN32" s="33" t="s">
        <v>288</v>
      </c>
      <c r="AO32" s="33" t="s">
        <v>290</v>
      </c>
      <c r="AP32" s="33" t="s">
        <v>446</v>
      </c>
    </row>
    <row r="33" customFormat="false" ht="61.5" hidden="false" customHeight="true" outlineLevel="0" collapsed="false">
      <c r="A33" s="17" t="s">
        <v>207</v>
      </c>
      <c r="B33" s="18" t="s">
        <v>213</v>
      </c>
      <c r="C33" s="19" t="n">
        <v>58</v>
      </c>
      <c r="D33" s="29" t="s">
        <v>393</v>
      </c>
      <c r="E33" s="33" t="s">
        <v>427</v>
      </c>
      <c r="F33" s="33" t="s">
        <v>428</v>
      </c>
      <c r="G33" s="33" t="s">
        <v>429</v>
      </c>
      <c r="H33" s="33" t="s">
        <v>430</v>
      </c>
      <c r="I33" s="33" t="s">
        <v>431</v>
      </c>
      <c r="J33" s="33" t="s">
        <v>432</v>
      </c>
      <c r="K33" s="33" t="s">
        <v>433</v>
      </c>
      <c r="L33" s="30" t="s">
        <v>461</v>
      </c>
      <c r="M33" s="33" t="s">
        <v>411</v>
      </c>
      <c r="N33" s="33" t="s">
        <v>435</v>
      </c>
      <c r="O33" s="32" t="s">
        <v>413</v>
      </c>
      <c r="P33" s="33" t="s">
        <v>436</v>
      </c>
      <c r="Q33" s="33" t="s">
        <v>462</v>
      </c>
      <c r="R33" s="29" t="s">
        <v>305</v>
      </c>
      <c r="S33" s="33" t="s">
        <v>438</v>
      </c>
      <c r="T33" s="33" t="s">
        <v>439</v>
      </c>
      <c r="U33" s="33" t="s">
        <v>463</v>
      </c>
      <c r="V33" s="30" t="s">
        <v>434</v>
      </c>
      <c r="W33" s="32" t="s">
        <v>420</v>
      </c>
      <c r="X33" s="33" t="s">
        <v>441</v>
      </c>
      <c r="Y33" s="30" t="s">
        <v>426</v>
      </c>
      <c r="Z33" s="33" t="s">
        <v>442</v>
      </c>
      <c r="AA33" s="30" t="s">
        <v>443</v>
      </c>
      <c r="AB33" s="32" t="s">
        <v>352</v>
      </c>
      <c r="AC33" s="30" t="s">
        <v>444</v>
      </c>
      <c r="AD33" s="30" t="s">
        <v>434</v>
      </c>
      <c r="AE33" s="29" t="s">
        <v>445</v>
      </c>
      <c r="AF33" s="33" t="s">
        <v>288</v>
      </c>
      <c r="AG33" s="33" t="s">
        <v>289</v>
      </c>
      <c r="AH33" s="33" t="s">
        <v>289</v>
      </c>
      <c r="AI33" s="33" t="s">
        <v>288</v>
      </c>
      <c r="AJ33" s="33" t="s">
        <v>288</v>
      </c>
      <c r="AK33" s="33" t="s">
        <v>288</v>
      </c>
      <c r="AL33" s="33" t="s">
        <v>288</v>
      </c>
      <c r="AM33" s="33" t="s">
        <v>289</v>
      </c>
      <c r="AN33" s="33" t="s">
        <v>288</v>
      </c>
      <c r="AO33" s="33" t="s">
        <v>290</v>
      </c>
      <c r="AP33" s="33" t="s">
        <v>446</v>
      </c>
    </row>
    <row r="34" customFormat="false" ht="61.5" hidden="false" customHeight="true" outlineLevel="0" collapsed="false">
      <c r="A34" s="17" t="s">
        <v>207</v>
      </c>
      <c r="B34" s="18" t="s">
        <v>214</v>
      </c>
      <c r="C34" s="19" t="n">
        <v>210</v>
      </c>
      <c r="D34" s="33" t="s">
        <v>464</v>
      </c>
      <c r="E34" s="33" t="s">
        <v>427</v>
      </c>
      <c r="F34" s="33" t="s">
        <v>428</v>
      </c>
      <c r="G34" s="33" t="s">
        <v>429</v>
      </c>
      <c r="H34" s="33" t="s">
        <v>430</v>
      </c>
      <c r="I34" s="33" t="s">
        <v>431</v>
      </c>
      <c r="J34" s="33" t="s">
        <v>432</v>
      </c>
      <c r="K34" s="33" t="s">
        <v>433</v>
      </c>
      <c r="L34" s="29" t="s">
        <v>465</v>
      </c>
      <c r="M34" s="33" t="s">
        <v>411</v>
      </c>
      <c r="N34" s="33" t="s">
        <v>435</v>
      </c>
      <c r="O34" s="33" t="s">
        <v>448</v>
      </c>
      <c r="P34" s="33" t="s">
        <v>436</v>
      </c>
      <c r="Q34" s="33" t="s">
        <v>449</v>
      </c>
      <c r="R34" s="32" t="s">
        <v>466</v>
      </c>
      <c r="S34" s="33" t="s">
        <v>438</v>
      </c>
      <c r="T34" s="33" t="s">
        <v>439</v>
      </c>
      <c r="U34" s="33" t="s">
        <v>450</v>
      </c>
      <c r="V34" s="30" t="s">
        <v>467</v>
      </c>
      <c r="W34" s="33" t="s">
        <v>452</v>
      </c>
      <c r="X34" s="33" t="s">
        <v>441</v>
      </c>
      <c r="Y34" s="29" t="s">
        <v>468</v>
      </c>
      <c r="Z34" s="33" t="s">
        <v>442</v>
      </c>
      <c r="AA34" s="30" t="s">
        <v>469</v>
      </c>
      <c r="AB34" s="33" t="s">
        <v>470</v>
      </c>
      <c r="AC34" s="31" t="s">
        <v>455</v>
      </c>
      <c r="AD34" s="31" t="s">
        <v>456</v>
      </c>
      <c r="AE34" s="32" t="s">
        <v>471</v>
      </c>
      <c r="AF34" s="33" t="s">
        <v>288</v>
      </c>
      <c r="AG34" s="33" t="s">
        <v>289</v>
      </c>
      <c r="AH34" s="33" t="s">
        <v>289</v>
      </c>
      <c r="AI34" s="33" t="s">
        <v>288</v>
      </c>
      <c r="AJ34" s="33" t="s">
        <v>288</v>
      </c>
      <c r="AK34" s="33" t="s">
        <v>288</v>
      </c>
      <c r="AL34" s="33" t="s">
        <v>288</v>
      </c>
      <c r="AM34" s="33" t="s">
        <v>289</v>
      </c>
      <c r="AN34" s="33" t="s">
        <v>288</v>
      </c>
      <c r="AO34" s="33" t="s">
        <v>290</v>
      </c>
      <c r="AP34" s="33" t="s">
        <v>446</v>
      </c>
    </row>
    <row r="35" customFormat="false" ht="61.5" hidden="false" customHeight="true" outlineLevel="0" collapsed="false">
      <c r="A35" s="17" t="s">
        <v>207</v>
      </c>
      <c r="B35" s="18" t="s">
        <v>215</v>
      </c>
      <c r="C35" s="19" t="n">
        <v>320</v>
      </c>
      <c r="D35" s="33" t="s">
        <v>472</v>
      </c>
      <c r="E35" s="33" t="s">
        <v>427</v>
      </c>
      <c r="F35" s="33" t="s">
        <v>428</v>
      </c>
      <c r="G35" s="33" t="s">
        <v>429</v>
      </c>
      <c r="H35" s="33" t="s">
        <v>430</v>
      </c>
      <c r="I35" s="33" t="s">
        <v>431</v>
      </c>
      <c r="J35" s="33" t="s">
        <v>432</v>
      </c>
      <c r="K35" s="33" t="s">
        <v>433</v>
      </c>
      <c r="L35" s="29" t="s">
        <v>465</v>
      </c>
      <c r="M35" s="33" t="s">
        <v>411</v>
      </c>
      <c r="N35" s="33" t="s">
        <v>435</v>
      </c>
      <c r="O35" s="33" t="s">
        <v>448</v>
      </c>
      <c r="P35" s="33" t="s">
        <v>436</v>
      </c>
      <c r="Q35" s="33" t="s">
        <v>449</v>
      </c>
      <c r="R35" s="32" t="s">
        <v>466</v>
      </c>
      <c r="S35" s="33" t="s">
        <v>438</v>
      </c>
      <c r="T35" s="33" t="s">
        <v>439</v>
      </c>
      <c r="U35" s="33" t="s">
        <v>450</v>
      </c>
      <c r="V35" s="29" t="s">
        <v>473</v>
      </c>
      <c r="W35" s="33" t="s">
        <v>452</v>
      </c>
      <c r="X35" s="33" t="s">
        <v>441</v>
      </c>
      <c r="Y35" s="29" t="s">
        <v>468</v>
      </c>
      <c r="Z35" s="33" t="s">
        <v>442</v>
      </c>
      <c r="AA35" s="30" t="s">
        <v>469</v>
      </c>
      <c r="AB35" s="33" t="s">
        <v>470</v>
      </c>
      <c r="AC35" s="31" t="s">
        <v>455</v>
      </c>
      <c r="AD35" s="30" t="s">
        <v>474</v>
      </c>
      <c r="AE35" s="32" t="s">
        <v>471</v>
      </c>
      <c r="AF35" s="33" t="s">
        <v>288</v>
      </c>
      <c r="AG35" s="33" t="s">
        <v>289</v>
      </c>
      <c r="AH35" s="33" t="s">
        <v>289</v>
      </c>
      <c r="AI35" s="33" t="s">
        <v>288</v>
      </c>
      <c r="AJ35" s="33" t="s">
        <v>288</v>
      </c>
      <c r="AK35" s="33" t="s">
        <v>288</v>
      </c>
      <c r="AL35" s="33" t="s">
        <v>288</v>
      </c>
      <c r="AM35" s="33" t="s">
        <v>289</v>
      </c>
      <c r="AN35" s="33" t="s">
        <v>288</v>
      </c>
      <c r="AO35" s="33" t="s">
        <v>290</v>
      </c>
      <c r="AP35" s="33" t="s">
        <v>446</v>
      </c>
    </row>
    <row r="36" customFormat="false" ht="61.5" hidden="false" customHeight="true" outlineLevel="0" collapsed="false">
      <c r="A36" s="17" t="s">
        <v>207</v>
      </c>
      <c r="B36" s="18" t="s">
        <v>216</v>
      </c>
      <c r="C36" s="19" t="n">
        <v>485</v>
      </c>
      <c r="D36" s="33" t="s">
        <v>475</v>
      </c>
      <c r="E36" s="33" t="s">
        <v>427</v>
      </c>
      <c r="F36" s="33" t="s">
        <v>428</v>
      </c>
      <c r="G36" s="33" t="s">
        <v>429</v>
      </c>
      <c r="H36" s="33" t="s">
        <v>430</v>
      </c>
      <c r="I36" s="33" t="s">
        <v>431</v>
      </c>
      <c r="J36" s="33" t="s">
        <v>432</v>
      </c>
      <c r="K36" s="33" t="s">
        <v>433</v>
      </c>
      <c r="L36" s="32" t="s">
        <v>476</v>
      </c>
      <c r="M36" s="33" t="s">
        <v>411</v>
      </c>
      <c r="N36" s="33" t="s">
        <v>435</v>
      </c>
      <c r="O36" s="33" t="s">
        <v>448</v>
      </c>
      <c r="P36" s="33" t="s">
        <v>436</v>
      </c>
      <c r="Q36" s="33" t="s">
        <v>449</v>
      </c>
      <c r="R36" s="33" t="s">
        <v>477</v>
      </c>
      <c r="S36" s="33" t="s">
        <v>438</v>
      </c>
      <c r="T36" s="33" t="s">
        <v>439</v>
      </c>
      <c r="U36" s="33" t="s">
        <v>450</v>
      </c>
      <c r="V36" s="32" t="s">
        <v>478</v>
      </c>
      <c r="W36" s="33" t="s">
        <v>452</v>
      </c>
      <c r="X36" s="33" t="s">
        <v>441</v>
      </c>
      <c r="Y36" s="32" t="s">
        <v>479</v>
      </c>
      <c r="Z36" s="33" t="s">
        <v>442</v>
      </c>
      <c r="AA36" s="29" t="s">
        <v>480</v>
      </c>
      <c r="AB36" s="33" t="s">
        <v>470</v>
      </c>
      <c r="AC36" s="29" t="s">
        <v>481</v>
      </c>
      <c r="AD36" s="29" t="s">
        <v>482</v>
      </c>
      <c r="AE36" s="32" t="s">
        <v>471</v>
      </c>
      <c r="AF36" s="33" t="s">
        <v>288</v>
      </c>
      <c r="AG36" s="33" t="s">
        <v>289</v>
      </c>
      <c r="AH36" s="33" t="s">
        <v>289</v>
      </c>
      <c r="AI36" s="33" t="s">
        <v>288</v>
      </c>
      <c r="AJ36" s="33" t="s">
        <v>288</v>
      </c>
      <c r="AK36" s="33" t="s">
        <v>288</v>
      </c>
      <c r="AL36" s="33" t="s">
        <v>288</v>
      </c>
      <c r="AM36" s="33" t="s">
        <v>289</v>
      </c>
      <c r="AN36" s="33" t="s">
        <v>288</v>
      </c>
      <c r="AO36" s="33" t="s">
        <v>290</v>
      </c>
      <c r="AP36" s="33" t="s">
        <v>446</v>
      </c>
    </row>
    <row r="37" customFormat="false" ht="61.5" hidden="false" customHeight="true" outlineLevel="0" collapsed="false">
      <c r="A37" s="17" t="s">
        <v>207</v>
      </c>
      <c r="B37" s="18" t="s">
        <v>217</v>
      </c>
      <c r="C37" s="19" t="n">
        <v>560</v>
      </c>
      <c r="D37" s="33" t="s">
        <v>464</v>
      </c>
      <c r="E37" s="33" t="s">
        <v>427</v>
      </c>
      <c r="F37" s="33" t="s">
        <v>428</v>
      </c>
      <c r="G37" s="33" t="s">
        <v>429</v>
      </c>
      <c r="H37" s="33" t="s">
        <v>430</v>
      </c>
      <c r="I37" s="33" t="s">
        <v>431</v>
      </c>
      <c r="J37" s="33" t="s">
        <v>432</v>
      </c>
      <c r="K37" s="33" t="s">
        <v>433</v>
      </c>
      <c r="L37" s="32" t="s">
        <v>483</v>
      </c>
      <c r="M37" s="33" t="s">
        <v>411</v>
      </c>
      <c r="N37" s="33" t="s">
        <v>435</v>
      </c>
      <c r="O37" s="33" t="s">
        <v>448</v>
      </c>
      <c r="P37" s="33" t="s">
        <v>436</v>
      </c>
      <c r="Q37" s="33" t="s">
        <v>462</v>
      </c>
      <c r="R37" s="33" t="s">
        <v>484</v>
      </c>
      <c r="S37" s="33" t="s">
        <v>438</v>
      </c>
      <c r="T37" s="33" t="s">
        <v>439</v>
      </c>
      <c r="U37" s="33" t="s">
        <v>463</v>
      </c>
      <c r="V37" s="32" t="s">
        <v>485</v>
      </c>
      <c r="W37" s="33" t="s">
        <v>452</v>
      </c>
      <c r="X37" s="33" t="s">
        <v>441</v>
      </c>
      <c r="Y37" s="32" t="s">
        <v>486</v>
      </c>
      <c r="Z37" s="33" t="s">
        <v>442</v>
      </c>
      <c r="AA37" s="29" t="s">
        <v>487</v>
      </c>
      <c r="AB37" s="33" t="s">
        <v>488</v>
      </c>
      <c r="AC37" s="30" t="s">
        <v>489</v>
      </c>
      <c r="AD37" s="29" t="s">
        <v>305</v>
      </c>
      <c r="AE37" s="32" t="s">
        <v>490</v>
      </c>
      <c r="AF37" s="33" t="s">
        <v>288</v>
      </c>
      <c r="AG37" s="33" t="s">
        <v>289</v>
      </c>
      <c r="AH37" s="33" t="s">
        <v>289</v>
      </c>
      <c r="AI37" s="33" t="s">
        <v>288</v>
      </c>
      <c r="AJ37" s="33" t="s">
        <v>288</v>
      </c>
      <c r="AK37" s="33" t="s">
        <v>288</v>
      </c>
      <c r="AL37" s="33" t="s">
        <v>288</v>
      </c>
      <c r="AM37" s="33" t="s">
        <v>289</v>
      </c>
      <c r="AN37" s="33" t="s">
        <v>288</v>
      </c>
      <c r="AO37" s="33" t="s">
        <v>290</v>
      </c>
      <c r="AP37" s="33" t="s">
        <v>446</v>
      </c>
    </row>
    <row r="38" customFormat="false" ht="61.5" hidden="false" customHeight="true" outlineLevel="0" collapsed="false">
      <c r="A38" s="17" t="s">
        <v>207</v>
      </c>
      <c r="B38" s="18" t="s">
        <v>218</v>
      </c>
      <c r="C38" s="19" t="n">
        <v>45</v>
      </c>
      <c r="D38" s="31" t="s">
        <v>402</v>
      </c>
      <c r="E38" s="32" t="s">
        <v>403</v>
      </c>
      <c r="F38" s="32" t="s">
        <v>404</v>
      </c>
      <c r="G38" s="32" t="s">
        <v>405</v>
      </c>
      <c r="H38" s="32" t="s">
        <v>406</v>
      </c>
      <c r="I38" s="32" t="s">
        <v>407</v>
      </c>
      <c r="J38" s="32" t="s">
        <v>408</v>
      </c>
      <c r="K38" s="32" t="s">
        <v>409</v>
      </c>
      <c r="L38" s="30" t="s">
        <v>460</v>
      </c>
      <c r="M38" s="33" t="s">
        <v>411</v>
      </c>
      <c r="N38" s="32" t="s">
        <v>412</v>
      </c>
      <c r="O38" s="32" t="s">
        <v>413</v>
      </c>
      <c r="P38" s="32" t="s">
        <v>414</v>
      </c>
      <c r="Q38" s="29" t="s">
        <v>491</v>
      </c>
      <c r="R38" s="31" t="s">
        <v>416</v>
      </c>
      <c r="S38" s="32" t="s">
        <v>417</v>
      </c>
      <c r="T38" s="32" t="s">
        <v>418</v>
      </c>
      <c r="U38" s="29" t="s">
        <v>492</v>
      </c>
      <c r="V38" s="29" t="s">
        <v>278</v>
      </c>
      <c r="W38" s="32" t="s">
        <v>420</v>
      </c>
      <c r="X38" s="32" t="s">
        <v>421</v>
      </c>
      <c r="Y38" s="29" t="s">
        <v>278</v>
      </c>
      <c r="Z38" s="32" t="s">
        <v>422</v>
      </c>
      <c r="AA38" s="29" t="s">
        <v>278</v>
      </c>
      <c r="AB38" s="30" t="s">
        <v>423</v>
      </c>
      <c r="AC38" s="29" t="s">
        <v>278</v>
      </c>
      <c r="AD38" s="29" t="s">
        <v>278</v>
      </c>
      <c r="AE38" s="30" t="s">
        <v>424</v>
      </c>
      <c r="AF38" s="33" t="s">
        <v>288</v>
      </c>
      <c r="AG38" s="33" t="s">
        <v>289</v>
      </c>
      <c r="AH38" s="33" t="s">
        <v>289</v>
      </c>
      <c r="AI38" s="33" t="s">
        <v>288</v>
      </c>
      <c r="AJ38" s="33" t="s">
        <v>288</v>
      </c>
      <c r="AK38" s="33" t="s">
        <v>288</v>
      </c>
      <c r="AL38" s="33" t="s">
        <v>288</v>
      </c>
      <c r="AM38" s="33" t="s">
        <v>289</v>
      </c>
      <c r="AN38" s="33" t="s">
        <v>288</v>
      </c>
      <c r="AO38" s="33" t="s">
        <v>290</v>
      </c>
      <c r="AP38" s="33" t="s">
        <v>446</v>
      </c>
    </row>
    <row r="39" customFormat="false" ht="61.5" hidden="false" customHeight="true" outlineLevel="0" collapsed="false">
      <c r="A39" s="17" t="s">
        <v>207</v>
      </c>
      <c r="B39" s="18" t="s">
        <v>219</v>
      </c>
      <c r="C39" s="19" t="n">
        <v>48</v>
      </c>
      <c r="D39" s="31" t="s">
        <v>402</v>
      </c>
      <c r="E39" s="32" t="s">
        <v>403</v>
      </c>
      <c r="F39" s="32" t="s">
        <v>404</v>
      </c>
      <c r="G39" s="32" t="s">
        <v>405</v>
      </c>
      <c r="H39" s="32" t="s">
        <v>406</v>
      </c>
      <c r="I39" s="32" t="s">
        <v>407</v>
      </c>
      <c r="J39" s="32" t="s">
        <v>408</v>
      </c>
      <c r="K39" s="32" t="s">
        <v>409</v>
      </c>
      <c r="L39" s="30" t="s">
        <v>460</v>
      </c>
      <c r="M39" s="33" t="s">
        <v>411</v>
      </c>
      <c r="N39" s="32" t="s">
        <v>412</v>
      </c>
      <c r="O39" s="32" t="s">
        <v>413</v>
      </c>
      <c r="P39" s="32" t="s">
        <v>414</v>
      </c>
      <c r="Q39" s="32" t="s">
        <v>493</v>
      </c>
      <c r="R39" s="31" t="s">
        <v>416</v>
      </c>
      <c r="S39" s="32" t="s">
        <v>417</v>
      </c>
      <c r="T39" s="32" t="s">
        <v>418</v>
      </c>
      <c r="U39" s="32" t="s">
        <v>494</v>
      </c>
      <c r="V39" s="29" t="s">
        <v>278</v>
      </c>
      <c r="W39" s="32" t="s">
        <v>420</v>
      </c>
      <c r="X39" s="32" t="s">
        <v>421</v>
      </c>
      <c r="Y39" s="29" t="s">
        <v>278</v>
      </c>
      <c r="Z39" s="32" t="s">
        <v>422</v>
      </c>
      <c r="AA39" s="29" t="s">
        <v>278</v>
      </c>
      <c r="AB39" s="30" t="s">
        <v>423</v>
      </c>
      <c r="AC39" s="29" t="s">
        <v>278</v>
      </c>
      <c r="AD39" s="29" t="s">
        <v>278</v>
      </c>
      <c r="AE39" s="30" t="s">
        <v>424</v>
      </c>
      <c r="AF39" s="33" t="s">
        <v>288</v>
      </c>
      <c r="AG39" s="33" t="s">
        <v>289</v>
      </c>
      <c r="AH39" s="33" t="s">
        <v>289</v>
      </c>
      <c r="AI39" s="33" t="s">
        <v>288</v>
      </c>
      <c r="AJ39" s="33" t="s">
        <v>288</v>
      </c>
      <c r="AK39" s="33" t="s">
        <v>288</v>
      </c>
      <c r="AL39" s="33" t="s">
        <v>288</v>
      </c>
      <c r="AM39" s="33" t="s">
        <v>289</v>
      </c>
      <c r="AN39" s="33" t="s">
        <v>288</v>
      </c>
      <c r="AO39" s="33" t="s">
        <v>290</v>
      </c>
      <c r="AP39" s="33" t="s">
        <v>446</v>
      </c>
    </row>
    <row r="40" customFormat="false" ht="61.5" hidden="false" customHeight="true" outlineLevel="0" collapsed="false">
      <c r="A40" s="17" t="s">
        <v>207</v>
      </c>
      <c r="B40" s="18" t="s">
        <v>220</v>
      </c>
      <c r="C40" s="19" t="n">
        <v>45</v>
      </c>
      <c r="D40" s="32" t="s">
        <v>495</v>
      </c>
      <c r="E40" s="33" t="s">
        <v>427</v>
      </c>
      <c r="F40" s="33" t="s">
        <v>428</v>
      </c>
      <c r="G40" s="33" t="s">
        <v>429</v>
      </c>
      <c r="H40" s="33" t="s">
        <v>430</v>
      </c>
      <c r="I40" s="33" t="s">
        <v>431</v>
      </c>
      <c r="J40" s="33" t="s">
        <v>432</v>
      </c>
      <c r="K40" s="33" t="s">
        <v>433</v>
      </c>
      <c r="L40" s="29" t="s">
        <v>496</v>
      </c>
      <c r="M40" s="33" t="s">
        <v>411</v>
      </c>
      <c r="N40" s="33" t="s">
        <v>435</v>
      </c>
      <c r="O40" s="33" t="s">
        <v>448</v>
      </c>
      <c r="P40" s="33" t="s">
        <v>436</v>
      </c>
      <c r="Q40" s="33" t="s">
        <v>449</v>
      </c>
      <c r="R40" s="29" t="s">
        <v>497</v>
      </c>
      <c r="S40" s="33" t="s">
        <v>438</v>
      </c>
      <c r="T40" s="33" t="s">
        <v>439</v>
      </c>
      <c r="U40" s="33" t="s">
        <v>450</v>
      </c>
      <c r="V40" s="29" t="s">
        <v>473</v>
      </c>
      <c r="W40" s="33" t="s">
        <v>452</v>
      </c>
      <c r="X40" s="33" t="s">
        <v>441</v>
      </c>
      <c r="Y40" s="29" t="s">
        <v>468</v>
      </c>
      <c r="Z40" s="33" t="s">
        <v>442</v>
      </c>
      <c r="AA40" s="29" t="s">
        <v>480</v>
      </c>
      <c r="AB40" s="32" t="s">
        <v>498</v>
      </c>
      <c r="AC40" s="29" t="s">
        <v>499</v>
      </c>
      <c r="AD40" s="29" t="s">
        <v>500</v>
      </c>
      <c r="AE40" s="32" t="s">
        <v>471</v>
      </c>
      <c r="AF40" s="33" t="s">
        <v>288</v>
      </c>
      <c r="AG40" s="33" t="s">
        <v>289</v>
      </c>
      <c r="AH40" s="33" t="s">
        <v>289</v>
      </c>
      <c r="AI40" s="33" t="s">
        <v>288</v>
      </c>
      <c r="AJ40" s="33" t="s">
        <v>288</v>
      </c>
      <c r="AK40" s="33" t="s">
        <v>288</v>
      </c>
      <c r="AL40" s="33" t="s">
        <v>288</v>
      </c>
      <c r="AM40" s="33" t="s">
        <v>289</v>
      </c>
      <c r="AN40" s="33" t="s">
        <v>288</v>
      </c>
      <c r="AO40" s="33" t="s">
        <v>290</v>
      </c>
      <c r="AP40" s="33" t="s">
        <v>446</v>
      </c>
    </row>
    <row r="41" customFormat="false" ht="61.5" hidden="false" customHeight="true" outlineLevel="0" collapsed="false">
      <c r="A41" s="17" t="s">
        <v>207</v>
      </c>
      <c r="B41" s="18" t="s">
        <v>221</v>
      </c>
      <c r="C41" s="19" t="n">
        <v>58</v>
      </c>
      <c r="D41" s="32" t="s">
        <v>495</v>
      </c>
      <c r="E41" s="33" t="s">
        <v>427</v>
      </c>
      <c r="F41" s="33" t="s">
        <v>428</v>
      </c>
      <c r="G41" s="33" t="s">
        <v>429</v>
      </c>
      <c r="H41" s="33" t="s">
        <v>430</v>
      </c>
      <c r="I41" s="33" t="s">
        <v>431</v>
      </c>
      <c r="J41" s="33" t="s">
        <v>432</v>
      </c>
      <c r="K41" s="33" t="s">
        <v>433</v>
      </c>
      <c r="L41" s="29" t="s">
        <v>496</v>
      </c>
      <c r="M41" s="33" t="s">
        <v>411</v>
      </c>
      <c r="N41" s="33" t="s">
        <v>435</v>
      </c>
      <c r="O41" s="33" t="s">
        <v>448</v>
      </c>
      <c r="P41" s="33" t="s">
        <v>436</v>
      </c>
      <c r="Q41" s="33" t="s">
        <v>449</v>
      </c>
      <c r="R41" s="29" t="s">
        <v>497</v>
      </c>
      <c r="S41" s="33" t="s">
        <v>438</v>
      </c>
      <c r="T41" s="33" t="s">
        <v>439</v>
      </c>
      <c r="U41" s="33" t="s">
        <v>450</v>
      </c>
      <c r="V41" s="29" t="s">
        <v>473</v>
      </c>
      <c r="W41" s="33" t="s">
        <v>452</v>
      </c>
      <c r="X41" s="33" t="s">
        <v>441</v>
      </c>
      <c r="Y41" s="29" t="s">
        <v>468</v>
      </c>
      <c r="Z41" s="33" t="s">
        <v>442</v>
      </c>
      <c r="AA41" s="29" t="s">
        <v>480</v>
      </c>
      <c r="AB41" s="32" t="s">
        <v>498</v>
      </c>
      <c r="AC41" s="30" t="s">
        <v>501</v>
      </c>
      <c r="AD41" s="29" t="s">
        <v>500</v>
      </c>
      <c r="AE41" s="32" t="s">
        <v>471</v>
      </c>
      <c r="AF41" s="33" t="s">
        <v>288</v>
      </c>
      <c r="AG41" s="33" t="s">
        <v>289</v>
      </c>
      <c r="AH41" s="33" t="s">
        <v>289</v>
      </c>
      <c r="AI41" s="33" t="s">
        <v>288</v>
      </c>
      <c r="AJ41" s="33" t="s">
        <v>288</v>
      </c>
      <c r="AK41" s="33" t="s">
        <v>288</v>
      </c>
      <c r="AL41" s="33" t="s">
        <v>288</v>
      </c>
      <c r="AM41" s="33" t="s">
        <v>289</v>
      </c>
      <c r="AN41" s="33" t="s">
        <v>288</v>
      </c>
      <c r="AO41" s="33" t="s">
        <v>290</v>
      </c>
      <c r="AP41" s="33" t="s">
        <v>446</v>
      </c>
    </row>
    <row r="42" customFormat="false" ht="61.5" hidden="false" customHeight="true" outlineLevel="0" collapsed="false">
      <c r="A42" s="17" t="s">
        <v>207</v>
      </c>
      <c r="B42" s="18" t="s">
        <v>222</v>
      </c>
      <c r="C42" s="19" t="n">
        <v>68</v>
      </c>
      <c r="D42" s="33" t="s">
        <v>475</v>
      </c>
      <c r="E42" s="33" t="s">
        <v>427</v>
      </c>
      <c r="F42" s="33" t="s">
        <v>428</v>
      </c>
      <c r="G42" s="33" t="s">
        <v>429</v>
      </c>
      <c r="H42" s="33" t="s">
        <v>430</v>
      </c>
      <c r="I42" s="33" t="s">
        <v>431</v>
      </c>
      <c r="J42" s="33" t="s">
        <v>432</v>
      </c>
      <c r="K42" s="33" t="s">
        <v>433</v>
      </c>
      <c r="L42" s="29" t="s">
        <v>496</v>
      </c>
      <c r="M42" s="33" t="s">
        <v>411</v>
      </c>
      <c r="N42" s="33" t="s">
        <v>435</v>
      </c>
      <c r="O42" s="33" t="s">
        <v>448</v>
      </c>
      <c r="P42" s="33" t="s">
        <v>436</v>
      </c>
      <c r="Q42" s="33" t="s">
        <v>449</v>
      </c>
      <c r="R42" s="29" t="s">
        <v>497</v>
      </c>
      <c r="S42" s="33" t="s">
        <v>438</v>
      </c>
      <c r="T42" s="33" t="s">
        <v>439</v>
      </c>
      <c r="U42" s="33" t="s">
        <v>450</v>
      </c>
      <c r="V42" s="29" t="s">
        <v>473</v>
      </c>
      <c r="W42" s="33" t="s">
        <v>452</v>
      </c>
      <c r="X42" s="33" t="s">
        <v>441</v>
      </c>
      <c r="Y42" s="29" t="s">
        <v>468</v>
      </c>
      <c r="Z42" s="33" t="s">
        <v>442</v>
      </c>
      <c r="AA42" s="30" t="s">
        <v>502</v>
      </c>
      <c r="AB42" s="32" t="s">
        <v>498</v>
      </c>
      <c r="AC42" s="29" t="s">
        <v>499</v>
      </c>
      <c r="AD42" s="29" t="s">
        <v>500</v>
      </c>
      <c r="AE42" s="32" t="s">
        <v>471</v>
      </c>
      <c r="AF42" s="33" t="s">
        <v>288</v>
      </c>
      <c r="AG42" s="33" t="s">
        <v>289</v>
      </c>
      <c r="AH42" s="33" t="s">
        <v>289</v>
      </c>
      <c r="AI42" s="33" t="s">
        <v>288</v>
      </c>
      <c r="AJ42" s="33" t="s">
        <v>288</v>
      </c>
      <c r="AK42" s="33" t="s">
        <v>288</v>
      </c>
      <c r="AL42" s="33" t="s">
        <v>288</v>
      </c>
      <c r="AM42" s="33" t="s">
        <v>289</v>
      </c>
      <c r="AN42" s="33" t="s">
        <v>288</v>
      </c>
      <c r="AO42" s="33" t="s">
        <v>290</v>
      </c>
      <c r="AP42" s="33" t="s">
        <v>446</v>
      </c>
    </row>
    <row r="43" customFormat="false" ht="61.5" hidden="false" customHeight="true" outlineLevel="0" collapsed="false">
      <c r="A43" s="17" t="s">
        <v>207</v>
      </c>
      <c r="B43" s="18" t="s">
        <v>223</v>
      </c>
      <c r="C43" s="19" t="n">
        <v>115</v>
      </c>
      <c r="D43" s="33" t="s">
        <v>472</v>
      </c>
      <c r="E43" s="33" t="s">
        <v>427</v>
      </c>
      <c r="F43" s="33" t="s">
        <v>428</v>
      </c>
      <c r="G43" s="33" t="s">
        <v>429</v>
      </c>
      <c r="H43" s="33" t="s">
        <v>430</v>
      </c>
      <c r="I43" s="33" t="s">
        <v>431</v>
      </c>
      <c r="J43" s="33" t="s">
        <v>432</v>
      </c>
      <c r="K43" s="33" t="s">
        <v>433</v>
      </c>
      <c r="L43" s="32" t="s">
        <v>476</v>
      </c>
      <c r="M43" s="33" t="s">
        <v>411</v>
      </c>
      <c r="N43" s="33" t="s">
        <v>435</v>
      </c>
      <c r="O43" s="33" t="s">
        <v>448</v>
      </c>
      <c r="P43" s="33" t="s">
        <v>436</v>
      </c>
      <c r="Q43" s="33" t="s">
        <v>449</v>
      </c>
      <c r="R43" s="32" t="s">
        <v>466</v>
      </c>
      <c r="S43" s="33" t="s">
        <v>438</v>
      </c>
      <c r="T43" s="33" t="s">
        <v>439</v>
      </c>
      <c r="U43" s="33" t="s">
        <v>450</v>
      </c>
      <c r="V43" s="29" t="s">
        <v>473</v>
      </c>
      <c r="W43" s="33" t="s">
        <v>452</v>
      </c>
      <c r="X43" s="33" t="s">
        <v>441</v>
      </c>
      <c r="Y43" s="29" t="s">
        <v>468</v>
      </c>
      <c r="Z43" s="33" t="s">
        <v>442</v>
      </c>
      <c r="AA43" s="29" t="s">
        <v>480</v>
      </c>
      <c r="AB43" s="33" t="s">
        <v>470</v>
      </c>
      <c r="AC43" s="30" t="s">
        <v>501</v>
      </c>
      <c r="AD43" s="29" t="s">
        <v>500</v>
      </c>
      <c r="AE43" s="32" t="s">
        <v>471</v>
      </c>
      <c r="AF43" s="33" t="s">
        <v>288</v>
      </c>
      <c r="AG43" s="33" t="s">
        <v>289</v>
      </c>
      <c r="AH43" s="33" t="s">
        <v>289</v>
      </c>
      <c r="AI43" s="33" t="s">
        <v>288</v>
      </c>
      <c r="AJ43" s="33" t="s">
        <v>288</v>
      </c>
      <c r="AK43" s="33" t="s">
        <v>288</v>
      </c>
      <c r="AL43" s="33" t="s">
        <v>288</v>
      </c>
      <c r="AM43" s="33" t="s">
        <v>289</v>
      </c>
      <c r="AN43" s="33" t="s">
        <v>288</v>
      </c>
      <c r="AO43" s="33" t="s">
        <v>290</v>
      </c>
      <c r="AP43" s="33" t="s">
        <v>446</v>
      </c>
    </row>
    <row r="44" customFormat="false" ht="61.5" hidden="false" customHeight="true" outlineLevel="0" collapsed="false">
      <c r="A44" s="17" t="s">
        <v>207</v>
      </c>
      <c r="B44" s="18" t="s">
        <v>224</v>
      </c>
      <c r="C44" s="19" t="n">
        <v>45</v>
      </c>
      <c r="D44" s="33" t="s">
        <v>472</v>
      </c>
      <c r="E44" s="33" t="s">
        <v>427</v>
      </c>
      <c r="F44" s="33" t="s">
        <v>428</v>
      </c>
      <c r="G44" s="33" t="s">
        <v>429</v>
      </c>
      <c r="H44" s="33" t="s">
        <v>430</v>
      </c>
      <c r="I44" s="33" t="s">
        <v>431</v>
      </c>
      <c r="J44" s="33" t="s">
        <v>432</v>
      </c>
      <c r="K44" s="33" t="s">
        <v>433</v>
      </c>
      <c r="L44" s="32" t="s">
        <v>476</v>
      </c>
      <c r="M44" s="33" t="s">
        <v>411</v>
      </c>
      <c r="N44" s="33" t="s">
        <v>435</v>
      </c>
      <c r="O44" s="33" t="s">
        <v>448</v>
      </c>
      <c r="P44" s="33" t="s">
        <v>436</v>
      </c>
      <c r="Q44" s="33" t="s">
        <v>449</v>
      </c>
      <c r="R44" s="32" t="s">
        <v>466</v>
      </c>
      <c r="S44" s="33" t="s">
        <v>438</v>
      </c>
      <c r="T44" s="33" t="s">
        <v>439</v>
      </c>
      <c r="U44" s="33" t="s">
        <v>450</v>
      </c>
      <c r="V44" s="29" t="s">
        <v>473</v>
      </c>
      <c r="W44" s="33" t="s">
        <v>452</v>
      </c>
      <c r="X44" s="33" t="s">
        <v>441</v>
      </c>
      <c r="Y44" s="29" t="s">
        <v>468</v>
      </c>
      <c r="Z44" s="33" t="s">
        <v>442</v>
      </c>
      <c r="AA44" s="29" t="s">
        <v>480</v>
      </c>
      <c r="AB44" s="33" t="s">
        <v>470</v>
      </c>
      <c r="AC44" s="29" t="s">
        <v>499</v>
      </c>
      <c r="AD44" s="29" t="s">
        <v>500</v>
      </c>
      <c r="AE44" s="32" t="s">
        <v>471</v>
      </c>
      <c r="AF44" s="33" t="s">
        <v>288</v>
      </c>
      <c r="AG44" s="33" t="s">
        <v>289</v>
      </c>
      <c r="AH44" s="33" t="s">
        <v>289</v>
      </c>
      <c r="AI44" s="33" t="s">
        <v>288</v>
      </c>
      <c r="AJ44" s="33" t="s">
        <v>288</v>
      </c>
      <c r="AK44" s="33" t="s">
        <v>288</v>
      </c>
      <c r="AL44" s="33" t="s">
        <v>288</v>
      </c>
      <c r="AM44" s="33" t="s">
        <v>289</v>
      </c>
      <c r="AN44" s="33" t="s">
        <v>288</v>
      </c>
      <c r="AO44" s="33" t="s">
        <v>290</v>
      </c>
      <c r="AP44" s="33" t="s">
        <v>446</v>
      </c>
    </row>
    <row r="45" customFormat="false" ht="61.5" hidden="false" customHeight="true" outlineLevel="0" collapsed="false">
      <c r="A45" s="17" t="s">
        <v>207</v>
      </c>
      <c r="B45" s="18" t="s">
        <v>225</v>
      </c>
      <c r="C45" s="19" t="n">
        <v>75</v>
      </c>
      <c r="D45" s="33" t="s">
        <v>472</v>
      </c>
      <c r="E45" s="33" t="s">
        <v>427</v>
      </c>
      <c r="F45" s="33" t="s">
        <v>428</v>
      </c>
      <c r="G45" s="33" t="s">
        <v>429</v>
      </c>
      <c r="H45" s="33" t="s">
        <v>430</v>
      </c>
      <c r="I45" s="33" t="s">
        <v>431</v>
      </c>
      <c r="J45" s="33" t="s">
        <v>432</v>
      </c>
      <c r="K45" s="33" t="s">
        <v>433</v>
      </c>
      <c r="L45" s="32" t="s">
        <v>476</v>
      </c>
      <c r="M45" s="33" t="s">
        <v>411</v>
      </c>
      <c r="N45" s="33" t="s">
        <v>435</v>
      </c>
      <c r="O45" s="33" t="s">
        <v>448</v>
      </c>
      <c r="P45" s="33" t="s">
        <v>436</v>
      </c>
      <c r="Q45" s="33" t="s">
        <v>449</v>
      </c>
      <c r="R45" s="32" t="s">
        <v>466</v>
      </c>
      <c r="S45" s="33" t="s">
        <v>438</v>
      </c>
      <c r="T45" s="33" t="s">
        <v>439</v>
      </c>
      <c r="U45" s="33" t="s">
        <v>450</v>
      </c>
      <c r="V45" s="29" t="s">
        <v>473</v>
      </c>
      <c r="W45" s="33" t="s">
        <v>452</v>
      </c>
      <c r="X45" s="33" t="s">
        <v>441</v>
      </c>
      <c r="Y45" s="29" t="s">
        <v>468</v>
      </c>
      <c r="Z45" s="33" t="s">
        <v>442</v>
      </c>
      <c r="AA45" s="30" t="s">
        <v>469</v>
      </c>
      <c r="AB45" s="33" t="s">
        <v>470</v>
      </c>
      <c r="AC45" s="30" t="s">
        <v>503</v>
      </c>
      <c r="AD45" s="30" t="s">
        <v>474</v>
      </c>
      <c r="AE45" s="32" t="s">
        <v>471</v>
      </c>
      <c r="AF45" s="33" t="s">
        <v>288</v>
      </c>
      <c r="AG45" s="33" t="s">
        <v>289</v>
      </c>
      <c r="AH45" s="33" t="s">
        <v>289</v>
      </c>
      <c r="AI45" s="33" t="s">
        <v>288</v>
      </c>
      <c r="AJ45" s="33" t="s">
        <v>288</v>
      </c>
      <c r="AK45" s="33" t="s">
        <v>288</v>
      </c>
      <c r="AL45" s="33" t="s">
        <v>288</v>
      </c>
      <c r="AM45" s="33" t="s">
        <v>289</v>
      </c>
      <c r="AN45" s="33" t="s">
        <v>288</v>
      </c>
      <c r="AO45" s="33" t="s">
        <v>290</v>
      </c>
      <c r="AP45" s="33" t="s">
        <v>446</v>
      </c>
    </row>
    <row r="46" customFormat="false" ht="61.5" hidden="false" customHeight="true" outlineLevel="0" collapsed="false">
      <c r="A46" s="17" t="s">
        <v>207</v>
      </c>
      <c r="B46" s="18" t="s">
        <v>226</v>
      </c>
      <c r="C46" s="19" t="n">
        <v>80</v>
      </c>
      <c r="D46" s="33" t="s">
        <v>472</v>
      </c>
      <c r="E46" s="33" t="s">
        <v>427</v>
      </c>
      <c r="F46" s="33" t="s">
        <v>428</v>
      </c>
      <c r="G46" s="33" t="s">
        <v>429</v>
      </c>
      <c r="H46" s="33" t="s">
        <v>430</v>
      </c>
      <c r="I46" s="33" t="s">
        <v>431</v>
      </c>
      <c r="J46" s="33" t="s">
        <v>432</v>
      </c>
      <c r="K46" s="33" t="s">
        <v>433</v>
      </c>
      <c r="L46" s="32" t="s">
        <v>476</v>
      </c>
      <c r="M46" s="33" t="s">
        <v>411</v>
      </c>
      <c r="N46" s="33" t="s">
        <v>435</v>
      </c>
      <c r="O46" s="33" t="s">
        <v>448</v>
      </c>
      <c r="P46" s="33" t="s">
        <v>436</v>
      </c>
      <c r="Q46" s="33" t="s">
        <v>449</v>
      </c>
      <c r="R46" s="32" t="s">
        <v>466</v>
      </c>
      <c r="S46" s="33" t="s">
        <v>438</v>
      </c>
      <c r="T46" s="33" t="s">
        <v>439</v>
      </c>
      <c r="U46" s="33" t="s">
        <v>450</v>
      </c>
      <c r="V46" s="29" t="s">
        <v>473</v>
      </c>
      <c r="W46" s="33" t="s">
        <v>452</v>
      </c>
      <c r="X46" s="33" t="s">
        <v>441</v>
      </c>
      <c r="Y46" s="29" t="s">
        <v>468</v>
      </c>
      <c r="Z46" s="33" t="s">
        <v>442</v>
      </c>
      <c r="AA46" s="30" t="s">
        <v>469</v>
      </c>
      <c r="AB46" s="33" t="s">
        <v>470</v>
      </c>
      <c r="AC46" s="30" t="s">
        <v>503</v>
      </c>
      <c r="AD46" s="30" t="s">
        <v>474</v>
      </c>
      <c r="AE46" s="32" t="s">
        <v>471</v>
      </c>
      <c r="AF46" s="33" t="s">
        <v>288</v>
      </c>
      <c r="AG46" s="33" t="s">
        <v>289</v>
      </c>
      <c r="AH46" s="33" t="s">
        <v>289</v>
      </c>
      <c r="AI46" s="33" t="s">
        <v>288</v>
      </c>
      <c r="AJ46" s="33" t="s">
        <v>288</v>
      </c>
      <c r="AK46" s="33" t="s">
        <v>288</v>
      </c>
      <c r="AL46" s="33" t="s">
        <v>288</v>
      </c>
      <c r="AM46" s="33" t="s">
        <v>289</v>
      </c>
      <c r="AN46" s="33" t="s">
        <v>288</v>
      </c>
      <c r="AO46" s="33" t="s">
        <v>290</v>
      </c>
      <c r="AP46" s="33" t="s">
        <v>446</v>
      </c>
    </row>
    <row r="47" customFormat="false" ht="61.5" hidden="false" customHeight="true" outlineLevel="0" collapsed="false">
      <c r="A47" s="17" t="s">
        <v>207</v>
      </c>
      <c r="B47" s="18" t="s">
        <v>227</v>
      </c>
      <c r="C47" s="19" t="n">
        <v>85</v>
      </c>
      <c r="D47" s="33" t="s">
        <v>472</v>
      </c>
      <c r="E47" s="33" t="s">
        <v>427</v>
      </c>
      <c r="F47" s="33" t="s">
        <v>428</v>
      </c>
      <c r="G47" s="33" t="s">
        <v>429</v>
      </c>
      <c r="H47" s="33" t="s">
        <v>430</v>
      </c>
      <c r="I47" s="33" t="s">
        <v>431</v>
      </c>
      <c r="J47" s="33" t="s">
        <v>432</v>
      </c>
      <c r="K47" s="33" t="s">
        <v>433</v>
      </c>
      <c r="L47" s="32" t="s">
        <v>476</v>
      </c>
      <c r="M47" s="33" t="s">
        <v>411</v>
      </c>
      <c r="N47" s="33" t="s">
        <v>435</v>
      </c>
      <c r="O47" s="33" t="s">
        <v>448</v>
      </c>
      <c r="P47" s="33" t="s">
        <v>436</v>
      </c>
      <c r="Q47" s="33" t="s">
        <v>449</v>
      </c>
      <c r="R47" s="32" t="s">
        <v>466</v>
      </c>
      <c r="S47" s="33" t="s">
        <v>438</v>
      </c>
      <c r="T47" s="33" t="s">
        <v>439</v>
      </c>
      <c r="U47" s="33" t="s">
        <v>450</v>
      </c>
      <c r="V47" s="29" t="s">
        <v>473</v>
      </c>
      <c r="W47" s="33" t="s">
        <v>452</v>
      </c>
      <c r="X47" s="33" t="s">
        <v>441</v>
      </c>
      <c r="Y47" s="29" t="s">
        <v>468</v>
      </c>
      <c r="Z47" s="33" t="s">
        <v>442</v>
      </c>
      <c r="AA47" s="30" t="s">
        <v>469</v>
      </c>
      <c r="AB47" s="33" t="s">
        <v>470</v>
      </c>
      <c r="AC47" s="30" t="s">
        <v>503</v>
      </c>
      <c r="AD47" s="30" t="s">
        <v>474</v>
      </c>
      <c r="AE47" s="32" t="s">
        <v>471</v>
      </c>
      <c r="AF47" s="33" t="s">
        <v>288</v>
      </c>
      <c r="AG47" s="33" t="s">
        <v>289</v>
      </c>
      <c r="AH47" s="33" t="s">
        <v>289</v>
      </c>
      <c r="AI47" s="33" t="s">
        <v>288</v>
      </c>
      <c r="AJ47" s="33" t="s">
        <v>288</v>
      </c>
      <c r="AK47" s="33" t="s">
        <v>288</v>
      </c>
      <c r="AL47" s="33" t="s">
        <v>288</v>
      </c>
      <c r="AM47" s="33" t="s">
        <v>289</v>
      </c>
      <c r="AN47" s="33" t="s">
        <v>288</v>
      </c>
      <c r="AO47" s="33" t="s">
        <v>290</v>
      </c>
      <c r="AP47" s="33" t="s">
        <v>446</v>
      </c>
    </row>
    <row r="48" customFormat="false" ht="61.5" hidden="false" customHeight="true" outlineLevel="0" collapsed="false">
      <c r="A48" s="17" t="s">
        <v>207</v>
      </c>
      <c r="B48" s="18" t="s">
        <v>228</v>
      </c>
      <c r="C48" s="19" t="n">
        <v>86</v>
      </c>
      <c r="D48" s="33" t="s">
        <v>464</v>
      </c>
      <c r="E48" s="33" t="s">
        <v>427</v>
      </c>
      <c r="F48" s="33" t="s">
        <v>428</v>
      </c>
      <c r="G48" s="33" t="s">
        <v>429</v>
      </c>
      <c r="H48" s="33" t="s">
        <v>430</v>
      </c>
      <c r="I48" s="33" t="s">
        <v>431</v>
      </c>
      <c r="J48" s="33" t="s">
        <v>432</v>
      </c>
      <c r="K48" s="33" t="s">
        <v>433</v>
      </c>
      <c r="L48" s="33" t="s">
        <v>504</v>
      </c>
      <c r="M48" s="33" t="s">
        <v>411</v>
      </c>
      <c r="N48" s="33" t="s">
        <v>435</v>
      </c>
      <c r="O48" s="33" t="s">
        <v>448</v>
      </c>
      <c r="P48" s="33" t="s">
        <v>436</v>
      </c>
      <c r="Q48" s="33" t="s">
        <v>449</v>
      </c>
      <c r="R48" s="33" t="s">
        <v>477</v>
      </c>
      <c r="S48" s="33" t="s">
        <v>438</v>
      </c>
      <c r="T48" s="33" t="s">
        <v>439</v>
      </c>
      <c r="U48" s="33" t="s">
        <v>505</v>
      </c>
      <c r="V48" s="33" t="s">
        <v>506</v>
      </c>
      <c r="W48" s="33" t="s">
        <v>452</v>
      </c>
      <c r="X48" s="33" t="s">
        <v>441</v>
      </c>
      <c r="Y48" s="33" t="s">
        <v>507</v>
      </c>
      <c r="Z48" s="33" t="s">
        <v>442</v>
      </c>
      <c r="AA48" s="33" t="s">
        <v>508</v>
      </c>
      <c r="AB48" s="33" t="s">
        <v>509</v>
      </c>
      <c r="AC48" s="32" t="s">
        <v>510</v>
      </c>
      <c r="AD48" s="32" t="s">
        <v>511</v>
      </c>
      <c r="AE48" s="32" t="s">
        <v>512</v>
      </c>
      <c r="AF48" s="33" t="s">
        <v>288</v>
      </c>
      <c r="AG48" s="33" t="s">
        <v>289</v>
      </c>
      <c r="AH48" s="33" t="s">
        <v>289</v>
      </c>
      <c r="AI48" s="33" t="s">
        <v>288</v>
      </c>
      <c r="AJ48" s="33" t="s">
        <v>288</v>
      </c>
      <c r="AK48" s="33" t="s">
        <v>288</v>
      </c>
      <c r="AL48" s="33" t="s">
        <v>288</v>
      </c>
      <c r="AM48" s="33" t="s">
        <v>289</v>
      </c>
      <c r="AN48" s="33" t="s">
        <v>288</v>
      </c>
      <c r="AO48" s="33" t="s">
        <v>290</v>
      </c>
      <c r="AP48" s="33" t="s">
        <v>446</v>
      </c>
    </row>
    <row r="49" customFormat="false" ht="61.5" hidden="false" customHeight="true" outlineLevel="0" collapsed="false">
      <c r="A49" s="17" t="s">
        <v>207</v>
      </c>
      <c r="B49" s="18" t="s">
        <v>229</v>
      </c>
      <c r="C49" s="19" t="n">
        <v>420</v>
      </c>
      <c r="D49" s="33" t="s">
        <v>464</v>
      </c>
      <c r="E49" s="33" t="s">
        <v>427</v>
      </c>
      <c r="F49" s="33" t="s">
        <v>428</v>
      </c>
      <c r="G49" s="33" t="s">
        <v>429</v>
      </c>
      <c r="H49" s="33" t="s">
        <v>430</v>
      </c>
      <c r="I49" s="33" t="s">
        <v>431</v>
      </c>
      <c r="J49" s="33" t="s">
        <v>432</v>
      </c>
      <c r="K49" s="33" t="s">
        <v>433</v>
      </c>
      <c r="L49" s="33" t="s">
        <v>513</v>
      </c>
      <c r="M49" s="33" t="s">
        <v>411</v>
      </c>
      <c r="N49" s="33" t="s">
        <v>435</v>
      </c>
      <c r="O49" s="33" t="s">
        <v>448</v>
      </c>
      <c r="P49" s="33" t="s">
        <v>436</v>
      </c>
      <c r="Q49" s="33" t="s">
        <v>449</v>
      </c>
      <c r="R49" s="33" t="s">
        <v>514</v>
      </c>
      <c r="S49" s="33" t="s">
        <v>438</v>
      </c>
      <c r="T49" s="33" t="s">
        <v>439</v>
      </c>
      <c r="U49" s="33" t="s">
        <v>450</v>
      </c>
      <c r="V49" s="33" t="s">
        <v>506</v>
      </c>
      <c r="W49" s="33" t="s">
        <v>452</v>
      </c>
      <c r="X49" s="33" t="s">
        <v>441</v>
      </c>
      <c r="Y49" s="33" t="s">
        <v>507</v>
      </c>
      <c r="Z49" s="33" t="s">
        <v>442</v>
      </c>
      <c r="AA49" s="32" t="s">
        <v>515</v>
      </c>
      <c r="AB49" s="33" t="s">
        <v>470</v>
      </c>
      <c r="AC49" s="32" t="s">
        <v>516</v>
      </c>
      <c r="AD49" s="32" t="s">
        <v>517</v>
      </c>
      <c r="AE49" s="32" t="s">
        <v>490</v>
      </c>
      <c r="AF49" s="33" t="s">
        <v>288</v>
      </c>
      <c r="AG49" s="33" t="s">
        <v>289</v>
      </c>
      <c r="AH49" s="33" t="s">
        <v>289</v>
      </c>
      <c r="AI49" s="33" t="s">
        <v>288</v>
      </c>
      <c r="AJ49" s="33" t="s">
        <v>288</v>
      </c>
      <c r="AK49" s="33" t="s">
        <v>288</v>
      </c>
      <c r="AL49" s="33" t="s">
        <v>288</v>
      </c>
      <c r="AM49" s="33" t="s">
        <v>289</v>
      </c>
      <c r="AN49" s="33" t="s">
        <v>288</v>
      </c>
      <c r="AO49" s="33" t="s">
        <v>290</v>
      </c>
      <c r="AP49" s="33" t="s">
        <v>446</v>
      </c>
    </row>
    <row r="50" customFormat="false" ht="61.5" hidden="false" customHeight="true" outlineLevel="0" collapsed="false">
      <c r="A50" s="17" t="s">
        <v>207</v>
      </c>
      <c r="B50" s="18" t="s">
        <v>230</v>
      </c>
      <c r="C50" s="19" t="n">
        <v>495</v>
      </c>
      <c r="D50" s="33" t="s">
        <v>464</v>
      </c>
      <c r="E50" s="33" t="s">
        <v>427</v>
      </c>
      <c r="F50" s="33" t="s">
        <v>428</v>
      </c>
      <c r="G50" s="33" t="s">
        <v>429</v>
      </c>
      <c r="H50" s="33" t="s">
        <v>430</v>
      </c>
      <c r="I50" s="33" t="s">
        <v>431</v>
      </c>
      <c r="J50" s="33" t="s">
        <v>432</v>
      </c>
      <c r="K50" s="33" t="s">
        <v>433</v>
      </c>
      <c r="L50" s="33" t="s">
        <v>504</v>
      </c>
      <c r="M50" s="33" t="s">
        <v>411</v>
      </c>
      <c r="N50" s="33" t="s">
        <v>435</v>
      </c>
      <c r="O50" s="33" t="s">
        <v>448</v>
      </c>
      <c r="P50" s="33" t="s">
        <v>436</v>
      </c>
      <c r="Q50" s="33" t="s">
        <v>449</v>
      </c>
      <c r="R50" s="33" t="s">
        <v>477</v>
      </c>
      <c r="S50" s="33" t="s">
        <v>438</v>
      </c>
      <c r="T50" s="33" t="s">
        <v>439</v>
      </c>
      <c r="U50" s="33" t="s">
        <v>505</v>
      </c>
      <c r="V50" s="33" t="s">
        <v>506</v>
      </c>
      <c r="W50" s="33" t="s">
        <v>452</v>
      </c>
      <c r="X50" s="33" t="s">
        <v>441</v>
      </c>
      <c r="Y50" s="33" t="s">
        <v>507</v>
      </c>
      <c r="Z50" s="33" t="s">
        <v>442</v>
      </c>
      <c r="AA50" s="33" t="s">
        <v>508</v>
      </c>
      <c r="AB50" s="33" t="s">
        <v>509</v>
      </c>
      <c r="AC50" s="32" t="s">
        <v>510</v>
      </c>
      <c r="AD50" s="32" t="s">
        <v>511</v>
      </c>
      <c r="AE50" s="32" t="s">
        <v>512</v>
      </c>
      <c r="AF50" s="33" t="s">
        <v>288</v>
      </c>
      <c r="AG50" s="33" t="s">
        <v>289</v>
      </c>
      <c r="AH50" s="33" t="s">
        <v>289</v>
      </c>
      <c r="AI50" s="33" t="s">
        <v>288</v>
      </c>
      <c r="AJ50" s="33" t="s">
        <v>288</v>
      </c>
      <c r="AK50" s="33" t="s">
        <v>288</v>
      </c>
      <c r="AL50" s="33" t="s">
        <v>288</v>
      </c>
      <c r="AM50" s="33" t="s">
        <v>289</v>
      </c>
      <c r="AN50" s="33" t="s">
        <v>288</v>
      </c>
      <c r="AO50" s="33" t="s">
        <v>290</v>
      </c>
      <c r="AP50" s="33" t="s">
        <v>446</v>
      </c>
    </row>
    <row r="51" customFormat="false" ht="61.5" hidden="false" customHeight="true" outlineLevel="0" collapsed="false">
      <c r="A51" s="17" t="s">
        <v>207</v>
      </c>
      <c r="B51" s="18" t="s">
        <v>231</v>
      </c>
      <c r="C51" s="19" t="n">
        <v>75</v>
      </c>
      <c r="D51" s="32" t="s">
        <v>302</v>
      </c>
      <c r="E51" s="33" t="s">
        <v>427</v>
      </c>
      <c r="F51" s="33" t="s">
        <v>428</v>
      </c>
      <c r="G51" s="33" t="s">
        <v>429</v>
      </c>
      <c r="H51" s="33" t="s">
        <v>430</v>
      </c>
      <c r="I51" s="33" t="s">
        <v>431</v>
      </c>
      <c r="J51" s="33" t="s">
        <v>432</v>
      </c>
      <c r="K51" s="33" t="s">
        <v>433</v>
      </c>
      <c r="L51" s="29" t="s">
        <v>305</v>
      </c>
      <c r="M51" s="33" t="s">
        <v>411</v>
      </c>
      <c r="N51" s="33" t="s">
        <v>435</v>
      </c>
      <c r="O51" s="33" t="s">
        <v>448</v>
      </c>
      <c r="P51" s="33" t="s">
        <v>436</v>
      </c>
      <c r="Q51" s="33" t="s">
        <v>462</v>
      </c>
      <c r="R51" s="29" t="s">
        <v>305</v>
      </c>
      <c r="S51" s="33" t="s">
        <v>438</v>
      </c>
      <c r="T51" s="33" t="s">
        <v>439</v>
      </c>
      <c r="U51" s="33" t="s">
        <v>463</v>
      </c>
      <c r="V51" s="30" t="s">
        <v>518</v>
      </c>
      <c r="W51" s="33" t="s">
        <v>452</v>
      </c>
      <c r="X51" s="33" t="s">
        <v>441</v>
      </c>
      <c r="Y51" s="30" t="s">
        <v>519</v>
      </c>
      <c r="Z51" s="33" t="s">
        <v>442</v>
      </c>
      <c r="AA51" s="31" t="s">
        <v>454</v>
      </c>
      <c r="AB51" s="32" t="s">
        <v>352</v>
      </c>
      <c r="AC51" s="31" t="s">
        <v>455</v>
      </c>
      <c r="AD51" s="30" t="s">
        <v>518</v>
      </c>
      <c r="AE51" s="29" t="s">
        <v>445</v>
      </c>
      <c r="AF51" s="33" t="s">
        <v>288</v>
      </c>
      <c r="AG51" s="33" t="s">
        <v>289</v>
      </c>
      <c r="AH51" s="33" t="s">
        <v>289</v>
      </c>
      <c r="AI51" s="33" t="s">
        <v>288</v>
      </c>
      <c r="AJ51" s="33" t="s">
        <v>288</v>
      </c>
      <c r="AK51" s="33" t="s">
        <v>288</v>
      </c>
      <c r="AL51" s="33" t="s">
        <v>288</v>
      </c>
      <c r="AM51" s="33" t="s">
        <v>289</v>
      </c>
      <c r="AN51" s="33" t="s">
        <v>288</v>
      </c>
      <c r="AO51" s="33" t="s">
        <v>290</v>
      </c>
      <c r="AP51" s="32" t="s">
        <v>520</v>
      </c>
    </row>
    <row r="52" customFormat="false" ht="61.5" hidden="false" customHeight="true" outlineLevel="0" collapsed="false">
      <c r="A52" s="17" t="s">
        <v>207</v>
      </c>
      <c r="B52" s="18" t="s">
        <v>232</v>
      </c>
      <c r="C52" s="19" t="n">
        <v>95</v>
      </c>
      <c r="D52" s="33" t="s">
        <v>464</v>
      </c>
      <c r="E52" s="33" t="s">
        <v>427</v>
      </c>
      <c r="F52" s="33" t="s">
        <v>428</v>
      </c>
      <c r="G52" s="33" t="s">
        <v>429</v>
      </c>
      <c r="H52" s="33" t="s">
        <v>430</v>
      </c>
      <c r="I52" s="33" t="s">
        <v>431</v>
      </c>
      <c r="J52" s="33" t="s">
        <v>432</v>
      </c>
      <c r="K52" s="33" t="s">
        <v>433</v>
      </c>
      <c r="L52" s="32" t="s">
        <v>476</v>
      </c>
      <c r="M52" s="33" t="s">
        <v>411</v>
      </c>
      <c r="N52" s="33" t="s">
        <v>435</v>
      </c>
      <c r="O52" s="33" t="s">
        <v>448</v>
      </c>
      <c r="P52" s="33" t="s">
        <v>436</v>
      </c>
      <c r="Q52" s="33" t="s">
        <v>449</v>
      </c>
      <c r="R52" s="32" t="s">
        <v>466</v>
      </c>
      <c r="S52" s="33" t="s">
        <v>438</v>
      </c>
      <c r="T52" s="33" t="s">
        <v>439</v>
      </c>
      <c r="U52" s="33" t="s">
        <v>450</v>
      </c>
      <c r="V52" s="29" t="s">
        <v>473</v>
      </c>
      <c r="W52" s="33" t="s">
        <v>452</v>
      </c>
      <c r="X52" s="33" t="s">
        <v>441</v>
      </c>
      <c r="Y52" s="29" t="s">
        <v>468</v>
      </c>
      <c r="Z52" s="33" t="s">
        <v>442</v>
      </c>
      <c r="AA52" s="29" t="s">
        <v>480</v>
      </c>
      <c r="AB52" s="33" t="s">
        <v>470</v>
      </c>
      <c r="AC52" s="29" t="s">
        <v>499</v>
      </c>
      <c r="AD52" s="29" t="s">
        <v>500</v>
      </c>
      <c r="AE52" s="32" t="s">
        <v>471</v>
      </c>
      <c r="AF52" s="33" t="s">
        <v>288</v>
      </c>
      <c r="AG52" s="33" t="s">
        <v>289</v>
      </c>
      <c r="AH52" s="33" t="s">
        <v>289</v>
      </c>
      <c r="AI52" s="33" t="s">
        <v>288</v>
      </c>
      <c r="AJ52" s="33" t="s">
        <v>288</v>
      </c>
      <c r="AK52" s="33" t="s">
        <v>288</v>
      </c>
      <c r="AL52" s="33" t="s">
        <v>288</v>
      </c>
      <c r="AM52" s="33" t="s">
        <v>289</v>
      </c>
      <c r="AN52" s="33" t="s">
        <v>288</v>
      </c>
      <c r="AO52" s="33" t="s">
        <v>290</v>
      </c>
      <c r="AP52" s="33" t="s">
        <v>446</v>
      </c>
    </row>
    <row r="53" customFormat="false" ht="61.5" hidden="false" customHeight="true" outlineLevel="0" collapsed="false">
      <c r="A53" s="17" t="s">
        <v>207</v>
      </c>
      <c r="B53" s="18" t="s">
        <v>233</v>
      </c>
      <c r="C53" s="19" t="n">
        <v>78</v>
      </c>
      <c r="D53" s="33" t="s">
        <v>472</v>
      </c>
      <c r="E53" s="33" t="s">
        <v>427</v>
      </c>
      <c r="F53" s="33" t="s">
        <v>428</v>
      </c>
      <c r="G53" s="33" t="s">
        <v>429</v>
      </c>
      <c r="H53" s="33" t="s">
        <v>430</v>
      </c>
      <c r="I53" s="33" t="s">
        <v>431</v>
      </c>
      <c r="J53" s="33" t="s">
        <v>432</v>
      </c>
      <c r="K53" s="33" t="s">
        <v>433</v>
      </c>
      <c r="L53" s="32" t="s">
        <v>476</v>
      </c>
      <c r="M53" s="33" t="s">
        <v>411</v>
      </c>
      <c r="N53" s="33" t="s">
        <v>435</v>
      </c>
      <c r="O53" s="33" t="s">
        <v>448</v>
      </c>
      <c r="P53" s="33" t="s">
        <v>436</v>
      </c>
      <c r="Q53" s="33" t="s">
        <v>449</v>
      </c>
      <c r="R53" s="32" t="s">
        <v>466</v>
      </c>
      <c r="S53" s="33" t="s">
        <v>438</v>
      </c>
      <c r="T53" s="33" t="s">
        <v>439</v>
      </c>
      <c r="U53" s="33" t="s">
        <v>450</v>
      </c>
      <c r="V53" s="29" t="s">
        <v>473</v>
      </c>
      <c r="W53" s="33" t="s">
        <v>452</v>
      </c>
      <c r="X53" s="33" t="s">
        <v>441</v>
      </c>
      <c r="Y53" s="29" t="s">
        <v>468</v>
      </c>
      <c r="Z53" s="33" t="s">
        <v>442</v>
      </c>
      <c r="AA53" s="30" t="s">
        <v>469</v>
      </c>
      <c r="AB53" s="33" t="s">
        <v>470</v>
      </c>
      <c r="AC53" s="30" t="s">
        <v>503</v>
      </c>
      <c r="AD53" s="30" t="s">
        <v>474</v>
      </c>
      <c r="AE53" s="32" t="s">
        <v>471</v>
      </c>
      <c r="AF53" s="33" t="s">
        <v>288</v>
      </c>
      <c r="AG53" s="33" t="s">
        <v>289</v>
      </c>
      <c r="AH53" s="33" t="s">
        <v>289</v>
      </c>
      <c r="AI53" s="33" t="s">
        <v>288</v>
      </c>
      <c r="AJ53" s="33" t="s">
        <v>288</v>
      </c>
      <c r="AK53" s="33" t="s">
        <v>288</v>
      </c>
      <c r="AL53" s="33" t="s">
        <v>288</v>
      </c>
      <c r="AM53" s="33" t="s">
        <v>289</v>
      </c>
      <c r="AN53" s="33" t="s">
        <v>288</v>
      </c>
      <c r="AO53" s="33" t="s">
        <v>290</v>
      </c>
      <c r="AP53" s="33" t="s">
        <v>446</v>
      </c>
    </row>
    <row r="54" customFormat="false" ht="61.5" hidden="false" customHeight="true" outlineLevel="0" collapsed="false">
      <c r="A54" s="17" t="s">
        <v>207</v>
      </c>
      <c r="B54" s="18" t="s">
        <v>234</v>
      </c>
      <c r="C54" s="19" t="n">
        <v>295</v>
      </c>
      <c r="D54" s="33" t="s">
        <v>475</v>
      </c>
      <c r="E54" s="33" t="s">
        <v>427</v>
      </c>
      <c r="F54" s="33" t="s">
        <v>428</v>
      </c>
      <c r="G54" s="33" t="s">
        <v>429</v>
      </c>
      <c r="H54" s="33" t="s">
        <v>430</v>
      </c>
      <c r="I54" s="33" t="s">
        <v>431</v>
      </c>
      <c r="J54" s="33" t="s">
        <v>432</v>
      </c>
      <c r="K54" s="33" t="s">
        <v>433</v>
      </c>
      <c r="L54" s="33" t="s">
        <v>504</v>
      </c>
      <c r="M54" s="33" t="s">
        <v>411</v>
      </c>
      <c r="N54" s="33" t="s">
        <v>435</v>
      </c>
      <c r="O54" s="33" t="s">
        <v>448</v>
      </c>
      <c r="P54" s="33" t="s">
        <v>436</v>
      </c>
      <c r="Q54" s="33" t="s">
        <v>449</v>
      </c>
      <c r="R54" s="33" t="s">
        <v>477</v>
      </c>
      <c r="S54" s="33" t="s">
        <v>438</v>
      </c>
      <c r="T54" s="33" t="s">
        <v>439</v>
      </c>
      <c r="U54" s="33" t="s">
        <v>505</v>
      </c>
      <c r="V54" s="32" t="s">
        <v>478</v>
      </c>
      <c r="W54" s="33" t="s">
        <v>452</v>
      </c>
      <c r="X54" s="33" t="s">
        <v>441</v>
      </c>
      <c r="Y54" s="32" t="s">
        <v>479</v>
      </c>
      <c r="Z54" s="33" t="s">
        <v>442</v>
      </c>
      <c r="AA54" s="29" t="s">
        <v>480</v>
      </c>
      <c r="AB54" s="33" t="s">
        <v>509</v>
      </c>
      <c r="AC54" s="29" t="s">
        <v>481</v>
      </c>
      <c r="AD54" s="29" t="s">
        <v>482</v>
      </c>
      <c r="AE54" s="32" t="s">
        <v>521</v>
      </c>
      <c r="AF54" s="33" t="s">
        <v>288</v>
      </c>
      <c r="AG54" s="33" t="s">
        <v>289</v>
      </c>
      <c r="AH54" s="33" t="s">
        <v>289</v>
      </c>
      <c r="AI54" s="33" t="s">
        <v>288</v>
      </c>
      <c r="AJ54" s="33" t="s">
        <v>288</v>
      </c>
      <c r="AK54" s="33" t="s">
        <v>288</v>
      </c>
      <c r="AL54" s="33" t="s">
        <v>288</v>
      </c>
      <c r="AM54" s="33" t="s">
        <v>289</v>
      </c>
      <c r="AN54" s="33" t="s">
        <v>288</v>
      </c>
      <c r="AO54" s="33" t="s">
        <v>290</v>
      </c>
      <c r="AP54" s="33" t="s">
        <v>446</v>
      </c>
    </row>
    <row r="55" customFormat="false" ht="61.5" hidden="false" customHeight="true" outlineLevel="0" collapsed="false">
      <c r="A55" s="17" t="s">
        <v>207</v>
      </c>
      <c r="B55" s="18" t="s">
        <v>235</v>
      </c>
      <c r="C55" s="19" t="n">
        <v>69</v>
      </c>
      <c r="D55" s="33" t="s">
        <v>475</v>
      </c>
      <c r="E55" s="33" t="s">
        <v>427</v>
      </c>
      <c r="F55" s="33" t="s">
        <v>428</v>
      </c>
      <c r="G55" s="33" t="s">
        <v>429</v>
      </c>
      <c r="H55" s="33" t="s">
        <v>430</v>
      </c>
      <c r="I55" s="33" t="s">
        <v>431</v>
      </c>
      <c r="J55" s="33" t="s">
        <v>432</v>
      </c>
      <c r="K55" s="33" t="s">
        <v>433</v>
      </c>
      <c r="L55" s="33" t="s">
        <v>504</v>
      </c>
      <c r="M55" s="33" t="s">
        <v>411</v>
      </c>
      <c r="N55" s="33" t="s">
        <v>435</v>
      </c>
      <c r="O55" s="33" t="s">
        <v>448</v>
      </c>
      <c r="P55" s="33" t="s">
        <v>436</v>
      </c>
      <c r="Q55" s="33" t="s">
        <v>449</v>
      </c>
      <c r="R55" s="33" t="s">
        <v>477</v>
      </c>
      <c r="S55" s="33" t="s">
        <v>438</v>
      </c>
      <c r="T55" s="33" t="s">
        <v>439</v>
      </c>
      <c r="U55" s="33" t="s">
        <v>450</v>
      </c>
      <c r="V55" s="32" t="s">
        <v>478</v>
      </c>
      <c r="W55" s="33" t="s">
        <v>452</v>
      </c>
      <c r="X55" s="33" t="s">
        <v>441</v>
      </c>
      <c r="Y55" s="32" t="s">
        <v>479</v>
      </c>
      <c r="Z55" s="33" t="s">
        <v>442</v>
      </c>
      <c r="AA55" s="32" t="s">
        <v>522</v>
      </c>
      <c r="AB55" s="33" t="s">
        <v>470</v>
      </c>
      <c r="AC55" s="32" t="s">
        <v>523</v>
      </c>
      <c r="AD55" s="32" t="s">
        <v>511</v>
      </c>
      <c r="AE55" s="32" t="s">
        <v>471</v>
      </c>
      <c r="AF55" s="33" t="s">
        <v>288</v>
      </c>
      <c r="AG55" s="33" t="s">
        <v>289</v>
      </c>
      <c r="AH55" s="33" t="s">
        <v>289</v>
      </c>
      <c r="AI55" s="33" t="s">
        <v>288</v>
      </c>
      <c r="AJ55" s="33" t="s">
        <v>288</v>
      </c>
      <c r="AK55" s="33" t="s">
        <v>288</v>
      </c>
      <c r="AL55" s="33" t="s">
        <v>288</v>
      </c>
      <c r="AM55" s="33" t="s">
        <v>289</v>
      </c>
      <c r="AN55" s="33" t="s">
        <v>288</v>
      </c>
      <c r="AO55" s="33" t="s">
        <v>290</v>
      </c>
      <c r="AP55" s="33" t="s">
        <v>446</v>
      </c>
    </row>
    <row r="56" customFormat="false" ht="61.5" hidden="false" customHeight="true" outlineLevel="0" collapsed="false">
      <c r="A56" s="17" t="s">
        <v>207</v>
      </c>
      <c r="B56" s="18" t="s">
        <v>236</v>
      </c>
      <c r="C56" s="19" t="n">
        <v>89</v>
      </c>
      <c r="D56" s="32" t="s">
        <v>302</v>
      </c>
      <c r="E56" s="33" t="s">
        <v>427</v>
      </c>
      <c r="F56" s="33" t="s">
        <v>428</v>
      </c>
      <c r="G56" s="33" t="s">
        <v>429</v>
      </c>
      <c r="H56" s="33" t="s">
        <v>430</v>
      </c>
      <c r="I56" s="33" t="s">
        <v>431</v>
      </c>
      <c r="J56" s="33" t="s">
        <v>432</v>
      </c>
      <c r="K56" s="33" t="s">
        <v>433</v>
      </c>
      <c r="L56" s="29" t="s">
        <v>305</v>
      </c>
      <c r="M56" s="33" t="s">
        <v>411</v>
      </c>
      <c r="N56" s="33" t="s">
        <v>435</v>
      </c>
      <c r="O56" s="33" t="s">
        <v>448</v>
      </c>
      <c r="P56" s="33" t="s">
        <v>436</v>
      </c>
      <c r="Q56" s="33" t="s">
        <v>462</v>
      </c>
      <c r="R56" s="29" t="s">
        <v>305</v>
      </c>
      <c r="S56" s="33" t="s">
        <v>438</v>
      </c>
      <c r="T56" s="33" t="s">
        <v>439</v>
      </c>
      <c r="U56" s="33" t="s">
        <v>463</v>
      </c>
      <c r="V56" s="30" t="s">
        <v>518</v>
      </c>
      <c r="W56" s="33" t="s">
        <v>452</v>
      </c>
      <c r="X56" s="33" t="s">
        <v>441</v>
      </c>
      <c r="Y56" s="30" t="s">
        <v>519</v>
      </c>
      <c r="Z56" s="33" t="s">
        <v>442</v>
      </c>
      <c r="AA56" s="31" t="s">
        <v>454</v>
      </c>
      <c r="AB56" s="32" t="s">
        <v>352</v>
      </c>
      <c r="AC56" s="31" t="s">
        <v>455</v>
      </c>
      <c r="AD56" s="30" t="s">
        <v>518</v>
      </c>
      <c r="AE56" s="29" t="s">
        <v>445</v>
      </c>
      <c r="AF56" s="33" t="s">
        <v>288</v>
      </c>
      <c r="AG56" s="33" t="s">
        <v>289</v>
      </c>
      <c r="AH56" s="33" t="s">
        <v>289</v>
      </c>
      <c r="AI56" s="33" t="s">
        <v>288</v>
      </c>
      <c r="AJ56" s="33" t="s">
        <v>288</v>
      </c>
      <c r="AK56" s="33" t="s">
        <v>288</v>
      </c>
      <c r="AL56" s="33" t="s">
        <v>288</v>
      </c>
      <c r="AM56" s="33" t="s">
        <v>289</v>
      </c>
      <c r="AN56" s="33" t="s">
        <v>288</v>
      </c>
      <c r="AO56" s="33" t="s">
        <v>290</v>
      </c>
      <c r="AP56" s="32" t="s">
        <v>520</v>
      </c>
    </row>
    <row r="57" customFormat="false" ht="61.5" hidden="false" customHeight="true" outlineLevel="0" collapsed="false">
      <c r="A57" s="17" t="s">
        <v>207</v>
      </c>
      <c r="B57" s="18" t="s">
        <v>237</v>
      </c>
      <c r="C57" s="19" t="n">
        <v>390</v>
      </c>
      <c r="D57" s="33" t="s">
        <v>464</v>
      </c>
      <c r="E57" s="33" t="s">
        <v>427</v>
      </c>
      <c r="F57" s="33" t="s">
        <v>428</v>
      </c>
      <c r="G57" s="33" t="s">
        <v>429</v>
      </c>
      <c r="H57" s="33" t="s">
        <v>430</v>
      </c>
      <c r="I57" s="33" t="s">
        <v>431</v>
      </c>
      <c r="J57" s="33" t="s">
        <v>432</v>
      </c>
      <c r="K57" s="33" t="s">
        <v>433</v>
      </c>
      <c r="L57" s="33" t="s">
        <v>504</v>
      </c>
      <c r="M57" s="33" t="s">
        <v>411</v>
      </c>
      <c r="N57" s="33" t="s">
        <v>435</v>
      </c>
      <c r="O57" s="33" t="s">
        <v>448</v>
      </c>
      <c r="P57" s="33" t="s">
        <v>436</v>
      </c>
      <c r="Q57" s="33" t="s">
        <v>449</v>
      </c>
      <c r="R57" s="33" t="s">
        <v>477</v>
      </c>
      <c r="S57" s="33" t="s">
        <v>438</v>
      </c>
      <c r="T57" s="33" t="s">
        <v>439</v>
      </c>
      <c r="U57" s="33" t="s">
        <v>505</v>
      </c>
      <c r="V57" s="33" t="s">
        <v>506</v>
      </c>
      <c r="W57" s="33" t="s">
        <v>452</v>
      </c>
      <c r="X57" s="33" t="s">
        <v>441</v>
      </c>
      <c r="Y57" s="33" t="s">
        <v>507</v>
      </c>
      <c r="Z57" s="33" t="s">
        <v>442</v>
      </c>
      <c r="AA57" s="33" t="s">
        <v>508</v>
      </c>
      <c r="AB57" s="33" t="s">
        <v>509</v>
      </c>
      <c r="AC57" s="32" t="s">
        <v>510</v>
      </c>
      <c r="AD57" s="32" t="s">
        <v>511</v>
      </c>
      <c r="AE57" s="32" t="s">
        <v>512</v>
      </c>
      <c r="AF57" s="33" t="s">
        <v>288</v>
      </c>
      <c r="AG57" s="33" t="s">
        <v>289</v>
      </c>
      <c r="AH57" s="33" t="s">
        <v>289</v>
      </c>
      <c r="AI57" s="33" t="s">
        <v>288</v>
      </c>
      <c r="AJ57" s="33" t="s">
        <v>288</v>
      </c>
      <c r="AK57" s="33" t="s">
        <v>288</v>
      </c>
      <c r="AL57" s="33" t="s">
        <v>288</v>
      </c>
      <c r="AM57" s="33" t="s">
        <v>289</v>
      </c>
      <c r="AN57" s="33" t="s">
        <v>288</v>
      </c>
      <c r="AO57" s="33" t="s">
        <v>290</v>
      </c>
      <c r="AP57" s="33" t="s">
        <v>446</v>
      </c>
    </row>
    <row r="58" customFormat="false" ht="61.5" hidden="false" customHeight="true" outlineLevel="0" collapsed="false">
      <c r="A58" s="17" t="s">
        <v>207</v>
      </c>
      <c r="B58" s="18" t="s">
        <v>238</v>
      </c>
      <c r="C58" s="19" t="n">
        <v>48</v>
      </c>
      <c r="D58" s="31" t="s">
        <v>402</v>
      </c>
      <c r="E58" s="32" t="s">
        <v>403</v>
      </c>
      <c r="F58" s="32" t="s">
        <v>404</v>
      </c>
      <c r="G58" s="32" t="s">
        <v>405</v>
      </c>
      <c r="H58" s="32" t="s">
        <v>406</v>
      </c>
      <c r="I58" s="32" t="s">
        <v>407</v>
      </c>
      <c r="J58" s="32" t="s">
        <v>408</v>
      </c>
      <c r="K58" s="32" t="s">
        <v>409</v>
      </c>
      <c r="L58" s="30" t="s">
        <v>460</v>
      </c>
      <c r="M58" s="33" t="s">
        <v>411</v>
      </c>
      <c r="N58" s="32" t="s">
        <v>412</v>
      </c>
      <c r="O58" s="32" t="s">
        <v>413</v>
      </c>
      <c r="P58" s="32" t="s">
        <v>414</v>
      </c>
      <c r="Q58" s="32" t="s">
        <v>493</v>
      </c>
      <c r="R58" s="31" t="s">
        <v>416</v>
      </c>
      <c r="S58" s="32" t="s">
        <v>417</v>
      </c>
      <c r="T58" s="32" t="s">
        <v>418</v>
      </c>
      <c r="U58" s="32" t="s">
        <v>494</v>
      </c>
      <c r="V58" s="29" t="s">
        <v>278</v>
      </c>
      <c r="W58" s="32" t="s">
        <v>420</v>
      </c>
      <c r="X58" s="32" t="s">
        <v>421</v>
      </c>
      <c r="Y58" s="29" t="s">
        <v>278</v>
      </c>
      <c r="Z58" s="32" t="s">
        <v>422</v>
      </c>
      <c r="AA58" s="29" t="s">
        <v>278</v>
      </c>
      <c r="AB58" s="30" t="s">
        <v>423</v>
      </c>
      <c r="AC58" s="29" t="s">
        <v>278</v>
      </c>
      <c r="AD58" s="29" t="s">
        <v>278</v>
      </c>
      <c r="AE58" s="30" t="s">
        <v>424</v>
      </c>
      <c r="AF58" s="33" t="s">
        <v>288</v>
      </c>
      <c r="AG58" s="33" t="s">
        <v>289</v>
      </c>
      <c r="AH58" s="33" t="s">
        <v>289</v>
      </c>
      <c r="AI58" s="33" t="s">
        <v>288</v>
      </c>
      <c r="AJ58" s="33" t="s">
        <v>288</v>
      </c>
      <c r="AK58" s="33" t="s">
        <v>288</v>
      </c>
      <c r="AL58" s="33" t="s">
        <v>288</v>
      </c>
      <c r="AM58" s="33" t="s">
        <v>289</v>
      </c>
      <c r="AN58" s="33" t="s">
        <v>288</v>
      </c>
      <c r="AO58" s="33" t="s">
        <v>290</v>
      </c>
      <c r="AP58" s="33" t="s">
        <v>446</v>
      </c>
    </row>
    <row r="59" customFormat="false" ht="61.5" hidden="false" customHeight="true" outlineLevel="0" collapsed="false">
      <c r="A59" s="17" t="s">
        <v>207</v>
      </c>
      <c r="B59" s="18" t="s">
        <v>239</v>
      </c>
      <c r="C59" s="19" t="n">
        <v>58</v>
      </c>
      <c r="D59" s="32" t="s">
        <v>495</v>
      </c>
      <c r="E59" s="33" t="s">
        <v>427</v>
      </c>
      <c r="F59" s="33" t="s">
        <v>428</v>
      </c>
      <c r="G59" s="33" t="s">
        <v>429</v>
      </c>
      <c r="H59" s="33" t="s">
        <v>430</v>
      </c>
      <c r="I59" s="33" t="s">
        <v>431</v>
      </c>
      <c r="J59" s="33" t="s">
        <v>432</v>
      </c>
      <c r="K59" s="33" t="s">
        <v>433</v>
      </c>
      <c r="L59" s="29" t="s">
        <v>496</v>
      </c>
      <c r="M59" s="33" t="s">
        <v>411</v>
      </c>
      <c r="N59" s="33" t="s">
        <v>435</v>
      </c>
      <c r="O59" s="33" t="s">
        <v>448</v>
      </c>
      <c r="P59" s="33" t="s">
        <v>436</v>
      </c>
      <c r="Q59" s="33" t="s">
        <v>449</v>
      </c>
      <c r="R59" s="29" t="s">
        <v>497</v>
      </c>
      <c r="S59" s="33" t="s">
        <v>438</v>
      </c>
      <c r="T59" s="33" t="s">
        <v>439</v>
      </c>
      <c r="U59" s="33" t="s">
        <v>505</v>
      </c>
      <c r="V59" s="29" t="s">
        <v>473</v>
      </c>
      <c r="W59" s="33" t="s">
        <v>452</v>
      </c>
      <c r="X59" s="33" t="s">
        <v>441</v>
      </c>
      <c r="Y59" s="29" t="s">
        <v>468</v>
      </c>
      <c r="Z59" s="33" t="s">
        <v>442</v>
      </c>
      <c r="AA59" s="29" t="s">
        <v>480</v>
      </c>
      <c r="AB59" s="29" t="s">
        <v>524</v>
      </c>
      <c r="AC59" s="29" t="s">
        <v>499</v>
      </c>
      <c r="AD59" s="29" t="s">
        <v>500</v>
      </c>
      <c r="AE59" s="29" t="s">
        <v>525</v>
      </c>
      <c r="AF59" s="33" t="s">
        <v>288</v>
      </c>
      <c r="AG59" s="33" t="s">
        <v>289</v>
      </c>
      <c r="AH59" s="33" t="s">
        <v>289</v>
      </c>
      <c r="AI59" s="33" t="s">
        <v>288</v>
      </c>
      <c r="AJ59" s="33" t="s">
        <v>288</v>
      </c>
      <c r="AK59" s="33" t="s">
        <v>288</v>
      </c>
      <c r="AL59" s="33" t="s">
        <v>288</v>
      </c>
      <c r="AM59" s="33" t="s">
        <v>289</v>
      </c>
      <c r="AN59" s="33" t="s">
        <v>288</v>
      </c>
      <c r="AO59" s="33" t="s">
        <v>290</v>
      </c>
      <c r="AP59" s="33" t="s">
        <v>446</v>
      </c>
    </row>
    <row r="60" customFormat="false" ht="61.5" hidden="false" customHeight="true" outlineLevel="0" collapsed="false">
      <c r="A60" s="17" t="s">
        <v>207</v>
      </c>
      <c r="B60" s="18" t="s">
        <v>240</v>
      </c>
      <c r="C60" s="19" t="n">
        <v>88</v>
      </c>
      <c r="D60" s="32" t="s">
        <v>495</v>
      </c>
      <c r="E60" s="33" t="s">
        <v>427</v>
      </c>
      <c r="F60" s="33" t="s">
        <v>428</v>
      </c>
      <c r="G60" s="33" t="s">
        <v>429</v>
      </c>
      <c r="H60" s="33" t="s">
        <v>430</v>
      </c>
      <c r="I60" s="33" t="s">
        <v>431</v>
      </c>
      <c r="J60" s="33" t="s">
        <v>432</v>
      </c>
      <c r="K60" s="33" t="s">
        <v>433</v>
      </c>
      <c r="L60" s="29" t="s">
        <v>496</v>
      </c>
      <c r="M60" s="33" t="s">
        <v>411</v>
      </c>
      <c r="N60" s="33" t="s">
        <v>435</v>
      </c>
      <c r="O60" s="33" t="s">
        <v>448</v>
      </c>
      <c r="P60" s="33" t="s">
        <v>436</v>
      </c>
      <c r="Q60" s="33" t="s">
        <v>449</v>
      </c>
      <c r="R60" s="29" t="s">
        <v>497</v>
      </c>
      <c r="S60" s="33" t="s">
        <v>438</v>
      </c>
      <c r="T60" s="33" t="s">
        <v>439</v>
      </c>
      <c r="U60" s="33" t="s">
        <v>505</v>
      </c>
      <c r="V60" s="29" t="s">
        <v>473</v>
      </c>
      <c r="W60" s="33" t="s">
        <v>452</v>
      </c>
      <c r="X60" s="33" t="s">
        <v>441</v>
      </c>
      <c r="Y60" s="29" t="s">
        <v>468</v>
      </c>
      <c r="Z60" s="33" t="s">
        <v>442</v>
      </c>
      <c r="AA60" s="30" t="s">
        <v>469</v>
      </c>
      <c r="AB60" s="29" t="s">
        <v>524</v>
      </c>
      <c r="AC60" s="30" t="s">
        <v>503</v>
      </c>
      <c r="AD60" s="30" t="s">
        <v>474</v>
      </c>
      <c r="AE60" s="29" t="s">
        <v>525</v>
      </c>
      <c r="AF60" s="33" t="s">
        <v>288</v>
      </c>
      <c r="AG60" s="33" t="s">
        <v>289</v>
      </c>
      <c r="AH60" s="33" t="s">
        <v>289</v>
      </c>
      <c r="AI60" s="33" t="s">
        <v>288</v>
      </c>
      <c r="AJ60" s="33" t="s">
        <v>288</v>
      </c>
      <c r="AK60" s="33" t="s">
        <v>288</v>
      </c>
      <c r="AL60" s="33" t="s">
        <v>288</v>
      </c>
      <c r="AM60" s="33" t="s">
        <v>289</v>
      </c>
      <c r="AN60" s="33" t="s">
        <v>288</v>
      </c>
      <c r="AO60" s="33" t="s">
        <v>290</v>
      </c>
      <c r="AP60" s="33" t="s">
        <v>446</v>
      </c>
    </row>
    <row r="61" customFormat="false" ht="61.5" hidden="false" customHeight="true" outlineLevel="0" collapsed="false">
      <c r="A61" s="17" t="s">
        <v>207</v>
      </c>
      <c r="B61" s="18" t="s">
        <v>241</v>
      </c>
      <c r="C61" s="19" t="n">
        <v>115</v>
      </c>
      <c r="D61" s="33" t="s">
        <v>464</v>
      </c>
      <c r="E61" s="33" t="s">
        <v>427</v>
      </c>
      <c r="F61" s="33" t="s">
        <v>428</v>
      </c>
      <c r="G61" s="33" t="s">
        <v>429</v>
      </c>
      <c r="H61" s="33" t="s">
        <v>430</v>
      </c>
      <c r="I61" s="33" t="s">
        <v>431</v>
      </c>
      <c r="J61" s="33" t="s">
        <v>432</v>
      </c>
      <c r="K61" s="33" t="s">
        <v>433</v>
      </c>
      <c r="L61" s="32" t="s">
        <v>476</v>
      </c>
      <c r="M61" s="33" t="s">
        <v>411</v>
      </c>
      <c r="N61" s="33" t="s">
        <v>435</v>
      </c>
      <c r="O61" s="33" t="s">
        <v>448</v>
      </c>
      <c r="P61" s="33" t="s">
        <v>436</v>
      </c>
      <c r="Q61" s="33" t="s">
        <v>449</v>
      </c>
      <c r="R61" s="32" t="s">
        <v>466</v>
      </c>
      <c r="S61" s="33" t="s">
        <v>438</v>
      </c>
      <c r="T61" s="33" t="s">
        <v>439</v>
      </c>
      <c r="U61" s="33" t="s">
        <v>450</v>
      </c>
      <c r="V61" s="29" t="s">
        <v>473</v>
      </c>
      <c r="W61" s="33" t="s">
        <v>452</v>
      </c>
      <c r="X61" s="33" t="s">
        <v>441</v>
      </c>
      <c r="Y61" s="29" t="s">
        <v>468</v>
      </c>
      <c r="Z61" s="33" t="s">
        <v>442</v>
      </c>
      <c r="AA61" s="29" t="s">
        <v>480</v>
      </c>
      <c r="AB61" s="33" t="s">
        <v>470</v>
      </c>
      <c r="AC61" s="29" t="s">
        <v>499</v>
      </c>
      <c r="AD61" s="29" t="s">
        <v>500</v>
      </c>
      <c r="AE61" s="32" t="s">
        <v>471</v>
      </c>
      <c r="AF61" s="33" t="s">
        <v>288</v>
      </c>
      <c r="AG61" s="33" t="s">
        <v>289</v>
      </c>
      <c r="AH61" s="33" t="s">
        <v>289</v>
      </c>
      <c r="AI61" s="33" t="s">
        <v>288</v>
      </c>
      <c r="AJ61" s="33" t="s">
        <v>288</v>
      </c>
      <c r="AK61" s="33" t="s">
        <v>288</v>
      </c>
      <c r="AL61" s="33" t="s">
        <v>288</v>
      </c>
      <c r="AM61" s="33" t="s">
        <v>289</v>
      </c>
      <c r="AN61" s="33" t="s">
        <v>288</v>
      </c>
      <c r="AO61" s="33" t="s">
        <v>290</v>
      </c>
      <c r="AP61" s="33" t="s">
        <v>446</v>
      </c>
    </row>
    <row r="62" customFormat="false" ht="61.5" hidden="false" customHeight="true" outlineLevel="0" collapsed="false">
      <c r="A62" s="17" t="s">
        <v>207</v>
      </c>
      <c r="B62" s="18" t="s">
        <v>242</v>
      </c>
      <c r="C62" s="19" t="n">
        <v>290</v>
      </c>
      <c r="D62" s="33" t="s">
        <v>464</v>
      </c>
      <c r="E62" s="33" t="s">
        <v>427</v>
      </c>
      <c r="F62" s="33" t="s">
        <v>428</v>
      </c>
      <c r="G62" s="33" t="s">
        <v>429</v>
      </c>
      <c r="H62" s="33" t="s">
        <v>430</v>
      </c>
      <c r="I62" s="33" t="s">
        <v>431</v>
      </c>
      <c r="J62" s="33" t="s">
        <v>432</v>
      </c>
      <c r="K62" s="33" t="s">
        <v>433</v>
      </c>
      <c r="L62" s="33" t="s">
        <v>504</v>
      </c>
      <c r="M62" s="33" t="s">
        <v>411</v>
      </c>
      <c r="N62" s="33" t="s">
        <v>435</v>
      </c>
      <c r="O62" s="33" t="s">
        <v>448</v>
      </c>
      <c r="P62" s="33" t="s">
        <v>436</v>
      </c>
      <c r="Q62" s="33" t="s">
        <v>449</v>
      </c>
      <c r="R62" s="33" t="s">
        <v>477</v>
      </c>
      <c r="S62" s="33" t="s">
        <v>438</v>
      </c>
      <c r="T62" s="33" t="s">
        <v>439</v>
      </c>
      <c r="U62" s="33" t="s">
        <v>505</v>
      </c>
      <c r="V62" s="33" t="s">
        <v>506</v>
      </c>
      <c r="W62" s="33" t="s">
        <v>452</v>
      </c>
      <c r="X62" s="33" t="s">
        <v>441</v>
      </c>
      <c r="Y62" s="33" t="s">
        <v>507</v>
      </c>
      <c r="Z62" s="33" t="s">
        <v>442</v>
      </c>
      <c r="AA62" s="33" t="s">
        <v>508</v>
      </c>
      <c r="AB62" s="33" t="s">
        <v>509</v>
      </c>
      <c r="AC62" s="32" t="s">
        <v>510</v>
      </c>
      <c r="AD62" s="32" t="s">
        <v>511</v>
      </c>
      <c r="AE62" s="32" t="s">
        <v>512</v>
      </c>
      <c r="AF62" s="33" t="s">
        <v>288</v>
      </c>
      <c r="AG62" s="33" t="s">
        <v>289</v>
      </c>
      <c r="AH62" s="33" t="s">
        <v>289</v>
      </c>
      <c r="AI62" s="33" t="s">
        <v>288</v>
      </c>
      <c r="AJ62" s="33" t="s">
        <v>288</v>
      </c>
      <c r="AK62" s="33" t="s">
        <v>288</v>
      </c>
      <c r="AL62" s="33" t="s">
        <v>288</v>
      </c>
      <c r="AM62" s="33" t="s">
        <v>289</v>
      </c>
      <c r="AN62" s="33" t="s">
        <v>288</v>
      </c>
      <c r="AO62" s="33" t="s">
        <v>290</v>
      </c>
      <c r="AP62" s="33" t="s">
        <v>446</v>
      </c>
    </row>
    <row r="63" customFormat="false" ht="61.5" hidden="false" customHeight="true" outlineLevel="0" collapsed="false">
      <c r="A63" s="17" t="s">
        <v>207</v>
      </c>
      <c r="B63" s="18" t="s">
        <v>243</v>
      </c>
      <c r="C63" s="19" t="n">
        <v>560</v>
      </c>
      <c r="D63" s="33" t="s">
        <v>464</v>
      </c>
      <c r="E63" s="33" t="s">
        <v>427</v>
      </c>
      <c r="F63" s="33" t="s">
        <v>428</v>
      </c>
      <c r="G63" s="33" t="s">
        <v>429</v>
      </c>
      <c r="H63" s="33" t="s">
        <v>430</v>
      </c>
      <c r="I63" s="33" t="s">
        <v>431</v>
      </c>
      <c r="J63" s="33" t="s">
        <v>432</v>
      </c>
      <c r="K63" s="33" t="s">
        <v>433</v>
      </c>
      <c r="L63" s="33" t="s">
        <v>504</v>
      </c>
      <c r="M63" s="33" t="s">
        <v>411</v>
      </c>
      <c r="N63" s="33" t="s">
        <v>435</v>
      </c>
      <c r="O63" s="33" t="s">
        <v>448</v>
      </c>
      <c r="P63" s="33" t="s">
        <v>436</v>
      </c>
      <c r="Q63" s="33" t="s">
        <v>449</v>
      </c>
      <c r="R63" s="33" t="s">
        <v>477</v>
      </c>
      <c r="S63" s="33" t="s">
        <v>438</v>
      </c>
      <c r="T63" s="33" t="s">
        <v>439</v>
      </c>
      <c r="U63" s="33" t="s">
        <v>505</v>
      </c>
      <c r="V63" s="33" t="s">
        <v>506</v>
      </c>
      <c r="W63" s="33" t="s">
        <v>452</v>
      </c>
      <c r="X63" s="33" t="s">
        <v>441</v>
      </c>
      <c r="Y63" s="33" t="s">
        <v>507</v>
      </c>
      <c r="Z63" s="33" t="s">
        <v>442</v>
      </c>
      <c r="AA63" s="32" t="s">
        <v>515</v>
      </c>
      <c r="AB63" s="33" t="s">
        <v>509</v>
      </c>
      <c r="AC63" s="32" t="s">
        <v>516</v>
      </c>
      <c r="AD63" s="32" t="s">
        <v>517</v>
      </c>
      <c r="AE63" s="32" t="s">
        <v>512</v>
      </c>
      <c r="AF63" s="33" t="s">
        <v>288</v>
      </c>
      <c r="AG63" s="33" t="s">
        <v>289</v>
      </c>
      <c r="AH63" s="33" t="s">
        <v>289</v>
      </c>
      <c r="AI63" s="33" t="s">
        <v>288</v>
      </c>
      <c r="AJ63" s="33" t="s">
        <v>288</v>
      </c>
      <c r="AK63" s="33" t="s">
        <v>288</v>
      </c>
      <c r="AL63" s="33" t="s">
        <v>288</v>
      </c>
      <c r="AM63" s="33" t="s">
        <v>289</v>
      </c>
      <c r="AN63" s="33" t="s">
        <v>288</v>
      </c>
      <c r="AO63" s="33" t="s">
        <v>290</v>
      </c>
      <c r="AP63" s="33" t="s">
        <v>446</v>
      </c>
    </row>
    <row r="64" customFormat="false" ht="61.5" hidden="false" customHeight="true" outlineLevel="0" collapsed="false">
      <c r="A64" s="17" t="s">
        <v>207</v>
      </c>
      <c r="B64" s="18" t="s">
        <v>244</v>
      </c>
      <c r="C64" s="19" t="n">
        <v>80</v>
      </c>
      <c r="D64" s="33" t="s">
        <v>472</v>
      </c>
      <c r="E64" s="33" t="s">
        <v>427</v>
      </c>
      <c r="F64" s="33" t="s">
        <v>428</v>
      </c>
      <c r="G64" s="33" t="s">
        <v>429</v>
      </c>
      <c r="H64" s="33" t="s">
        <v>430</v>
      </c>
      <c r="I64" s="33" t="s">
        <v>431</v>
      </c>
      <c r="J64" s="33" t="s">
        <v>432</v>
      </c>
      <c r="K64" s="33" t="s">
        <v>433</v>
      </c>
      <c r="L64" s="32" t="s">
        <v>476</v>
      </c>
      <c r="M64" s="33" t="s">
        <v>411</v>
      </c>
      <c r="N64" s="33" t="s">
        <v>435</v>
      </c>
      <c r="O64" s="33" t="s">
        <v>448</v>
      </c>
      <c r="P64" s="33" t="s">
        <v>436</v>
      </c>
      <c r="Q64" s="33" t="s">
        <v>449</v>
      </c>
      <c r="R64" s="32" t="s">
        <v>466</v>
      </c>
      <c r="S64" s="33" t="s">
        <v>438</v>
      </c>
      <c r="T64" s="33" t="s">
        <v>439</v>
      </c>
      <c r="U64" s="33" t="s">
        <v>505</v>
      </c>
      <c r="V64" s="29" t="s">
        <v>473</v>
      </c>
      <c r="W64" s="33" t="s">
        <v>452</v>
      </c>
      <c r="X64" s="33" t="s">
        <v>441</v>
      </c>
      <c r="Y64" s="29" t="s">
        <v>468</v>
      </c>
      <c r="Z64" s="33" t="s">
        <v>442</v>
      </c>
      <c r="AA64" s="29" t="s">
        <v>480</v>
      </c>
      <c r="AB64" s="32" t="s">
        <v>526</v>
      </c>
      <c r="AC64" s="29" t="s">
        <v>499</v>
      </c>
      <c r="AD64" s="29" t="s">
        <v>500</v>
      </c>
      <c r="AE64" s="29" t="s">
        <v>525</v>
      </c>
      <c r="AF64" s="33" t="s">
        <v>288</v>
      </c>
      <c r="AG64" s="33" t="s">
        <v>289</v>
      </c>
      <c r="AH64" s="33" t="s">
        <v>289</v>
      </c>
      <c r="AI64" s="33" t="s">
        <v>288</v>
      </c>
      <c r="AJ64" s="33" t="s">
        <v>288</v>
      </c>
      <c r="AK64" s="33" t="s">
        <v>288</v>
      </c>
      <c r="AL64" s="33" t="s">
        <v>288</v>
      </c>
      <c r="AM64" s="33" t="s">
        <v>289</v>
      </c>
      <c r="AN64" s="33" t="s">
        <v>288</v>
      </c>
      <c r="AO64" s="33" t="s">
        <v>290</v>
      </c>
      <c r="AP64" s="33" t="s">
        <v>446</v>
      </c>
    </row>
    <row r="65" customFormat="false" ht="61.5" hidden="false" customHeight="true" outlineLevel="0" collapsed="false">
      <c r="A65" s="17" t="s">
        <v>207</v>
      </c>
      <c r="B65" s="18" t="s">
        <v>245</v>
      </c>
      <c r="C65" s="19" t="n">
        <v>185</v>
      </c>
      <c r="D65" s="33" t="s">
        <v>464</v>
      </c>
      <c r="E65" s="33" t="s">
        <v>427</v>
      </c>
      <c r="F65" s="33" t="s">
        <v>428</v>
      </c>
      <c r="G65" s="33" t="s">
        <v>429</v>
      </c>
      <c r="H65" s="33" t="s">
        <v>430</v>
      </c>
      <c r="I65" s="33" t="s">
        <v>431</v>
      </c>
      <c r="J65" s="33" t="s">
        <v>432</v>
      </c>
      <c r="K65" s="33" t="s">
        <v>433</v>
      </c>
      <c r="L65" s="33" t="s">
        <v>527</v>
      </c>
      <c r="M65" s="33" t="s">
        <v>411</v>
      </c>
      <c r="N65" s="33" t="s">
        <v>435</v>
      </c>
      <c r="O65" s="33" t="s">
        <v>448</v>
      </c>
      <c r="P65" s="33" t="s">
        <v>436</v>
      </c>
      <c r="Q65" s="33" t="s">
        <v>462</v>
      </c>
      <c r="R65" s="33" t="s">
        <v>528</v>
      </c>
      <c r="S65" s="33" t="s">
        <v>438</v>
      </c>
      <c r="T65" s="33" t="s">
        <v>439</v>
      </c>
      <c r="U65" s="33" t="s">
        <v>463</v>
      </c>
      <c r="V65" s="33" t="s">
        <v>506</v>
      </c>
      <c r="W65" s="33" t="s">
        <v>452</v>
      </c>
      <c r="X65" s="33" t="s">
        <v>441</v>
      </c>
      <c r="Y65" s="33" t="s">
        <v>507</v>
      </c>
      <c r="Z65" s="33" t="s">
        <v>442</v>
      </c>
      <c r="AA65" s="33" t="s">
        <v>508</v>
      </c>
      <c r="AB65" s="33" t="s">
        <v>488</v>
      </c>
      <c r="AC65" s="32" t="s">
        <v>529</v>
      </c>
      <c r="AD65" s="32" t="s">
        <v>530</v>
      </c>
      <c r="AE65" s="32" t="s">
        <v>490</v>
      </c>
      <c r="AF65" s="33" t="s">
        <v>288</v>
      </c>
      <c r="AG65" s="33" t="s">
        <v>289</v>
      </c>
      <c r="AH65" s="33" t="s">
        <v>289</v>
      </c>
      <c r="AI65" s="33" t="s">
        <v>288</v>
      </c>
      <c r="AJ65" s="33" t="s">
        <v>288</v>
      </c>
      <c r="AK65" s="33" t="s">
        <v>288</v>
      </c>
      <c r="AL65" s="33" t="s">
        <v>288</v>
      </c>
      <c r="AM65" s="33" t="s">
        <v>289</v>
      </c>
      <c r="AN65" s="33" t="s">
        <v>288</v>
      </c>
      <c r="AO65" s="33" t="s">
        <v>290</v>
      </c>
      <c r="AP65" s="33" t="s">
        <v>446</v>
      </c>
    </row>
    <row r="66" customFormat="false" ht="61.5" hidden="false" customHeight="true" outlineLevel="0" collapsed="false">
      <c r="A66" s="17" t="s">
        <v>207</v>
      </c>
      <c r="B66" s="18" t="s">
        <v>246</v>
      </c>
      <c r="C66" s="19" t="n">
        <v>68</v>
      </c>
      <c r="D66" s="29" t="s">
        <v>393</v>
      </c>
      <c r="E66" s="33" t="s">
        <v>427</v>
      </c>
      <c r="F66" s="33" t="s">
        <v>428</v>
      </c>
      <c r="G66" s="33" t="s">
        <v>429</v>
      </c>
      <c r="H66" s="33" t="s">
        <v>430</v>
      </c>
      <c r="I66" s="33" t="s">
        <v>431</v>
      </c>
      <c r="J66" s="33" t="s">
        <v>432</v>
      </c>
      <c r="K66" s="33" t="s">
        <v>433</v>
      </c>
      <c r="L66" s="30" t="s">
        <v>518</v>
      </c>
      <c r="M66" s="33" t="s">
        <v>411</v>
      </c>
      <c r="N66" s="33" t="s">
        <v>435</v>
      </c>
      <c r="O66" s="33" t="s">
        <v>448</v>
      </c>
      <c r="P66" s="33" t="s">
        <v>436</v>
      </c>
      <c r="Q66" s="33" t="s">
        <v>449</v>
      </c>
      <c r="R66" s="30" t="s">
        <v>518</v>
      </c>
      <c r="S66" s="33" t="s">
        <v>438</v>
      </c>
      <c r="T66" s="33" t="s">
        <v>439</v>
      </c>
      <c r="U66" s="33" t="s">
        <v>450</v>
      </c>
      <c r="V66" s="30" t="s">
        <v>518</v>
      </c>
      <c r="W66" s="33" t="s">
        <v>452</v>
      </c>
      <c r="X66" s="33" t="s">
        <v>441</v>
      </c>
      <c r="Y66" s="30" t="s">
        <v>519</v>
      </c>
      <c r="Z66" s="33" t="s">
        <v>442</v>
      </c>
      <c r="AA66" s="30" t="s">
        <v>531</v>
      </c>
      <c r="AB66" s="29" t="s">
        <v>328</v>
      </c>
      <c r="AC66" s="30" t="s">
        <v>532</v>
      </c>
      <c r="AD66" s="30" t="s">
        <v>518</v>
      </c>
      <c r="AE66" s="29" t="s">
        <v>445</v>
      </c>
      <c r="AF66" s="33" t="s">
        <v>288</v>
      </c>
      <c r="AG66" s="33" t="s">
        <v>289</v>
      </c>
      <c r="AH66" s="33" t="s">
        <v>289</v>
      </c>
      <c r="AI66" s="33" t="s">
        <v>288</v>
      </c>
      <c r="AJ66" s="33" t="s">
        <v>288</v>
      </c>
      <c r="AK66" s="33" t="s">
        <v>288</v>
      </c>
      <c r="AL66" s="33" t="s">
        <v>288</v>
      </c>
      <c r="AM66" s="33" t="s">
        <v>289</v>
      </c>
      <c r="AN66" s="33" t="s">
        <v>288</v>
      </c>
      <c r="AO66" s="33" t="s">
        <v>290</v>
      </c>
      <c r="AP66" s="32" t="s">
        <v>520</v>
      </c>
    </row>
    <row r="67" customFormat="false" ht="61.5" hidden="false" customHeight="true" outlineLevel="0" collapsed="false">
      <c r="A67" s="17" t="s">
        <v>207</v>
      </c>
      <c r="B67" s="18" t="s">
        <v>247</v>
      </c>
      <c r="C67" s="19" t="n">
        <v>38</v>
      </c>
      <c r="D67" s="33" t="s">
        <v>475</v>
      </c>
      <c r="E67" s="33" t="s">
        <v>427</v>
      </c>
      <c r="F67" s="33" t="s">
        <v>428</v>
      </c>
      <c r="G67" s="33" t="s">
        <v>429</v>
      </c>
      <c r="H67" s="33" t="s">
        <v>430</v>
      </c>
      <c r="I67" s="33" t="s">
        <v>431</v>
      </c>
      <c r="J67" s="33" t="s">
        <v>432</v>
      </c>
      <c r="K67" s="33" t="s">
        <v>433</v>
      </c>
      <c r="L67" s="29" t="s">
        <v>496</v>
      </c>
      <c r="M67" s="33" t="s">
        <v>411</v>
      </c>
      <c r="N67" s="33" t="s">
        <v>435</v>
      </c>
      <c r="O67" s="33" t="s">
        <v>448</v>
      </c>
      <c r="P67" s="33" t="s">
        <v>436</v>
      </c>
      <c r="Q67" s="33" t="s">
        <v>449</v>
      </c>
      <c r="R67" s="29" t="s">
        <v>497</v>
      </c>
      <c r="S67" s="33" t="s">
        <v>438</v>
      </c>
      <c r="T67" s="33" t="s">
        <v>439</v>
      </c>
      <c r="U67" s="33" t="s">
        <v>450</v>
      </c>
      <c r="V67" s="29" t="s">
        <v>473</v>
      </c>
      <c r="W67" s="33" t="s">
        <v>452</v>
      </c>
      <c r="X67" s="33" t="s">
        <v>441</v>
      </c>
      <c r="Y67" s="29" t="s">
        <v>468</v>
      </c>
      <c r="Z67" s="33" t="s">
        <v>442</v>
      </c>
      <c r="AA67" s="29" t="s">
        <v>480</v>
      </c>
      <c r="AB67" s="32" t="s">
        <v>498</v>
      </c>
      <c r="AC67" s="30" t="s">
        <v>533</v>
      </c>
      <c r="AD67" s="30" t="s">
        <v>447</v>
      </c>
      <c r="AE67" s="32" t="s">
        <v>471</v>
      </c>
      <c r="AF67" s="33" t="s">
        <v>288</v>
      </c>
      <c r="AG67" s="33" t="s">
        <v>289</v>
      </c>
      <c r="AH67" s="33" t="s">
        <v>289</v>
      </c>
      <c r="AI67" s="33" t="s">
        <v>288</v>
      </c>
      <c r="AJ67" s="33" t="s">
        <v>288</v>
      </c>
      <c r="AK67" s="33" t="s">
        <v>288</v>
      </c>
      <c r="AL67" s="33" t="s">
        <v>288</v>
      </c>
      <c r="AM67" s="33" t="s">
        <v>289</v>
      </c>
      <c r="AN67" s="33" t="s">
        <v>288</v>
      </c>
      <c r="AO67" s="33" t="s">
        <v>290</v>
      </c>
      <c r="AP67" s="32" t="s">
        <v>520</v>
      </c>
    </row>
    <row r="68" customFormat="false" ht="61.5" hidden="false" customHeight="true" outlineLevel="0" collapsed="false">
      <c r="A68" s="17" t="s">
        <v>207</v>
      </c>
      <c r="B68" s="18" t="s">
        <v>248</v>
      </c>
      <c r="C68" s="19" t="n">
        <v>32</v>
      </c>
      <c r="D68" s="33" t="s">
        <v>475</v>
      </c>
      <c r="E68" s="33" t="s">
        <v>427</v>
      </c>
      <c r="F68" s="33" t="s">
        <v>428</v>
      </c>
      <c r="G68" s="33" t="s">
        <v>429</v>
      </c>
      <c r="H68" s="33" t="s">
        <v>430</v>
      </c>
      <c r="I68" s="33" t="s">
        <v>431</v>
      </c>
      <c r="J68" s="33" t="s">
        <v>432</v>
      </c>
      <c r="K68" s="33" t="s">
        <v>433</v>
      </c>
      <c r="L68" s="33" t="s">
        <v>504</v>
      </c>
      <c r="M68" s="33" t="s">
        <v>411</v>
      </c>
      <c r="N68" s="33" t="s">
        <v>435</v>
      </c>
      <c r="O68" s="33" t="s">
        <v>448</v>
      </c>
      <c r="P68" s="33" t="s">
        <v>436</v>
      </c>
      <c r="Q68" s="33" t="s">
        <v>449</v>
      </c>
      <c r="R68" s="33" t="s">
        <v>477</v>
      </c>
      <c r="S68" s="33" t="s">
        <v>438</v>
      </c>
      <c r="T68" s="33" t="s">
        <v>439</v>
      </c>
      <c r="U68" s="33" t="s">
        <v>450</v>
      </c>
      <c r="V68" s="32" t="s">
        <v>478</v>
      </c>
      <c r="W68" s="33" t="s">
        <v>452</v>
      </c>
      <c r="X68" s="33" t="s">
        <v>441</v>
      </c>
      <c r="Y68" s="32" t="s">
        <v>479</v>
      </c>
      <c r="Z68" s="33" t="s">
        <v>442</v>
      </c>
      <c r="AA68" s="32" t="s">
        <v>522</v>
      </c>
      <c r="AB68" s="33" t="s">
        <v>470</v>
      </c>
      <c r="AC68" s="32" t="s">
        <v>523</v>
      </c>
      <c r="AD68" s="32" t="s">
        <v>511</v>
      </c>
      <c r="AE68" s="32" t="s">
        <v>471</v>
      </c>
      <c r="AF68" s="33" t="s">
        <v>288</v>
      </c>
      <c r="AG68" s="33" t="s">
        <v>289</v>
      </c>
      <c r="AH68" s="33" t="s">
        <v>289</v>
      </c>
      <c r="AI68" s="33" t="s">
        <v>288</v>
      </c>
      <c r="AJ68" s="33" t="s">
        <v>288</v>
      </c>
      <c r="AK68" s="33" t="s">
        <v>288</v>
      </c>
      <c r="AL68" s="33" t="s">
        <v>288</v>
      </c>
      <c r="AM68" s="33" t="s">
        <v>289</v>
      </c>
      <c r="AN68" s="33" t="s">
        <v>288</v>
      </c>
      <c r="AO68" s="33" t="s">
        <v>290</v>
      </c>
      <c r="AP68" s="33" t="s">
        <v>446</v>
      </c>
    </row>
    <row r="69" customFormat="false" ht="15" hidden="false" customHeight="false" outlineLevel="0" collapsed="false">
      <c r="A69" s="10" t="s">
        <v>249</v>
      </c>
      <c r="B69" s="10" t="s">
        <v>250</v>
      </c>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row>
    <row r="70" customFormat="false" ht="61.5" hidden="false" customHeight="true" outlineLevel="0" collapsed="false">
      <c r="A70" s="20" t="s">
        <v>249</v>
      </c>
      <c r="B70" s="21" t="s">
        <v>251</v>
      </c>
      <c r="C70" s="22" t="n">
        <v>42</v>
      </c>
      <c r="D70" s="29" t="s">
        <v>268</v>
      </c>
      <c r="E70" s="29" t="s">
        <v>381</v>
      </c>
      <c r="F70" s="29" t="s">
        <v>382</v>
      </c>
      <c r="G70" s="29" t="s">
        <v>383</v>
      </c>
      <c r="H70" s="29" t="s">
        <v>384</v>
      </c>
      <c r="I70" s="29" t="s">
        <v>385</v>
      </c>
      <c r="J70" s="29" t="s">
        <v>386</v>
      </c>
      <c r="K70" s="29" t="s">
        <v>387</v>
      </c>
      <c r="L70" s="29" t="s">
        <v>534</v>
      </c>
      <c r="M70" s="32" t="s">
        <v>275</v>
      </c>
      <c r="N70" s="29" t="s">
        <v>389</v>
      </c>
      <c r="O70" s="32" t="s">
        <v>277</v>
      </c>
      <c r="P70" s="29" t="s">
        <v>278</v>
      </c>
      <c r="Q70" s="29" t="s">
        <v>535</v>
      </c>
      <c r="R70" s="30" t="s">
        <v>536</v>
      </c>
      <c r="S70" s="29" t="s">
        <v>325</v>
      </c>
      <c r="T70" s="29" t="s">
        <v>383</v>
      </c>
      <c r="U70" s="29" t="s">
        <v>382</v>
      </c>
      <c r="V70" s="29" t="s">
        <v>278</v>
      </c>
      <c r="W70" s="32" t="s">
        <v>284</v>
      </c>
      <c r="X70" s="29" t="s">
        <v>537</v>
      </c>
      <c r="Y70" s="29" t="s">
        <v>278</v>
      </c>
      <c r="Z70" s="29" t="s">
        <v>278</v>
      </c>
      <c r="AA70" s="29" t="s">
        <v>278</v>
      </c>
      <c r="AB70" s="29" t="s">
        <v>328</v>
      </c>
      <c r="AC70" s="32" t="s">
        <v>287</v>
      </c>
      <c r="AD70" s="32" t="s">
        <v>287</v>
      </c>
      <c r="AE70" s="32" t="s">
        <v>332</v>
      </c>
      <c r="AF70" s="33" t="s">
        <v>288</v>
      </c>
      <c r="AG70" s="33" t="s">
        <v>289</v>
      </c>
      <c r="AH70" s="33" t="s">
        <v>289</v>
      </c>
      <c r="AI70" s="33" t="s">
        <v>288</v>
      </c>
      <c r="AJ70" s="33" t="s">
        <v>288</v>
      </c>
      <c r="AK70" s="33" t="s">
        <v>288</v>
      </c>
      <c r="AL70" s="33" t="s">
        <v>288</v>
      </c>
      <c r="AM70" s="33" t="s">
        <v>289</v>
      </c>
      <c r="AN70" s="33" t="s">
        <v>288</v>
      </c>
      <c r="AO70" s="33" t="s">
        <v>290</v>
      </c>
      <c r="AP70" s="32" t="s">
        <v>538</v>
      </c>
    </row>
    <row r="71" customFormat="false" ht="61.5" hidden="false" customHeight="true" outlineLevel="0" collapsed="false">
      <c r="A71" s="20" t="s">
        <v>249</v>
      </c>
      <c r="B71" s="21" t="s">
        <v>252</v>
      </c>
      <c r="C71" s="22" t="n">
        <v>55</v>
      </c>
      <c r="D71" s="29" t="s">
        <v>268</v>
      </c>
      <c r="E71" s="29" t="s">
        <v>381</v>
      </c>
      <c r="F71" s="29" t="s">
        <v>382</v>
      </c>
      <c r="G71" s="29" t="s">
        <v>383</v>
      </c>
      <c r="H71" s="29" t="s">
        <v>384</v>
      </c>
      <c r="I71" s="29" t="s">
        <v>385</v>
      </c>
      <c r="J71" s="29" t="s">
        <v>386</v>
      </c>
      <c r="K71" s="29" t="s">
        <v>387</v>
      </c>
      <c r="L71" s="29" t="s">
        <v>534</v>
      </c>
      <c r="M71" s="32" t="s">
        <v>275</v>
      </c>
      <c r="N71" s="29" t="s">
        <v>389</v>
      </c>
      <c r="O71" s="32" t="s">
        <v>277</v>
      </c>
      <c r="P71" s="29" t="s">
        <v>278</v>
      </c>
      <c r="Q71" s="29" t="s">
        <v>535</v>
      </c>
      <c r="R71" s="30" t="s">
        <v>536</v>
      </c>
      <c r="S71" s="29" t="s">
        <v>325</v>
      </c>
      <c r="T71" s="29" t="s">
        <v>383</v>
      </c>
      <c r="U71" s="29" t="s">
        <v>382</v>
      </c>
      <c r="V71" s="29" t="s">
        <v>278</v>
      </c>
      <c r="W71" s="32" t="s">
        <v>284</v>
      </c>
      <c r="X71" s="29" t="s">
        <v>537</v>
      </c>
      <c r="Y71" s="29" t="s">
        <v>278</v>
      </c>
      <c r="Z71" s="29" t="s">
        <v>278</v>
      </c>
      <c r="AA71" s="29" t="s">
        <v>278</v>
      </c>
      <c r="AB71" s="29" t="s">
        <v>328</v>
      </c>
      <c r="AC71" s="32" t="s">
        <v>287</v>
      </c>
      <c r="AD71" s="32" t="s">
        <v>287</v>
      </c>
      <c r="AE71" s="32" t="s">
        <v>332</v>
      </c>
      <c r="AF71" s="33" t="s">
        <v>288</v>
      </c>
      <c r="AG71" s="33" t="s">
        <v>289</v>
      </c>
      <c r="AH71" s="33" t="s">
        <v>289</v>
      </c>
      <c r="AI71" s="33" t="s">
        <v>288</v>
      </c>
      <c r="AJ71" s="33" t="s">
        <v>288</v>
      </c>
      <c r="AK71" s="33" t="s">
        <v>288</v>
      </c>
      <c r="AL71" s="33" t="s">
        <v>288</v>
      </c>
      <c r="AM71" s="33" t="s">
        <v>289</v>
      </c>
      <c r="AN71" s="33" t="s">
        <v>288</v>
      </c>
      <c r="AO71" s="33" t="s">
        <v>290</v>
      </c>
      <c r="AP71" s="32" t="s">
        <v>538</v>
      </c>
    </row>
    <row r="72" customFormat="false" ht="15" hidden="false" customHeight="false" outlineLevel="0" collapsed="false">
      <c r="A72" s="10" t="s">
        <v>253</v>
      </c>
      <c r="B72" s="10" t="s">
        <v>254</v>
      </c>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row>
    <row r="73" customFormat="false" ht="61.5" hidden="false" customHeight="true" outlineLevel="0" collapsed="false">
      <c r="A73" s="23" t="s">
        <v>253</v>
      </c>
      <c r="B73" s="24" t="s">
        <v>255</v>
      </c>
      <c r="C73" s="25" t="n">
        <v>62</v>
      </c>
      <c r="D73" s="29" t="s">
        <v>268</v>
      </c>
      <c r="E73" s="29" t="s">
        <v>381</v>
      </c>
      <c r="F73" s="29" t="s">
        <v>382</v>
      </c>
      <c r="G73" s="29" t="s">
        <v>383</v>
      </c>
      <c r="H73" s="29" t="s">
        <v>384</v>
      </c>
      <c r="I73" s="29" t="s">
        <v>385</v>
      </c>
      <c r="J73" s="29" t="s">
        <v>386</v>
      </c>
      <c r="K73" s="29" t="s">
        <v>387</v>
      </c>
      <c r="L73" s="29" t="s">
        <v>539</v>
      </c>
      <c r="M73" s="29" t="s">
        <v>540</v>
      </c>
      <c r="N73" s="29" t="s">
        <v>389</v>
      </c>
      <c r="O73" s="32" t="s">
        <v>277</v>
      </c>
      <c r="P73" s="29" t="s">
        <v>278</v>
      </c>
      <c r="Q73" s="29" t="s">
        <v>535</v>
      </c>
      <c r="R73" s="29" t="s">
        <v>541</v>
      </c>
      <c r="S73" s="29" t="s">
        <v>325</v>
      </c>
      <c r="T73" s="29" t="s">
        <v>383</v>
      </c>
      <c r="U73" s="29" t="s">
        <v>382</v>
      </c>
      <c r="V73" s="29" t="s">
        <v>542</v>
      </c>
      <c r="W73" s="32" t="s">
        <v>284</v>
      </c>
      <c r="X73" s="29" t="s">
        <v>537</v>
      </c>
      <c r="Y73" s="29" t="s">
        <v>543</v>
      </c>
      <c r="Z73" s="29" t="s">
        <v>278</v>
      </c>
      <c r="AA73" s="29" t="s">
        <v>544</v>
      </c>
      <c r="AB73" s="29" t="s">
        <v>328</v>
      </c>
      <c r="AC73" s="32" t="s">
        <v>287</v>
      </c>
      <c r="AD73" s="29" t="s">
        <v>278</v>
      </c>
      <c r="AE73" s="32" t="s">
        <v>332</v>
      </c>
      <c r="AF73" s="33" t="s">
        <v>288</v>
      </c>
      <c r="AG73" s="33" t="s">
        <v>289</v>
      </c>
      <c r="AH73" s="33" t="s">
        <v>289</v>
      </c>
      <c r="AI73" s="33" t="s">
        <v>288</v>
      </c>
      <c r="AJ73" s="32" t="s">
        <v>545</v>
      </c>
      <c r="AK73" s="33" t="s">
        <v>288</v>
      </c>
      <c r="AL73" s="33" t="s">
        <v>288</v>
      </c>
      <c r="AM73" s="33" t="s">
        <v>289</v>
      </c>
      <c r="AN73" s="33" t="s">
        <v>288</v>
      </c>
      <c r="AO73" s="32" t="s">
        <v>546</v>
      </c>
      <c r="AP73" s="32" t="s">
        <v>330</v>
      </c>
    </row>
    <row r="74" customFormat="false" ht="61.5" hidden="false" customHeight="true" outlineLevel="0" collapsed="false">
      <c r="A74" s="23" t="s">
        <v>253</v>
      </c>
      <c r="B74" s="24" t="s">
        <v>256</v>
      </c>
      <c r="C74" s="25" t="n">
        <v>58</v>
      </c>
      <c r="D74" s="29" t="s">
        <v>268</v>
      </c>
      <c r="E74" s="30" t="s">
        <v>547</v>
      </c>
      <c r="F74" s="30" t="s">
        <v>548</v>
      </c>
      <c r="G74" s="30" t="s">
        <v>549</v>
      </c>
      <c r="H74" s="30" t="s">
        <v>550</v>
      </c>
      <c r="I74" s="30" t="s">
        <v>549</v>
      </c>
      <c r="J74" s="31" t="s">
        <v>551</v>
      </c>
      <c r="K74" s="31" t="s">
        <v>552</v>
      </c>
      <c r="L74" s="29" t="s">
        <v>539</v>
      </c>
      <c r="M74" s="32" t="s">
        <v>553</v>
      </c>
      <c r="N74" s="30" t="s">
        <v>554</v>
      </c>
      <c r="O74" s="32" t="s">
        <v>277</v>
      </c>
      <c r="P74" s="31" t="s">
        <v>555</v>
      </c>
      <c r="Q74" s="30" t="s">
        <v>556</v>
      </c>
      <c r="R74" s="29" t="s">
        <v>541</v>
      </c>
      <c r="S74" s="30" t="s">
        <v>557</v>
      </c>
      <c r="T74" s="30" t="s">
        <v>549</v>
      </c>
      <c r="U74" s="30" t="s">
        <v>558</v>
      </c>
      <c r="V74" s="29" t="s">
        <v>559</v>
      </c>
      <c r="W74" s="32" t="s">
        <v>284</v>
      </c>
      <c r="X74" s="30" t="s">
        <v>560</v>
      </c>
      <c r="Y74" s="30" t="s">
        <v>561</v>
      </c>
      <c r="Z74" s="31" t="s">
        <v>562</v>
      </c>
      <c r="AA74" s="29" t="s">
        <v>563</v>
      </c>
      <c r="AB74" s="29" t="s">
        <v>286</v>
      </c>
      <c r="AC74" s="32" t="s">
        <v>297</v>
      </c>
      <c r="AD74" s="29" t="s">
        <v>286</v>
      </c>
      <c r="AE74" s="32" t="s">
        <v>297</v>
      </c>
      <c r="AF74" s="33" t="s">
        <v>288</v>
      </c>
      <c r="AG74" s="33" t="s">
        <v>289</v>
      </c>
      <c r="AH74" s="33" t="s">
        <v>289</v>
      </c>
      <c r="AI74" s="33" t="s">
        <v>288</v>
      </c>
      <c r="AJ74" s="33" t="s">
        <v>288</v>
      </c>
      <c r="AK74" s="33" t="s">
        <v>288</v>
      </c>
      <c r="AL74" s="33" t="s">
        <v>288</v>
      </c>
      <c r="AM74" s="33" t="s">
        <v>289</v>
      </c>
      <c r="AN74" s="33" t="s">
        <v>288</v>
      </c>
      <c r="AO74" s="33" t="s">
        <v>290</v>
      </c>
      <c r="AP74" s="29" t="s">
        <v>291</v>
      </c>
    </row>
    <row r="75" customFormat="false" ht="61.5" hidden="false" customHeight="true" outlineLevel="0" collapsed="false">
      <c r="A75" s="23" t="s">
        <v>253</v>
      </c>
      <c r="B75" s="24" t="s">
        <v>257</v>
      </c>
      <c r="C75" s="25" t="n">
        <v>105</v>
      </c>
      <c r="D75" s="29" t="s">
        <v>268</v>
      </c>
      <c r="E75" s="30" t="s">
        <v>547</v>
      </c>
      <c r="F75" s="30" t="s">
        <v>548</v>
      </c>
      <c r="G75" s="30" t="s">
        <v>549</v>
      </c>
      <c r="H75" s="30" t="s">
        <v>550</v>
      </c>
      <c r="I75" s="30" t="s">
        <v>549</v>
      </c>
      <c r="J75" s="31" t="s">
        <v>551</v>
      </c>
      <c r="K75" s="31" t="s">
        <v>552</v>
      </c>
      <c r="L75" s="29" t="s">
        <v>539</v>
      </c>
      <c r="M75" s="32" t="s">
        <v>553</v>
      </c>
      <c r="N75" s="30" t="s">
        <v>554</v>
      </c>
      <c r="O75" s="32" t="s">
        <v>277</v>
      </c>
      <c r="P75" s="31" t="s">
        <v>555</v>
      </c>
      <c r="Q75" s="30" t="s">
        <v>556</v>
      </c>
      <c r="R75" s="29" t="s">
        <v>541</v>
      </c>
      <c r="S75" s="30" t="s">
        <v>557</v>
      </c>
      <c r="T75" s="30" t="s">
        <v>549</v>
      </c>
      <c r="U75" s="30" t="s">
        <v>558</v>
      </c>
      <c r="V75" s="29" t="s">
        <v>559</v>
      </c>
      <c r="W75" s="32" t="s">
        <v>284</v>
      </c>
      <c r="X75" s="30" t="s">
        <v>560</v>
      </c>
      <c r="Y75" s="30" t="s">
        <v>561</v>
      </c>
      <c r="Z75" s="31" t="s">
        <v>562</v>
      </c>
      <c r="AA75" s="29" t="s">
        <v>563</v>
      </c>
      <c r="AB75" s="29" t="s">
        <v>286</v>
      </c>
      <c r="AC75" s="32" t="s">
        <v>297</v>
      </c>
      <c r="AD75" s="29" t="s">
        <v>286</v>
      </c>
      <c r="AE75" s="32" t="s">
        <v>297</v>
      </c>
      <c r="AF75" s="33" t="s">
        <v>288</v>
      </c>
      <c r="AG75" s="33" t="s">
        <v>289</v>
      </c>
      <c r="AH75" s="33" t="s">
        <v>289</v>
      </c>
      <c r="AI75" s="33" t="s">
        <v>288</v>
      </c>
      <c r="AJ75" s="33" t="s">
        <v>288</v>
      </c>
      <c r="AK75" s="33" t="s">
        <v>288</v>
      </c>
      <c r="AL75" s="33" t="s">
        <v>288</v>
      </c>
      <c r="AM75" s="33" t="s">
        <v>289</v>
      </c>
      <c r="AN75" s="33" t="s">
        <v>288</v>
      </c>
      <c r="AO75" s="33" t="s">
        <v>290</v>
      </c>
      <c r="AP75" s="29" t="s">
        <v>291</v>
      </c>
    </row>
    <row r="76" customFormat="false" ht="61.5" hidden="false" customHeight="true" outlineLevel="0" collapsed="false">
      <c r="A76" s="23" t="s">
        <v>253</v>
      </c>
      <c r="B76" s="24" t="s">
        <v>258</v>
      </c>
      <c r="C76" s="25" t="n">
        <v>168</v>
      </c>
      <c r="D76" s="29" t="s">
        <v>268</v>
      </c>
      <c r="E76" s="32" t="s">
        <v>564</v>
      </c>
      <c r="F76" s="29" t="s">
        <v>565</v>
      </c>
      <c r="G76" s="32" t="s">
        <v>566</v>
      </c>
      <c r="H76" s="32" t="s">
        <v>567</v>
      </c>
      <c r="I76" s="32" t="s">
        <v>568</v>
      </c>
      <c r="J76" s="29" t="s">
        <v>569</v>
      </c>
      <c r="K76" s="29" t="s">
        <v>570</v>
      </c>
      <c r="L76" s="29" t="s">
        <v>539</v>
      </c>
      <c r="M76" s="32" t="s">
        <v>553</v>
      </c>
      <c r="N76" s="32" t="s">
        <v>571</v>
      </c>
      <c r="O76" s="32" t="s">
        <v>277</v>
      </c>
      <c r="P76" s="31" t="s">
        <v>555</v>
      </c>
      <c r="Q76" s="29" t="s">
        <v>535</v>
      </c>
      <c r="R76" s="29" t="s">
        <v>541</v>
      </c>
      <c r="S76" s="32" t="s">
        <v>572</v>
      </c>
      <c r="T76" s="32" t="s">
        <v>573</v>
      </c>
      <c r="U76" s="29" t="s">
        <v>382</v>
      </c>
      <c r="V76" s="29" t="s">
        <v>559</v>
      </c>
      <c r="W76" s="32" t="s">
        <v>284</v>
      </c>
      <c r="X76" s="32" t="s">
        <v>574</v>
      </c>
      <c r="Y76" s="30" t="s">
        <v>561</v>
      </c>
      <c r="Z76" s="30" t="s">
        <v>575</v>
      </c>
      <c r="AA76" s="29" t="s">
        <v>563</v>
      </c>
      <c r="AB76" s="29" t="s">
        <v>328</v>
      </c>
      <c r="AC76" s="32" t="s">
        <v>297</v>
      </c>
      <c r="AD76" s="29" t="s">
        <v>286</v>
      </c>
      <c r="AE76" s="32" t="s">
        <v>329</v>
      </c>
      <c r="AF76" s="33" t="s">
        <v>288</v>
      </c>
      <c r="AG76" s="33" t="s">
        <v>289</v>
      </c>
      <c r="AH76" s="33" t="s">
        <v>289</v>
      </c>
      <c r="AI76" s="33" t="s">
        <v>288</v>
      </c>
      <c r="AJ76" s="33" t="s">
        <v>288</v>
      </c>
      <c r="AK76" s="33" t="s">
        <v>288</v>
      </c>
      <c r="AL76" s="33" t="s">
        <v>288</v>
      </c>
      <c r="AM76" s="33" t="s">
        <v>289</v>
      </c>
      <c r="AN76" s="33" t="s">
        <v>288</v>
      </c>
      <c r="AO76" s="33" t="s">
        <v>290</v>
      </c>
      <c r="AP76" s="32" t="s">
        <v>330</v>
      </c>
    </row>
    <row r="77" customFormat="false" ht="61.5" hidden="false" customHeight="true" outlineLevel="0" collapsed="false">
      <c r="A77" s="23" t="s">
        <v>253</v>
      </c>
      <c r="B77" s="24" t="s">
        <v>259</v>
      </c>
      <c r="C77" s="25" t="n">
        <v>90</v>
      </c>
      <c r="D77" s="29" t="s">
        <v>268</v>
      </c>
      <c r="E77" s="30" t="s">
        <v>576</v>
      </c>
      <c r="F77" s="30" t="s">
        <v>548</v>
      </c>
      <c r="G77" s="30" t="s">
        <v>577</v>
      </c>
      <c r="H77" s="30" t="s">
        <v>578</v>
      </c>
      <c r="I77" s="30" t="s">
        <v>577</v>
      </c>
      <c r="J77" s="31" t="s">
        <v>551</v>
      </c>
      <c r="K77" s="31" t="s">
        <v>552</v>
      </c>
      <c r="L77" s="29" t="s">
        <v>539</v>
      </c>
      <c r="M77" s="32" t="s">
        <v>553</v>
      </c>
      <c r="N77" s="30" t="s">
        <v>579</v>
      </c>
      <c r="O77" s="32" t="s">
        <v>277</v>
      </c>
      <c r="P77" s="29" t="s">
        <v>278</v>
      </c>
      <c r="Q77" s="30" t="s">
        <v>580</v>
      </c>
      <c r="R77" s="29" t="s">
        <v>541</v>
      </c>
      <c r="S77" s="30" t="s">
        <v>581</v>
      </c>
      <c r="T77" s="30" t="s">
        <v>577</v>
      </c>
      <c r="U77" s="30" t="s">
        <v>582</v>
      </c>
      <c r="V77" s="29" t="s">
        <v>542</v>
      </c>
      <c r="W77" s="32" t="s">
        <v>284</v>
      </c>
      <c r="X77" s="30" t="s">
        <v>583</v>
      </c>
      <c r="Y77" s="29" t="s">
        <v>543</v>
      </c>
      <c r="Z77" s="29" t="s">
        <v>278</v>
      </c>
      <c r="AA77" s="29" t="s">
        <v>544</v>
      </c>
      <c r="AB77" s="29" t="s">
        <v>286</v>
      </c>
      <c r="AC77" s="32" t="s">
        <v>287</v>
      </c>
      <c r="AD77" s="29" t="s">
        <v>278</v>
      </c>
      <c r="AE77" s="32" t="s">
        <v>287</v>
      </c>
      <c r="AF77" s="33" t="s">
        <v>288</v>
      </c>
      <c r="AG77" s="33" t="s">
        <v>289</v>
      </c>
      <c r="AH77" s="33" t="s">
        <v>289</v>
      </c>
      <c r="AI77" s="33" t="s">
        <v>288</v>
      </c>
      <c r="AJ77" s="33" t="s">
        <v>288</v>
      </c>
      <c r="AK77" s="33" t="s">
        <v>288</v>
      </c>
      <c r="AL77" s="33" t="s">
        <v>288</v>
      </c>
      <c r="AM77" s="33" t="s">
        <v>289</v>
      </c>
      <c r="AN77" s="33" t="s">
        <v>288</v>
      </c>
      <c r="AO77" s="33" t="s">
        <v>290</v>
      </c>
      <c r="AP77" s="29" t="s">
        <v>291</v>
      </c>
    </row>
    <row r="78" customFormat="false" ht="61.5" hidden="false" customHeight="true" outlineLevel="0" collapsed="false">
      <c r="A78" s="23" t="s">
        <v>253</v>
      </c>
      <c r="B78" s="24" t="s">
        <v>260</v>
      </c>
      <c r="C78" s="25" t="n">
        <v>175</v>
      </c>
      <c r="D78" s="29" t="s">
        <v>268</v>
      </c>
      <c r="E78" s="30" t="s">
        <v>576</v>
      </c>
      <c r="F78" s="30" t="s">
        <v>548</v>
      </c>
      <c r="G78" s="30" t="s">
        <v>577</v>
      </c>
      <c r="H78" s="30" t="s">
        <v>578</v>
      </c>
      <c r="I78" s="30" t="s">
        <v>577</v>
      </c>
      <c r="J78" s="31" t="s">
        <v>551</v>
      </c>
      <c r="K78" s="31" t="s">
        <v>552</v>
      </c>
      <c r="L78" s="29" t="s">
        <v>539</v>
      </c>
      <c r="M78" s="32" t="s">
        <v>553</v>
      </c>
      <c r="N78" s="30" t="s">
        <v>579</v>
      </c>
      <c r="O78" s="32" t="s">
        <v>277</v>
      </c>
      <c r="P78" s="29" t="s">
        <v>278</v>
      </c>
      <c r="Q78" s="30" t="s">
        <v>580</v>
      </c>
      <c r="R78" s="29" t="s">
        <v>541</v>
      </c>
      <c r="S78" s="30" t="s">
        <v>581</v>
      </c>
      <c r="T78" s="30" t="s">
        <v>577</v>
      </c>
      <c r="U78" s="30" t="s">
        <v>582</v>
      </c>
      <c r="V78" s="29" t="s">
        <v>542</v>
      </c>
      <c r="W78" s="32" t="s">
        <v>284</v>
      </c>
      <c r="X78" s="30" t="s">
        <v>583</v>
      </c>
      <c r="Y78" s="29" t="s">
        <v>543</v>
      </c>
      <c r="Z78" s="29" t="s">
        <v>278</v>
      </c>
      <c r="AA78" s="29" t="s">
        <v>544</v>
      </c>
      <c r="AB78" s="29" t="s">
        <v>286</v>
      </c>
      <c r="AC78" s="32" t="s">
        <v>287</v>
      </c>
      <c r="AD78" s="29" t="s">
        <v>278</v>
      </c>
      <c r="AE78" s="32" t="s">
        <v>287</v>
      </c>
      <c r="AF78" s="33" t="s">
        <v>288</v>
      </c>
      <c r="AG78" s="33" t="s">
        <v>289</v>
      </c>
      <c r="AH78" s="33" t="s">
        <v>289</v>
      </c>
      <c r="AI78" s="33" t="s">
        <v>288</v>
      </c>
      <c r="AJ78" s="33" t="s">
        <v>288</v>
      </c>
      <c r="AK78" s="33" t="s">
        <v>288</v>
      </c>
      <c r="AL78" s="33" t="s">
        <v>288</v>
      </c>
      <c r="AM78" s="33" t="s">
        <v>289</v>
      </c>
      <c r="AN78" s="33" t="s">
        <v>288</v>
      </c>
      <c r="AO78" s="33" t="s">
        <v>290</v>
      </c>
      <c r="AP78" s="29" t="s">
        <v>291</v>
      </c>
    </row>
    <row r="79" customFormat="false" ht="61.5" hidden="false" customHeight="true" outlineLevel="0" collapsed="false">
      <c r="A79" s="23" t="s">
        <v>253</v>
      </c>
      <c r="B79" s="24" t="s">
        <v>261</v>
      </c>
      <c r="C79" s="25" t="n">
        <v>340</v>
      </c>
      <c r="D79" s="29" t="s">
        <v>584</v>
      </c>
      <c r="E79" s="30" t="s">
        <v>585</v>
      </c>
      <c r="F79" s="30" t="s">
        <v>548</v>
      </c>
      <c r="G79" s="30" t="s">
        <v>549</v>
      </c>
      <c r="H79" s="30" t="s">
        <v>586</v>
      </c>
      <c r="I79" s="30" t="s">
        <v>549</v>
      </c>
      <c r="J79" s="31" t="s">
        <v>551</v>
      </c>
      <c r="K79" s="31" t="s">
        <v>552</v>
      </c>
      <c r="L79" s="29" t="s">
        <v>539</v>
      </c>
      <c r="M79" s="32" t="s">
        <v>553</v>
      </c>
      <c r="N79" s="29" t="s">
        <v>584</v>
      </c>
      <c r="O79" s="29" t="s">
        <v>335</v>
      </c>
      <c r="P79" s="31" t="s">
        <v>555</v>
      </c>
      <c r="Q79" s="30" t="s">
        <v>556</v>
      </c>
      <c r="R79" s="29" t="s">
        <v>541</v>
      </c>
      <c r="S79" s="30" t="s">
        <v>557</v>
      </c>
      <c r="T79" s="30" t="s">
        <v>549</v>
      </c>
      <c r="U79" s="30" t="s">
        <v>558</v>
      </c>
      <c r="V79" s="29" t="s">
        <v>559</v>
      </c>
      <c r="W79" s="32" t="s">
        <v>284</v>
      </c>
      <c r="X79" s="30" t="s">
        <v>560</v>
      </c>
      <c r="Y79" s="30" t="s">
        <v>561</v>
      </c>
      <c r="Z79" s="31" t="s">
        <v>562</v>
      </c>
      <c r="AA79" s="29" t="s">
        <v>563</v>
      </c>
      <c r="AB79" s="29" t="s">
        <v>286</v>
      </c>
      <c r="AC79" s="32" t="s">
        <v>297</v>
      </c>
      <c r="AD79" s="29" t="s">
        <v>286</v>
      </c>
      <c r="AE79" s="32" t="s">
        <v>297</v>
      </c>
      <c r="AF79" s="33" t="s">
        <v>288</v>
      </c>
      <c r="AG79" s="33" t="s">
        <v>289</v>
      </c>
      <c r="AH79" s="33" t="s">
        <v>289</v>
      </c>
      <c r="AI79" s="33" t="s">
        <v>288</v>
      </c>
      <c r="AJ79" s="33" t="s">
        <v>288</v>
      </c>
      <c r="AK79" s="33" t="s">
        <v>288</v>
      </c>
      <c r="AL79" s="33" t="s">
        <v>288</v>
      </c>
      <c r="AM79" s="33" t="s">
        <v>289</v>
      </c>
      <c r="AN79" s="33" t="s">
        <v>288</v>
      </c>
      <c r="AO79" s="33" t="s">
        <v>290</v>
      </c>
      <c r="AP79" s="29" t="s">
        <v>291</v>
      </c>
    </row>
    <row r="80" customFormat="false" ht="15" hidden="false" customHeight="false" outlineLevel="0" collapsed="false">
      <c r="A80" s="10" t="s">
        <v>262</v>
      </c>
      <c r="B80" s="10" t="s">
        <v>263</v>
      </c>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row>
    <row r="81" customFormat="false" ht="61.5" hidden="false" customHeight="true" outlineLevel="0" collapsed="false">
      <c r="A81" s="26" t="s">
        <v>262</v>
      </c>
      <c r="B81" s="27" t="s">
        <v>264</v>
      </c>
      <c r="C81" s="28" t="n">
        <v>15</v>
      </c>
      <c r="D81" s="33" t="s">
        <v>587</v>
      </c>
      <c r="E81" s="33" t="s">
        <v>587</v>
      </c>
      <c r="F81" s="33" t="s">
        <v>587</v>
      </c>
      <c r="G81" s="33" t="s">
        <v>587</v>
      </c>
      <c r="H81" s="33" t="s">
        <v>587</v>
      </c>
      <c r="I81" s="33" t="s">
        <v>587</v>
      </c>
      <c r="J81" s="33" t="s">
        <v>587</v>
      </c>
      <c r="K81" s="33" t="s">
        <v>587</v>
      </c>
      <c r="L81" s="33" t="s">
        <v>587</v>
      </c>
      <c r="M81" s="29" t="s">
        <v>588</v>
      </c>
      <c r="N81" s="33" t="s">
        <v>587</v>
      </c>
      <c r="O81" s="31" t="s">
        <v>589</v>
      </c>
      <c r="P81" s="33" t="s">
        <v>587</v>
      </c>
      <c r="Q81" s="33" t="s">
        <v>587</v>
      </c>
      <c r="R81" s="33" t="s">
        <v>587</v>
      </c>
      <c r="S81" s="33" t="s">
        <v>587</v>
      </c>
      <c r="T81" s="33" t="s">
        <v>587</v>
      </c>
      <c r="U81" s="33" t="s">
        <v>587</v>
      </c>
      <c r="V81" s="33" t="s">
        <v>587</v>
      </c>
      <c r="W81" s="29" t="s">
        <v>590</v>
      </c>
      <c r="X81" s="33" t="s">
        <v>587</v>
      </c>
      <c r="Y81" s="33" t="s">
        <v>587</v>
      </c>
      <c r="Z81" s="33" t="s">
        <v>587</v>
      </c>
      <c r="AA81" s="33" t="s">
        <v>587</v>
      </c>
      <c r="AB81" s="33" t="s">
        <v>587</v>
      </c>
      <c r="AC81" s="33" t="s">
        <v>587</v>
      </c>
      <c r="AD81" s="33" t="s">
        <v>587</v>
      </c>
      <c r="AE81" s="33" t="s">
        <v>587</v>
      </c>
      <c r="AF81" s="31" t="s">
        <v>591</v>
      </c>
      <c r="AG81" s="32" t="s">
        <v>592</v>
      </c>
      <c r="AH81" s="32" t="s">
        <v>593</v>
      </c>
      <c r="AI81" s="32" t="s">
        <v>594</v>
      </c>
      <c r="AJ81" s="29" t="s">
        <v>595</v>
      </c>
      <c r="AK81" s="30" t="s">
        <v>596</v>
      </c>
      <c r="AL81" s="30" t="s">
        <v>597</v>
      </c>
      <c r="AM81" s="32" t="s">
        <v>598</v>
      </c>
      <c r="AN81" s="30" t="s">
        <v>599</v>
      </c>
      <c r="AO81" s="32" t="s">
        <v>600</v>
      </c>
      <c r="AP81" s="29" t="s">
        <v>601</v>
      </c>
    </row>
  </sheetData>
  <mergeCells count="3">
    <mergeCell ref="D4:P4"/>
    <mergeCell ref="Q4:AE4"/>
    <mergeCell ref="AF4:AP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0"/>
    <col collapsed="false" customWidth="true" hidden="false" outlineLevel="0" max="4" min="4" style="0" width="12"/>
    <col collapsed="false" customWidth="true" hidden="false" outlineLevel="0" max="5" min="5" style="0" width="44"/>
    <col collapsed="false" customWidth="true" hidden="false" outlineLevel="0" max="6" min="6" style="0" width="34"/>
  </cols>
  <sheetData>
    <row r="1" customFormat="false" ht="17.35" hidden="false" customHeight="false" outlineLevel="0" collapsed="false">
      <c r="A1" s="6" t="s">
        <v>602</v>
      </c>
    </row>
    <row r="2" customFormat="false" ht="15" hidden="false" customHeight="false" outlineLevel="0" collapsed="false">
      <c r="A2" s="7" t="s">
        <v>603</v>
      </c>
    </row>
    <row r="4" customFormat="false" ht="23.85" hidden="false" customHeight="false" outlineLevel="0" collapsed="false">
      <c r="A4" s="1" t="s">
        <v>604</v>
      </c>
      <c r="B4" s="1" t="s">
        <v>605</v>
      </c>
      <c r="C4" s="1" t="s">
        <v>606</v>
      </c>
      <c r="D4" s="1" t="s">
        <v>607</v>
      </c>
      <c r="E4" s="1" t="s">
        <v>608</v>
      </c>
      <c r="F4" s="1" t="s">
        <v>609</v>
      </c>
    </row>
    <row r="5" customFormat="false" ht="22.35" hidden="false" customHeight="false" outlineLevel="0" collapsed="false">
      <c r="A5" s="3" t="s">
        <v>7</v>
      </c>
      <c r="B5" s="3" t="s">
        <v>10</v>
      </c>
      <c r="C5" s="34" t="n">
        <f aca="false">MAX('Matrice des notes'!$D$6:$D$81)</f>
        <v>5</v>
      </c>
      <c r="D5" s="34" t="n">
        <f aca="false">COUNTIF('Matrice des notes'!$D$6:$D$81,"&gt;=4")</f>
        <v>6</v>
      </c>
      <c r="E5" s="3" t="str">
        <f aca="false">INDEX('Matrice des notes'!$B$6:$B$81,MATCH(C5,'Matrice des notes'!$D$6:$D$81,0))</f>
        <v>L-R01 · Chiroubles Domaine Piron 2024</v>
      </c>
      <c r="F5" s="34" t="n">
        <f aca="false">INDEX('Matrice des notes'!$C$6:$C$81,MATCH(C5,'Matrice des notes'!$D$6:$D$81,0))</f>
        <v>50</v>
      </c>
    </row>
    <row r="6" customFormat="false" ht="22.35" hidden="false" customHeight="false" outlineLevel="0" collapsed="false">
      <c r="A6" s="3" t="s">
        <v>11</v>
      </c>
      <c r="B6" s="3" t="s">
        <v>10</v>
      </c>
      <c r="C6" s="34" t="n">
        <f aca="false">MAX('Matrice des notes'!$E$6:$E$81)</f>
        <v>4</v>
      </c>
      <c r="D6" s="34" t="n">
        <f aca="false">COUNTIF('Matrice des notes'!$E$6:$E$81,"&gt;=4")</f>
        <v>11</v>
      </c>
      <c r="E6" s="3" t="str">
        <f aca="false">INDEX('Matrice des notes'!$B$6:$B$81,MATCH(C6,'Matrice des notes'!$E$6:$E$81,0))</f>
        <v>L-B01 · IGP Val de Loire Sauvignon Le Petit Bourgeois 2024</v>
      </c>
      <c r="F6" s="34" t="n">
        <f aca="false">INDEX('Matrice des notes'!$C$6:$C$81,MATCH(C6,'Matrice des notes'!$E$6:$E$81,0))</f>
        <v>38</v>
      </c>
    </row>
    <row r="7" customFormat="false" ht="22.35" hidden="false" customHeight="false" outlineLevel="0" collapsed="false">
      <c r="A7" s="3" t="s">
        <v>14</v>
      </c>
      <c r="B7" s="3" t="s">
        <v>10</v>
      </c>
      <c r="C7" s="34" t="n">
        <f aca="false">MAX('Matrice des notes'!$F$6:$F$81)</f>
        <v>4</v>
      </c>
      <c r="D7" s="34" t="n">
        <f aca="false">COUNTIF('Matrice des notes'!$F$6:$F$81,"&gt;=4")</f>
        <v>11</v>
      </c>
      <c r="E7" s="3" t="str">
        <f aca="false">INDEX('Matrice des notes'!$B$6:$B$81,MATCH(C7,'Matrice des notes'!$F$6:$F$81,0))</f>
        <v>L-B01 · IGP Val de Loire Sauvignon Le Petit Bourgeois 2024</v>
      </c>
      <c r="F7" s="34" t="n">
        <f aca="false">INDEX('Matrice des notes'!$C$6:$C$81,MATCH(C7,'Matrice des notes'!$F$6:$F$81,0))</f>
        <v>38</v>
      </c>
    </row>
    <row r="8" customFormat="false" ht="15" hidden="false" customHeight="false" outlineLevel="0" collapsed="false">
      <c r="A8" s="3" t="s">
        <v>17</v>
      </c>
      <c r="B8" s="3" t="s">
        <v>10</v>
      </c>
      <c r="C8" s="34" t="n">
        <f aca="false">MAX('Matrice des notes'!$G$6:$G$81)</f>
        <v>5</v>
      </c>
      <c r="D8" s="34" t="n">
        <f aca="false">COUNTIF('Matrice des notes'!$G$6:$G$81,"&gt;=4")</f>
        <v>11</v>
      </c>
      <c r="E8" s="3" t="str">
        <f aca="false">INDEX('Matrice des notes'!$B$6:$B$81,MATCH(C8,'Matrice des notes'!$G$6:$G$81,0))</f>
        <v>L-B03 · Pouilly-Fumé de Ladoucette 2024</v>
      </c>
      <c r="F8" s="34" t="n">
        <f aca="false">INDEX('Matrice des notes'!$C$6:$C$81,MATCH(C8,'Matrice des notes'!$G$6:$G$81,0))</f>
        <v>80</v>
      </c>
    </row>
    <row r="9" customFormat="false" ht="22.35" hidden="false" customHeight="false" outlineLevel="0" collapsed="false">
      <c r="A9" s="3" t="s">
        <v>20</v>
      </c>
      <c r="B9" s="3" t="s">
        <v>10</v>
      </c>
      <c r="C9" s="34" t="n">
        <f aca="false">MAX('Matrice des notes'!$H$6:$H$81)</f>
        <v>4</v>
      </c>
      <c r="D9" s="34" t="n">
        <f aca="false">COUNTIF('Matrice des notes'!$H$6:$H$81,"&gt;=4")</f>
        <v>11</v>
      </c>
      <c r="E9" s="3" t="str">
        <f aca="false">INDEX('Matrice des notes'!$B$6:$B$81,MATCH(C9,'Matrice des notes'!$H$6:$H$81,0))</f>
        <v>L-B01 · IGP Val de Loire Sauvignon Le Petit Bourgeois 2024</v>
      </c>
      <c r="F9" s="34" t="n">
        <f aca="false">INDEX('Matrice des notes'!$C$6:$C$81,MATCH(C9,'Matrice des notes'!$H$6:$H$81,0))</f>
        <v>38</v>
      </c>
    </row>
    <row r="10" customFormat="false" ht="22.35" hidden="false" customHeight="false" outlineLevel="0" collapsed="false">
      <c r="A10" s="3" t="s">
        <v>23</v>
      </c>
      <c r="B10" s="3" t="s">
        <v>10</v>
      </c>
      <c r="C10" s="34" t="n">
        <f aca="false">MAX('Matrice des notes'!$I$6:$I$81)</f>
        <v>5</v>
      </c>
      <c r="D10" s="34" t="n">
        <f aca="false">COUNTIF('Matrice des notes'!$I$6:$I$81,"&gt;=4")</f>
        <v>11</v>
      </c>
      <c r="E10" s="3" t="str">
        <f aca="false">INDEX('Matrice des notes'!$B$6:$B$81,MATCH(C10,'Matrice des notes'!$I$6:$I$81,0))</f>
        <v>L-B01 · IGP Val de Loire Sauvignon Le Petit Bourgeois 2024</v>
      </c>
      <c r="F10" s="34" t="n">
        <f aca="false">INDEX('Matrice des notes'!$C$6:$C$81,MATCH(C10,'Matrice des notes'!$I$6:$I$81,0))</f>
        <v>38</v>
      </c>
    </row>
    <row r="11" customFormat="false" ht="15" hidden="false" customHeight="false" outlineLevel="0" collapsed="false">
      <c r="A11" s="3" t="s">
        <v>26</v>
      </c>
      <c r="B11" s="3" t="s">
        <v>10</v>
      </c>
      <c r="C11" s="34" t="n">
        <f aca="false">MAX('Matrice des notes'!$J$6:$J$81)</f>
        <v>5</v>
      </c>
      <c r="D11" s="34" t="n">
        <f aca="false">COUNTIF('Matrice des notes'!$J$6:$J$81,"&gt;=4")</f>
        <v>11</v>
      </c>
      <c r="E11" s="3" t="str">
        <f aca="false">INDEX('Matrice des notes'!$B$6:$B$81,MATCH(C11,'Matrice des notes'!$J$6:$J$81,0))</f>
        <v>L-E02 · Champagne R de Ruinart Brut NM · 37,5 cl</v>
      </c>
      <c r="F11" s="34" t="n">
        <f aca="false">INDEX('Matrice des notes'!$C$6:$C$81,MATCH(C11,'Matrice des notes'!$J$6:$J$81,0))</f>
        <v>58</v>
      </c>
    </row>
    <row r="12" customFormat="false" ht="22.35" hidden="false" customHeight="false" outlineLevel="0" collapsed="false">
      <c r="A12" s="3" t="s">
        <v>30</v>
      </c>
      <c r="B12" s="3" t="s">
        <v>10</v>
      </c>
      <c r="C12" s="34" t="n">
        <f aca="false">MAX('Matrice des notes'!$K$6:$K$81)</f>
        <v>5</v>
      </c>
      <c r="D12" s="34" t="n">
        <f aca="false">COUNTIF('Matrice des notes'!$K$6:$K$81,"&gt;=4")</f>
        <v>11</v>
      </c>
      <c r="E12" s="3" t="str">
        <f aca="false">INDEX('Matrice des notes'!$B$6:$B$81,MATCH(C12,'Matrice des notes'!$K$6:$K$81,0))</f>
        <v>L-E02 · Champagne R de Ruinart Brut NM · 37,5 cl</v>
      </c>
      <c r="F12" s="34" t="n">
        <f aca="false">INDEX('Matrice des notes'!$C$6:$C$81,MATCH(C12,'Matrice des notes'!$K$6:$K$81,0))</f>
        <v>58</v>
      </c>
    </row>
    <row r="13" customFormat="false" ht="15" hidden="false" customHeight="false" outlineLevel="0" collapsed="false">
      <c r="A13" s="3" t="s">
        <v>34</v>
      </c>
      <c r="B13" s="3" t="s">
        <v>10</v>
      </c>
      <c r="C13" s="34" t="n">
        <f aca="false">MAX('Matrice des notes'!$L$6:$L$81)</f>
        <v>5</v>
      </c>
      <c r="D13" s="34" t="n">
        <f aca="false">COUNTIF('Matrice des notes'!$L$6:$L$81,"&gt;=4")</f>
        <v>21</v>
      </c>
      <c r="E13" s="3" t="str">
        <f aca="false">INDEX('Matrice des notes'!$B$6:$B$81,MATCH(C13,'Matrice des notes'!$L$6:$L$81,0))</f>
        <v>L-B05 · Petit Chablis Pas Si Petit 2023</v>
      </c>
      <c r="F13" s="34" t="n">
        <f aca="false">INDEX('Matrice des notes'!$C$6:$C$81,MATCH(C13,'Matrice des notes'!$L$6:$L$81,0))</f>
        <v>46</v>
      </c>
    </row>
    <row r="14" customFormat="false" ht="22.35" hidden="false" customHeight="false" outlineLevel="0" collapsed="false">
      <c r="A14" s="3" t="s">
        <v>37</v>
      </c>
      <c r="B14" s="3" t="s">
        <v>10</v>
      </c>
      <c r="C14" s="34" t="n">
        <f aca="false">MAX('Matrice des notes'!$M$6:$M$81)</f>
        <v>3</v>
      </c>
      <c r="D14" s="34" t="n">
        <f aca="false">COUNTIF('Matrice des notes'!$M$6:$M$81,"&gt;=4")</f>
        <v>0</v>
      </c>
      <c r="E14" s="3" t="str">
        <f aca="false">INDEX('Matrice des notes'!$B$6:$B$81,MATCH(C14,'Matrice des notes'!$M$6:$M$81,0))</f>
        <v>L-E01 · Valdobbiadene Prosecco Superiore Col de l'Utia NM</v>
      </c>
      <c r="F14" s="34" t="n">
        <f aca="false">INDEX('Matrice des notes'!$C$6:$C$81,MATCH(C14,'Matrice des notes'!$M$6:$M$81,0))</f>
        <v>62</v>
      </c>
    </row>
    <row r="15" customFormat="false" ht="22.35" hidden="false" customHeight="false" outlineLevel="0" collapsed="false">
      <c r="A15" s="3" t="s">
        <v>40</v>
      </c>
      <c r="B15" s="3" t="s">
        <v>10</v>
      </c>
      <c r="C15" s="34" t="n">
        <f aca="false">MAX('Matrice des notes'!$N$6:$N$81)</f>
        <v>4</v>
      </c>
      <c r="D15" s="34" t="n">
        <f aca="false">COUNTIF('Matrice des notes'!$N$6:$N$81,"&gt;=4")</f>
        <v>10</v>
      </c>
      <c r="E15" s="3" t="str">
        <f aca="false">INDEX('Matrice des notes'!$B$6:$B$81,MATCH(C15,'Matrice des notes'!$N$6:$N$81,0))</f>
        <v>L-B01 · IGP Val de Loire Sauvignon Le Petit Bourgeois 2024</v>
      </c>
      <c r="F15" s="34" t="n">
        <f aca="false">INDEX('Matrice des notes'!$C$6:$C$81,MATCH(C15,'Matrice des notes'!$N$6:$N$81,0))</f>
        <v>38</v>
      </c>
    </row>
    <row r="16" customFormat="false" ht="15" hidden="false" customHeight="false" outlineLevel="0" collapsed="false">
      <c r="A16" s="3" t="s">
        <v>43</v>
      </c>
      <c r="B16" s="3" t="s">
        <v>10</v>
      </c>
      <c r="C16" s="34" t="n">
        <f aca="false">MAX('Matrice des notes'!$O$6:$O$81)</f>
        <v>5</v>
      </c>
      <c r="D16" s="34" t="n">
        <f aca="false">COUNTIF('Matrice des notes'!$O$6:$O$81,"&gt;=4")</f>
        <v>1</v>
      </c>
      <c r="E16" s="3" t="str">
        <f aca="false">INDEX('Matrice des notes'!$B$6:$B$81,MATCH(C16,'Matrice des notes'!$O$6:$O$81,0))</f>
        <v>L-D01 · Sauternes Château Lange-Réglat (au verre)</v>
      </c>
      <c r="F16" s="34" t="n">
        <f aca="false">INDEX('Matrice des notes'!$C$6:$C$81,MATCH(C16,'Matrice des notes'!$O$6:$O$81,0))</f>
        <v>15</v>
      </c>
    </row>
    <row r="17" customFormat="false" ht="15" hidden="false" customHeight="false" outlineLevel="0" collapsed="false">
      <c r="A17" s="3" t="s">
        <v>46</v>
      </c>
      <c r="B17" s="3" t="s">
        <v>10</v>
      </c>
      <c r="C17" s="34" t="n">
        <f aca="false">MAX('Matrice des notes'!$P$6:$P$81)</f>
        <v>5</v>
      </c>
      <c r="D17" s="34" t="n">
        <f aca="false">COUNTIF('Matrice des notes'!$P$6:$P$81,"&gt;=4")</f>
        <v>11</v>
      </c>
      <c r="E17" s="3" t="str">
        <f aca="false">INDEX('Matrice des notes'!$B$6:$B$81,MATCH(C17,'Matrice des notes'!$P$6:$P$81,0))</f>
        <v>L-B03 · Pouilly-Fumé de Ladoucette 2024</v>
      </c>
      <c r="F17" s="34" t="n">
        <f aca="false">INDEX('Matrice des notes'!$C$6:$C$81,MATCH(C17,'Matrice des notes'!$P$6:$P$81,0))</f>
        <v>80</v>
      </c>
    </row>
    <row r="18" customFormat="false" ht="22.35" hidden="false" customHeight="false" outlineLevel="0" collapsed="false">
      <c r="A18" s="3" t="s">
        <v>49</v>
      </c>
      <c r="B18" s="3" t="s">
        <v>52</v>
      </c>
      <c r="C18" s="34" t="n">
        <f aca="false">MAX('Matrice des notes'!$Q$6:$Q$81)</f>
        <v>4</v>
      </c>
      <c r="D18" s="34" t="n">
        <f aca="false">COUNTIF('Matrice des notes'!$Q$6:$Q$81,"&gt;=4")</f>
        <v>14</v>
      </c>
      <c r="E18" s="3" t="str">
        <f aca="false">INDEX('Matrice des notes'!$B$6:$B$81,MATCH(C18,'Matrice des notes'!$Q$6:$Q$81,0))</f>
        <v>L-B01 · IGP Val de Loire Sauvignon Le Petit Bourgeois 2024</v>
      </c>
      <c r="F18" s="34" t="n">
        <f aca="false">INDEX('Matrice des notes'!$C$6:$C$81,MATCH(C18,'Matrice des notes'!$Q$6:$Q$81,0))</f>
        <v>38</v>
      </c>
    </row>
    <row r="19" customFormat="false" ht="15" hidden="false" customHeight="false" outlineLevel="0" collapsed="false">
      <c r="A19" s="3" t="s">
        <v>53</v>
      </c>
      <c r="B19" s="3" t="s">
        <v>52</v>
      </c>
      <c r="C19" s="34" t="n">
        <f aca="false">MAX('Matrice des notes'!$R$6:$R$81)</f>
        <v>5</v>
      </c>
      <c r="D19" s="34" t="n">
        <f aca="false">COUNTIF('Matrice des notes'!$R$6:$R$81,"&gt;=4")</f>
        <v>22</v>
      </c>
      <c r="E19" s="3" t="str">
        <f aca="false">INDEX('Matrice des notes'!$B$6:$B$81,MATCH(C19,'Matrice des notes'!$R$6:$R$81,0))</f>
        <v>L-R01 · Chiroubles Domaine Piron 2024</v>
      </c>
      <c r="F19" s="34" t="n">
        <f aca="false">INDEX('Matrice des notes'!$C$6:$C$81,MATCH(C19,'Matrice des notes'!$R$6:$R$81,0))</f>
        <v>50</v>
      </c>
    </row>
    <row r="20" customFormat="false" ht="22.35" hidden="false" customHeight="false" outlineLevel="0" collapsed="false">
      <c r="A20" s="3" t="s">
        <v>56</v>
      </c>
      <c r="B20" s="3" t="s">
        <v>52</v>
      </c>
      <c r="C20" s="34" t="n">
        <f aca="false">MAX('Matrice des notes'!$S$6:$S$81)</f>
        <v>4</v>
      </c>
      <c r="D20" s="34" t="n">
        <f aca="false">COUNTIF('Matrice des notes'!$S$6:$S$81,"&gt;=4")</f>
        <v>12</v>
      </c>
      <c r="E20" s="3" t="str">
        <f aca="false">INDEX('Matrice des notes'!$B$6:$B$81,MATCH(C20,'Matrice des notes'!$S$6:$S$81,0))</f>
        <v>L-B01 · IGP Val de Loire Sauvignon Le Petit Bourgeois 2024</v>
      </c>
      <c r="F20" s="34" t="n">
        <f aca="false">INDEX('Matrice des notes'!$C$6:$C$81,MATCH(C20,'Matrice des notes'!$S$6:$S$81,0))</f>
        <v>38</v>
      </c>
    </row>
    <row r="21" customFormat="false" ht="22.35" hidden="false" customHeight="false" outlineLevel="0" collapsed="false">
      <c r="A21" s="3" t="s">
        <v>59</v>
      </c>
      <c r="B21" s="3" t="s">
        <v>52</v>
      </c>
      <c r="C21" s="34" t="n">
        <f aca="false">MAX('Matrice des notes'!$T$6:$T$81)</f>
        <v>5</v>
      </c>
      <c r="D21" s="34" t="n">
        <f aca="false">COUNTIF('Matrice des notes'!$T$6:$T$81,"&gt;=4")</f>
        <v>11</v>
      </c>
      <c r="E21" s="3" t="str">
        <f aca="false">INDEX('Matrice des notes'!$B$6:$B$81,MATCH(C21,'Matrice des notes'!$T$6:$T$81,0))</f>
        <v>L-B01 · IGP Val de Loire Sauvignon Le Petit Bourgeois 2024</v>
      </c>
      <c r="F21" s="34" t="n">
        <f aca="false">INDEX('Matrice des notes'!$C$6:$C$81,MATCH(C21,'Matrice des notes'!$T$6:$T$81,0))</f>
        <v>38</v>
      </c>
    </row>
    <row r="22" customFormat="false" ht="22.35" hidden="false" customHeight="false" outlineLevel="0" collapsed="false">
      <c r="A22" s="3" t="s">
        <v>62</v>
      </c>
      <c r="B22" s="3" t="s">
        <v>52</v>
      </c>
      <c r="C22" s="34" t="n">
        <f aca="false">MAX('Matrice des notes'!$U$6:$U$81)</f>
        <v>4</v>
      </c>
      <c r="D22" s="34" t="n">
        <f aca="false">COUNTIF('Matrice des notes'!$U$6:$U$81,"&gt;=4")</f>
        <v>11</v>
      </c>
      <c r="E22" s="3" t="str">
        <f aca="false">INDEX('Matrice des notes'!$B$6:$B$81,MATCH(C22,'Matrice des notes'!$U$6:$U$81,0))</f>
        <v>L-B01 · IGP Val de Loire Sauvignon Le Petit Bourgeois 2024</v>
      </c>
      <c r="F22" s="34" t="n">
        <f aca="false">INDEX('Matrice des notes'!$C$6:$C$81,MATCH(C22,'Matrice des notes'!$U$6:$U$81,0))</f>
        <v>38</v>
      </c>
    </row>
    <row r="23" customFormat="false" ht="15" hidden="false" customHeight="false" outlineLevel="0" collapsed="false">
      <c r="A23" s="3" t="s">
        <v>65</v>
      </c>
      <c r="B23" s="3" t="s">
        <v>52</v>
      </c>
      <c r="C23" s="34" t="n">
        <f aca="false">MAX('Matrice des notes'!$V$6:$V$81)</f>
        <v>5</v>
      </c>
      <c r="D23" s="34" t="n">
        <f aca="false">COUNTIF('Matrice des notes'!$V$6:$V$81,"&gt;=4")</f>
        <v>20</v>
      </c>
      <c r="E23" s="3" t="str">
        <f aca="false">INDEX('Matrice des notes'!$B$6:$B$81,MATCH(C23,'Matrice des notes'!$V$6:$V$81,0))</f>
        <v>L-B08 · Puligny-Montrachet 1er Cru Champ Gain 2019</v>
      </c>
      <c r="F23" s="34" t="n">
        <f aca="false">INDEX('Matrice des notes'!$C$6:$C$81,MATCH(C23,'Matrice des notes'!$V$6:$V$81,0))</f>
        <v>195</v>
      </c>
    </row>
    <row r="24" customFormat="false" ht="15" hidden="false" customHeight="false" outlineLevel="0" collapsed="false">
      <c r="A24" s="3" t="s">
        <v>68</v>
      </c>
      <c r="B24" s="3" t="s">
        <v>52</v>
      </c>
      <c r="C24" s="34" t="n">
        <f aca="false">MAX('Matrice des notes'!$W$6:$W$81)</f>
        <v>3</v>
      </c>
      <c r="D24" s="34" t="n">
        <f aca="false">COUNTIF('Matrice des notes'!$W$6:$W$81,"&gt;=4")</f>
        <v>0</v>
      </c>
      <c r="E24" s="3" t="str">
        <f aca="false">INDEX('Matrice des notes'!$B$6:$B$81,MATCH(C24,'Matrice des notes'!$W$6:$W$81,0))</f>
        <v>L-B14 · Châteauneuf-du-Pape blanc Renaissance 2024</v>
      </c>
      <c r="F24" s="34" t="n">
        <f aca="false">INDEX('Matrice des notes'!$C$6:$C$81,MATCH(C24,'Matrice des notes'!$W$6:$W$81,0))</f>
        <v>86</v>
      </c>
    </row>
    <row r="25" customFormat="false" ht="22.35" hidden="false" customHeight="false" outlineLevel="0" collapsed="false">
      <c r="A25" s="3" t="s">
        <v>71</v>
      </c>
      <c r="B25" s="3" t="s">
        <v>52</v>
      </c>
      <c r="C25" s="34" t="n">
        <f aca="false">MAX('Matrice des notes'!$X$6:$X$81)</f>
        <v>4</v>
      </c>
      <c r="D25" s="34" t="n">
        <f aca="false">COUNTIF('Matrice des notes'!$X$6:$X$81,"&gt;=4")</f>
        <v>13</v>
      </c>
      <c r="E25" s="3" t="str">
        <f aca="false">INDEX('Matrice des notes'!$B$6:$B$81,MATCH(C25,'Matrice des notes'!$X$6:$X$81,0))</f>
        <v>L-B01 · IGP Val de Loire Sauvignon Le Petit Bourgeois 2024</v>
      </c>
      <c r="F25" s="34" t="n">
        <f aca="false">INDEX('Matrice des notes'!$C$6:$C$81,MATCH(C25,'Matrice des notes'!$X$6:$X$81,0))</f>
        <v>38</v>
      </c>
    </row>
    <row r="26" customFormat="false" ht="15" hidden="false" customHeight="false" outlineLevel="0" collapsed="false">
      <c r="A26" s="3" t="s">
        <v>74</v>
      </c>
      <c r="B26" s="3" t="s">
        <v>52</v>
      </c>
      <c r="C26" s="34" t="n">
        <f aca="false">MAX('Matrice des notes'!$Y$6:$Y$81)</f>
        <v>5</v>
      </c>
      <c r="D26" s="34" t="n">
        <f aca="false">COUNTIF('Matrice des notes'!$Y$6:$Y$81,"&gt;=4")</f>
        <v>23</v>
      </c>
      <c r="E26" s="3" t="str">
        <f aca="false">INDEX('Matrice des notes'!$B$6:$B$81,MATCH(C26,'Matrice des notes'!$Y$6:$Y$81,0))</f>
        <v>L-B08 · Puligny-Montrachet 1er Cru Champ Gain 2019</v>
      </c>
      <c r="F26" s="34" t="n">
        <f aca="false">INDEX('Matrice des notes'!$C$6:$C$81,MATCH(C26,'Matrice des notes'!$Y$6:$Y$81,0))</f>
        <v>195</v>
      </c>
    </row>
    <row r="27" customFormat="false" ht="15" hidden="false" customHeight="false" outlineLevel="0" collapsed="false">
      <c r="A27" s="3" t="s">
        <v>77</v>
      </c>
      <c r="B27" s="3" t="s">
        <v>52</v>
      </c>
      <c r="C27" s="34" t="n">
        <f aca="false">MAX('Matrice des notes'!$Z$6:$Z$81)</f>
        <v>5</v>
      </c>
      <c r="D27" s="34" t="n">
        <f aca="false">COUNTIF('Matrice des notes'!$Z$6:$Z$81,"&gt;=4")</f>
        <v>11</v>
      </c>
      <c r="E27" s="3" t="str">
        <f aca="false">INDEX('Matrice des notes'!$B$6:$B$81,MATCH(C27,'Matrice des notes'!$Z$6:$Z$81,0))</f>
        <v>L-B03 · Pouilly-Fumé de Ladoucette 2024</v>
      </c>
      <c r="F27" s="34" t="n">
        <f aca="false">INDEX('Matrice des notes'!$C$6:$C$81,MATCH(C27,'Matrice des notes'!$Z$6:$Z$81,0))</f>
        <v>80</v>
      </c>
    </row>
    <row r="28" customFormat="false" ht="15" hidden="false" customHeight="false" outlineLevel="0" collapsed="false">
      <c r="A28" s="3" t="s">
        <v>80</v>
      </c>
      <c r="B28" s="3" t="s">
        <v>52</v>
      </c>
      <c r="C28" s="34" t="n">
        <f aca="false">MAX('Matrice des notes'!$AA$6:$AA$81)</f>
        <v>5</v>
      </c>
      <c r="D28" s="34" t="n">
        <f aca="false">COUNTIF('Matrice des notes'!$AA$6:$AA$81,"&gt;=4")</f>
        <v>27</v>
      </c>
      <c r="E28" s="3" t="str">
        <f aca="false">INDEX('Matrice des notes'!$B$6:$B$81,MATCH(C28,'Matrice des notes'!$AA$6:$AA$81,0))</f>
        <v>L-R03 · Moulin-à-Vent Les Michelons 2014</v>
      </c>
      <c r="F28" s="34" t="n">
        <f aca="false">INDEX('Matrice des notes'!$C$6:$C$81,MATCH(C28,'Matrice des notes'!$AA$6:$AA$81,0))</f>
        <v>145</v>
      </c>
    </row>
    <row r="29" customFormat="false" ht="15" hidden="false" customHeight="false" outlineLevel="0" collapsed="false">
      <c r="A29" s="3" t="s">
        <v>83</v>
      </c>
      <c r="B29" s="3" t="s">
        <v>52</v>
      </c>
      <c r="C29" s="34" t="n">
        <f aca="false">MAX('Matrice des notes'!$AB$6:$AB$81)</f>
        <v>4</v>
      </c>
      <c r="D29" s="34" t="n">
        <f aca="false">COUNTIF('Matrice des notes'!$AB$6:$AB$81,"&gt;=4")</f>
        <v>4</v>
      </c>
      <c r="E29" s="3" t="str">
        <f aca="false">INDEX('Matrice des notes'!$B$6:$B$81,MATCH(C29,'Matrice des notes'!$AB$6:$AB$81,0))</f>
        <v>L-R01 · Chiroubles Domaine Piron 2024</v>
      </c>
      <c r="F29" s="34" t="n">
        <f aca="false">INDEX('Matrice des notes'!$C$6:$C$81,MATCH(C29,'Matrice des notes'!$AB$6:$AB$81,0))</f>
        <v>50</v>
      </c>
    </row>
    <row r="30" customFormat="false" ht="22.35" hidden="false" customHeight="false" outlineLevel="0" collapsed="false">
      <c r="A30" s="3" t="s">
        <v>86</v>
      </c>
      <c r="B30" s="3" t="s">
        <v>52</v>
      </c>
      <c r="C30" s="34" t="n">
        <f aca="false">MAX('Matrice des notes'!$AC$6:$AC$81)</f>
        <v>5</v>
      </c>
      <c r="D30" s="34" t="n">
        <f aca="false">COUNTIF('Matrice des notes'!$AC$6:$AC$81,"&gt;=4")</f>
        <v>17</v>
      </c>
      <c r="E30" s="3" t="str">
        <f aca="false">INDEX('Matrice des notes'!$B$6:$B$81,MATCH(C30,'Matrice des notes'!$AC$6:$AC$81,0))</f>
        <v>L-R03 · Moulin-à-Vent Les Michelons 2014</v>
      </c>
      <c r="F30" s="34" t="n">
        <f aca="false">INDEX('Matrice des notes'!$C$6:$C$81,MATCH(C30,'Matrice des notes'!$AC$6:$AC$81,0))</f>
        <v>145</v>
      </c>
    </row>
    <row r="31" customFormat="false" ht="15" hidden="false" customHeight="false" outlineLevel="0" collapsed="false">
      <c r="A31" s="3" t="s">
        <v>89</v>
      </c>
      <c r="B31" s="3" t="s">
        <v>52</v>
      </c>
      <c r="C31" s="34" t="n">
        <f aca="false">MAX('Matrice des notes'!$AD$6:$AD$81)</f>
        <v>5</v>
      </c>
      <c r="D31" s="34" t="n">
        <f aca="false">COUNTIF('Matrice des notes'!$AD$6:$AD$81,"&gt;=4")</f>
        <v>14</v>
      </c>
      <c r="E31" s="3" t="str">
        <f aca="false">INDEX('Matrice des notes'!$B$6:$B$81,MATCH(C31,'Matrice des notes'!$AD$6:$AD$81,0))</f>
        <v>L-R03 · Moulin-à-Vent Les Michelons 2014</v>
      </c>
      <c r="F31" s="34" t="n">
        <f aca="false">INDEX('Matrice des notes'!$C$6:$C$81,MATCH(C31,'Matrice des notes'!$AD$6:$AD$81,0))</f>
        <v>145</v>
      </c>
    </row>
    <row r="32" customFormat="false" ht="22.35" hidden="false" customHeight="false" outlineLevel="0" collapsed="false">
      <c r="A32" s="3" t="s">
        <v>92</v>
      </c>
      <c r="B32" s="3" t="s">
        <v>52</v>
      </c>
      <c r="C32" s="34" t="n">
        <f aca="false">MAX('Matrice des notes'!$AE$6:$AE$81)</f>
        <v>4</v>
      </c>
      <c r="D32" s="34" t="n">
        <f aca="false">COUNTIF('Matrice des notes'!$AE$6:$AE$81,"&gt;=4")</f>
        <v>4</v>
      </c>
      <c r="E32" s="3" t="str">
        <f aca="false">INDEX('Matrice des notes'!$B$6:$B$81,MATCH(C32,'Matrice des notes'!$AE$6:$AE$81,0))</f>
        <v>L-R01 · Chiroubles Domaine Piron 2024</v>
      </c>
      <c r="F32" s="34" t="n">
        <f aca="false">INDEX('Matrice des notes'!$C$6:$C$81,MATCH(C32,'Matrice des notes'!$AE$6:$AE$81,0))</f>
        <v>50</v>
      </c>
    </row>
    <row r="33" customFormat="false" ht="15" hidden="false" customHeight="false" outlineLevel="0" collapsed="false">
      <c r="A33" s="3" t="s">
        <v>95</v>
      </c>
      <c r="B33" s="3" t="s">
        <v>98</v>
      </c>
      <c r="C33" s="34" t="n">
        <f aca="false">MAX('Matrice des notes'!$AF$6:$AF$81)</f>
        <v>5</v>
      </c>
      <c r="D33" s="34" t="n">
        <f aca="false">COUNTIF('Matrice des notes'!$AF$6:$AF$81,"&gt;=4")</f>
        <v>1</v>
      </c>
      <c r="E33" s="3" t="str">
        <f aca="false">INDEX('Matrice des notes'!$B$6:$B$81,MATCH(C33,'Matrice des notes'!$AF$6:$AF$81,0))</f>
        <v>L-D01 · Sauternes Château Lange-Réglat (au verre)</v>
      </c>
      <c r="F33" s="34" t="n">
        <f aca="false">INDEX('Matrice des notes'!$C$6:$C$81,MATCH(C33,'Matrice des notes'!$AF$6:$AF$81,0))</f>
        <v>15</v>
      </c>
    </row>
    <row r="34" customFormat="false" ht="15" hidden="false" customHeight="false" outlineLevel="0" collapsed="false">
      <c r="A34" s="3" t="s">
        <v>99</v>
      </c>
      <c r="B34" s="3" t="s">
        <v>98</v>
      </c>
      <c r="C34" s="34" t="n">
        <f aca="false">MAX('Matrice des notes'!$AG$6:$AG$81)</f>
        <v>2</v>
      </c>
      <c r="D34" s="34" t="n">
        <f aca="false">COUNTIF('Matrice des notes'!$AG$6:$AG$81,"&gt;=4")</f>
        <v>0</v>
      </c>
      <c r="E34" s="3" t="str">
        <f aca="false">INDEX('Matrice des notes'!$B$6:$B$81,MATCH(C34,'Matrice des notes'!$AG$6:$AG$81,0))</f>
        <v>L-D01 · Sauternes Château Lange-Réglat (au verre)</v>
      </c>
      <c r="F34" s="34" t="n">
        <f aca="false">INDEX('Matrice des notes'!$C$6:$C$81,MATCH(C34,'Matrice des notes'!$AG$6:$AG$81,0))</f>
        <v>15</v>
      </c>
    </row>
    <row r="35" customFormat="false" ht="15" hidden="false" customHeight="false" outlineLevel="0" collapsed="false">
      <c r="A35" s="3" t="s">
        <v>102</v>
      </c>
      <c r="B35" s="3" t="s">
        <v>98</v>
      </c>
      <c r="C35" s="34" t="n">
        <f aca="false">MAX('Matrice des notes'!$AH$6:$AH$81)</f>
        <v>2</v>
      </c>
      <c r="D35" s="34" t="n">
        <f aca="false">COUNTIF('Matrice des notes'!$AH$6:$AH$81,"&gt;=4")</f>
        <v>0</v>
      </c>
      <c r="E35" s="3" t="str">
        <f aca="false">INDEX('Matrice des notes'!$B$6:$B$81,MATCH(C35,'Matrice des notes'!$AH$6:$AH$81,0))</f>
        <v>L-D01 · Sauternes Château Lange-Réglat (au verre)</v>
      </c>
      <c r="F35" s="34" t="n">
        <f aca="false">INDEX('Matrice des notes'!$C$6:$C$81,MATCH(C35,'Matrice des notes'!$AH$6:$AH$81,0))</f>
        <v>15</v>
      </c>
    </row>
    <row r="36" customFormat="false" ht="15" hidden="false" customHeight="false" outlineLevel="0" collapsed="false">
      <c r="A36" s="3" t="s">
        <v>104</v>
      </c>
      <c r="B36" s="3" t="s">
        <v>98</v>
      </c>
      <c r="C36" s="34" t="n">
        <f aca="false">MAX('Matrice des notes'!$AI$6:$AI$81)</f>
        <v>2</v>
      </c>
      <c r="D36" s="34" t="n">
        <f aca="false">COUNTIF('Matrice des notes'!$AI$6:$AI$81,"&gt;=4")</f>
        <v>0</v>
      </c>
      <c r="E36" s="3" t="str">
        <f aca="false">INDEX('Matrice des notes'!$B$6:$B$81,MATCH(C36,'Matrice des notes'!$AI$6:$AI$81,0))</f>
        <v>L-D01 · Sauternes Château Lange-Réglat (au verre)</v>
      </c>
      <c r="F36" s="34" t="n">
        <f aca="false">INDEX('Matrice des notes'!$C$6:$C$81,MATCH(C36,'Matrice des notes'!$AI$6:$AI$81,0))</f>
        <v>15</v>
      </c>
    </row>
    <row r="37" customFormat="false" ht="15" hidden="false" customHeight="false" outlineLevel="0" collapsed="false">
      <c r="A37" s="3" t="s">
        <v>107</v>
      </c>
      <c r="B37" s="3" t="s">
        <v>98</v>
      </c>
      <c r="C37" s="34" t="n">
        <f aca="false">MAX('Matrice des notes'!$AJ$6:$AJ$81)</f>
        <v>3</v>
      </c>
      <c r="D37" s="34" t="n">
        <f aca="false">COUNTIF('Matrice des notes'!$AJ$6:$AJ$81,"&gt;=4")</f>
        <v>0</v>
      </c>
      <c r="E37" s="3" t="str">
        <f aca="false">INDEX('Matrice des notes'!$B$6:$B$81,MATCH(C37,'Matrice des notes'!$AJ$6:$AJ$81,0))</f>
        <v>L-D01 · Sauternes Château Lange-Réglat (au verre)</v>
      </c>
      <c r="F37" s="34" t="n">
        <f aca="false">INDEX('Matrice des notes'!$C$6:$C$81,MATCH(C37,'Matrice des notes'!$AJ$6:$AJ$81,0))</f>
        <v>15</v>
      </c>
    </row>
    <row r="38" customFormat="false" ht="15" hidden="false" customHeight="false" outlineLevel="0" collapsed="false">
      <c r="A38" s="3" t="s">
        <v>110</v>
      </c>
      <c r="B38" s="3" t="s">
        <v>98</v>
      </c>
      <c r="C38" s="34" t="n">
        <f aca="false">MAX('Matrice des notes'!$AK$6:$AK$81)</f>
        <v>4</v>
      </c>
      <c r="D38" s="34" t="n">
        <f aca="false">COUNTIF('Matrice des notes'!$AK$6:$AK$81,"&gt;=4")</f>
        <v>1</v>
      </c>
      <c r="E38" s="3" t="str">
        <f aca="false">INDEX('Matrice des notes'!$B$6:$B$81,MATCH(C38,'Matrice des notes'!$AK$6:$AK$81,0))</f>
        <v>L-D01 · Sauternes Château Lange-Réglat (au verre)</v>
      </c>
      <c r="F38" s="34" t="n">
        <f aca="false">INDEX('Matrice des notes'!$C$6:$C$81,MATCH(C38,'Matrice des notes'!$AK$6:$AK$81,0))</f>
        <v>15</v>
      </c>
    </row>
    <row r="39" customFormat="false" ht="22.35" hidden="false" customHeight="false" outlineLevel="0" collapsed="false">
      <c r="A39" s="3" t="s">
        <v>113</v>
      </c>
      <c r="B39" s="3" t="s">
        <v>98</v>
      </c>
      <c r="C39" s="34" t="n">
        <f aca="false">MAX('Matrice des notes'!$AL$6:$AL$81)</f>
        <v>4</v>
      </c>
      <c r="D39" s="34" t="n">
        <f aca="false">COUNTIF('Matrice des notes'!$AL$6:$AL$81,"&gt;=4")</f>
        <v>1</v>
      </c>
      <c r="E39" s="3" t="str">
        <f aca="false">INDEX('Matrice des notes'!$B$6:$B$81,MATCH(C39,'Matrice des notes'!$AL$6:$AL$81,0))</f>
        <v>L-D01 · Sauternes Château Lange-Réglat (au verre)</v>
      </c>
      <c r="F39" s="34" t="n">
        <f aca="false">INDEX('Matrice des notes'!$C$6:$C$81,MATCH(C39,'Matrice des notes'!$AL$6:$AL$81,0))</f>
        <v>15</v>
      </c>
    </row>
    <row r="40" customFormat="false" ht="15" hidden="false" customHeight="false" outlineLevel="0" collapsed="false">
      <c r="A40" s="3" t="s">
        <v>116</v>
      </c>
      <c r="B40" s="3" t="s">
        <v>98</v>
      </c>
      <c r="C40" s="34" t="n">
        <f aca="false">MAX('Matrice des notes'!$AM$6:$AM$81)</f>
        <v>2</v>
      </c>
      <c r="D40" s="34" t="n">
        <f aca="false">COUNTIF('Matrice des notes'!$AM$6:$AM$81,"&gt;=4")</f>
        <v>0</v>
      </c>
      <c r="E40" s="3" t="str">
        <f aca="false">INDEX('Matrice des notes'!$B$6:$B$81,MATCH(C40,'Matrice des notes'!$AM$6:$AM$81,0))</f>
        <v>L-D01 · Sauternes Château Lange-Réglat (au verre)</v>
      </c>
      <c r="F40" s="34" t="n">
        <f aca="false">INDEX('Matrice des notes'!$C$6:$C$81,MATCH(C40,'Matrice des notes'!$AM$6:$AM$81,0))</f>
        <v>15</v>
      </c>
    </row>
    <row r="41" customFormat="false" ht="15" hidden="false" customHeight="false" outlineLevel="0" collapsed="false">
      <c r="A41" s="3" t="s">
        <v>119</v>
      </c>
      <c r="B41" s="3" t="s">
        <v>98</v>
      </c>
      <c r="C41" s="34" t="n">
        <f aca="false">MAX('Matrice des notes'!$AN$6:$AN$81)</f>
        <v>4</v>
      </c>
      <c r="D41" s="34" t="n">
        <f aca="false">COUNTIF('Matrice des notes'!$AN$6:$AN$81,"&gt;=4")</f>
        <v>1</v>
      </c>
      <c r="E41" s="3" t="str">
        <f aca="false">INDEX('Matrice des notes'!$B$6:$B$81,MATCH(C41,'Matrice des notes'!$AN$6:$AN$81,0))</f>
        <v>L-D01 · Sauternes Château Lange-Réglat (au verre)</v>
      </c>
      <c r="F41" s="34" t="n">
        <f aca="false">INDEX('Matrice des notes'!$C$6:$C$81,MATCH(C41,'Matrice des notes'!$AN$6:$AN$81,0))</f>
        <v>15</v>
      </c>
    </row>
    <row r="42" customFormat="false" ht="22.35" hidden="false" customHeight="false" outlineLevel="0" collapsed="false">
      <c r="A42" s="3" t="s">
        <v>121</v>
      </c>
      <c r="B42" s="3" t="s">
        <v>98</v>
      </c>
      <c r="C42" s="34" t="n">
        <f aca="false">MAX('Matrice des notes'!$AO$6:$AO$81)</f>
        <v>2</v>
      </c>
      <c r="D42" s="34" t="n">
        <f aca="false">COUNTIF('Matrice des notes'!$AO$6:$AO$81,"&gt;=4")</f>
        <v>0</v>
      </c>
      <c r="E42" s="3" t="str">
        <f aca="false">INDEX('Matrice des notes'!$B$6:$B$81,MATCH(C42,'Matrice des notes'!$AO$6:$AO$81,0))</f>
        <v>L-E01 · Valdobbiadene Prosecco Superiore Col de l'Utia NM</v>
      </c>
      <c r="F42" s="34" t="n">
        <f aca="false">INDEX('Matrice des notes'!$C$6:$C$81,MATCH(C42,'Matrice des notes'!$AO$6:$AO$81,0))</f>
        <v>62</v>
      </c>
    </row>
    <row r="43" customFormat="false" ht="15" hidden="false" customHeight="false" outlineLevel="0" collapsed="false">
      <c r="A43" s="3" t="s">
        <v>124</v>
      </c>
      <c r="B43" s="3" t="s">
        <v>98</v>
      </c>
      <c r="C43" s="34" t="n">
        <f aca="false">MAX('Matrice des notes'!$AP$6:$AP$81)</f>
        <v>4</v>
      </c>
      <c r="D43" s="34" t="n">
        <f aca="false">COUNTIF('Matrice des notes'!$AP$6:$AP$81,"&gt;=4")</f>
        <v>1</v>
      </c>
      <c r="E43" s="3" t="str">
        <f aca="false">INDEX('Matrice des notes'!$B$6:$B$81,MATCH(C43,'Matrice des notes'!$AP$6:$AP$81,0))</f>
        <v>L-B20 · Bierzo La del Vivo 2023</v>
      </c>
      <c r="F43" s="34" t="n">
        <f aca="false">INDEX('Matrice des notes'!$C$6:$C$81,MATCH(C43,'Matrice des notes'!$AP$6:$AP$81,0))</f>
        <v>58</v>
      </c>
    </row>
    <row r="45" customFormat="false" ht="15" hidden="false" customHeight="false" outlineLevel="0" collapsed="false">
      <c r="A45" s="35" t="s">
        <v>610</v>
      </c>
    </row>
    <row r="46" customFormat="false" ht="23.85" hidden="false" customHeight="false" outlineLevel="0" collapsed="false">
      <c r="A46" s="1" t="s">
        <v>182</v>
      </c>
      <c r="B46" s="1" t="s">
        <v>181</v>
      </c>
      <c r="C46" s="1" t="s">
        <v>4</v>
      </c>
      <c r="D46" s="1" t="s">
        <v>611</v>
      </c>
      <c r="E46" s="1" t="s">
        <v>612</v>
      </c>
      <c r="F46" s="1" t="s">
        <v>613</v>
      </c>
    </row>
    <row r="47" customFormat="false" ht="15" hidden="false" customHeight="false" outlineLevel="0" collapsed="false">
      <c r="A47" s="3" t="str">
        <f aca="false">'Matrice des notes'!B7</f>
        <v>L-B01 · IGP Val de Loire Sauvignon Le Petit Bourgeois 2024</v>
      </c>
      <c r="B47" s="3" t="str">
        <f aca="false">'Matrice des notes'!A7</f>
        <v>Blancs</v>
      </c>
      <c r="C47" s="34" t="n">
        <f aca="false">'Matrice des notes'!C7</f>
        <v>38</v>
      </c>
      <c r="D47" s="36" t="n">
        <f aca="false">AVERAGE('Matrice des notes'!$D$7:$AP$7)</f>
        <v>2.79487179487179</v>
      </c>
      <c r="E47" s="34" t="n">
        <f aca="false">COUNTIF('Matrice des notes'!$D$7:$AP$7,"&gt;=4")</f>
        <v>15</v>
      </c>
      <c r="F47" s="34" t="n">
        <f aca="false">COUNTIF('Matrice des notes'!$D$7:$AP$7,5)</f>
        <v>2</v>
      </c>
    </row>
    <row r="48" customFormat="false" ht="15" hidden="false" customHeight="false" outlineLevel="0" collapsed="false">
      <c r="A48" s="3" t="str">
        <f aca="false">'Matrice des notes'!B8</f>
        <v>L-B02 · Sancerre Henri Bourgeois 2025</v>
      </c>
      <c r="B48" s="3" t="str">
        <f aca="false">'Matrice des notes'!A8</f>
        <v>Blancs</v>
      </c>
      <c r="C48" s="34" t="n">
        <f aca="false">'Matrice des notes'!C8</f>
        <v>58</v>
      </c>
      <c r="D48" s="36" t="n">
        <f aca="false">AVERAGE('Matrice des notes'!$D$8:$AP$8)</f>
        <v>2.92307692307692</v>
      </c>
      <c r="E48" s="34" t="n">
        <f aca="false">COUNTIF('Matrice des notes'!$D$8:$AP$8,"&gt;=4")</f>
        <v>20</v>
      </c>
      <c r="F48" s="34" t="n">
        <f aca="false">COUNTIF('Matrice des notes'!$D$8:$AP$8,5)</f>
        <v>2</v>
      </c>
    </row>
    <row r="49" customFormat="false" ht="15" hidden="false" customHeight="false" outlineLevel="0" collapsed="false">
      <c r="A49" s="3" t="str">
        <f aca="false">'Matrice des notes'!B9</f>
        <v>L-B03 · Pouilly-Fumé de Ladoucette 2024</v>
      </c>
      <c r="B49" s="3" t="str">
        <f aca="false">'Matrice des notes'!A9</f>
        <v>Blancs</v>
      </c>
      <c r="C49" s="34" t="n">
        <f aca="false">'Matrice des notes'!C9</f>
        <v>80</v>
      </c>
      <c r="D49" s="36" t="n">
        <f aca="false">AVERAGE('Matrice des notes'!$D$9:$AP$9)</f>
        <v>3</v>
      </c>
      <c r="E49" s="34" t="n">
        <f aca="false">COUNTIF('Matrice des notes'!$D$9:$AP$9,"&gt;=4")</f>
        <v>20</v>
      </c>
      <c r="F49" s="34" t="n">
        <f aca="false">COUNTIF('Matrice des notes'!$D$9:$AP$9,5)</f>
        <v>5</v>
      </c>
    </row>
    <row r="50" customFormat="false" ht="15" hidden="false" customHeight="false" outlineLevel="0" collapsed="false">
      <c r="A50" s="3" t="str">
        <f aca="false">'Matrice des notes'!B10</f>
        <v>L-B04 · Pessac-Léognan Château Carbonnieux blanc 2024</v>
      </c>
      <c r="B50" s="3" t="str">
        <f aca="false">'Matrice des notes'!A10</f>
        <v>Blancs</v>
      </c>
      <c r="C50" s="34" t="n">
        <f aca="false">'Matrice des notes'!C10</f>
        <v>120</v>
      </c>
      <c r="D50" s="36" t="n">
        <f aca="false">AVERAGE('Matrice des notes'!$D$10:$AP$10)</f>
        <v>2.12820512820513</v>
      </c>
      <c r="E50" s="34" t="n">
        <f aca="false">COUNTIF('Matrice des notes'!$D$10:$AP$10,"&gt;=4")</f>
        <v>3</v>
      </c>
      <c r="F50" s="34" t="n">
        <f aca="false">COUNTIF('Matrice des notes'!$D$10:$AP$10,5)</f>
        <v>0</v>
      </c>
    </row>
    <row r="51" customFormat="false" ht="15" hidden="false" customHeight="false" outlineLevel="0" collapsed="false">
      <c r="A51" s="3" t="str">
        <f aca="false">'Matrice des notes'!B11</f>
        <v>L-B05 · Petit Chablis Pas Si Petit 2023</v>
      </c>
      <c r="B51" s="3" t="str">
        <f aca="false">'Matrice des notes'!A11</f>
        <v>Blancs</v>
      </c>
      <c r="C51" s="34" t="n">
        <f aca="false">'Matrice des notes'!C11</f>
        <v>46</v>
      </c>
      <c r="D51" s="36" t="n">
        <f aca="false">AVERAGE('Matrice des notes'!$D$11:$AP$11)</f>
        <v>2.8974358974359</v>
      </c>
      <c r="E51" s="34" t="n">
        <f aca="false">COUNTIF('Matrice des notes'!$D$11:$AP$11,"&gt;=4")</f>
        <v>17</v>
      </c>
      <c r="F51" s="34" t="n">
        <f aca="false">COUNTIF('Matrice des notes'!$D$11:$AP$11,5)</f>
        <v>4</v>
      </c>
    </row>
    <row r="52" customFormat="false" ht="15" hidden="false" customHeight="false" outlineLevel="0" collapsed="false">
      <c r="A52" s="3" t="str">
        <f aca="false">'Matrice des notes'!B12</f>
        <v>L-B06 · Montagny Millebuis 2022</v>
      </c>
      <c r="B52" s="3" t="str">
        <f aca="false">'Matrice des notes'!A12</f>
        <v>Blancs</v>
      </c>
      <c r="C52" s="34" t="n">
        <f aca="false">'Matrice des notes'!C12</f>
        <v>48</v>
      </c>
      <c r="D52" s="36" t="n">
        <f aca="false">AVERAGE('Matrice des notes'!$D$12:$AP$12)</f>
        <v>2.23076923076923</v>
      </c>
      <c r="E52" s="34" t="n">
        <f aca="false">COUNTIF('Matrice des notes'!$D$12:$AP$12,"&gt;=4")</f>
        <v>7</v>
      </c>
      <c r="F52" s="34" t="n">
        <f aca="false">COUNTIF('Matrice des notes'!$D$12:$AP$12,5)</f>
        <v>1</v>
      </c>
    </row>
    <row r="53" customFormat="false" ht="15" hidden="false" customHeight="false" outlineLevel="0" collapsed="false">
      <c r="A53" s="3" t="str">
        <f aca="false">'Matrice des notes'!B13</f>
        <v>L-B07 · Bourgogne Chardonnay Nuiton-Beaunoy 2023</v>
      </c>
      <c r="B53" s="3" t="str">
        <f aca="false">'Matrice des notes'!A13</f>
        <v>Blancs</v>
      </c>
      <c r="C53" s="34" t="n">
        <f aca="false">'Matrice des notes'!C13</f>
        <v>49</v>
      </c>
      <c r="D53" s="36" t="n">
        <f aca="false">AVERAGE('Matrice des notes'!$D$13:$AP$13)</f>
        <v>2.1025641025641</v>
      </c>
      <c r="E53" s="34" t="n">
        <f aca="false">COUNTIF('Matrice des notes'!$D$13:$AP$13,"&gt;=4")</f>
        <v>2</v>
      </c>
      <c r="F53" s="34" t="n">
        <f aca="false">COUNTIF('Matrice des notes'!$D$13:$AP$13,5)</f>
        <v>1</v>
      </c>
    </row>
    <row r="54" customFormat="false" ht="15" hidden="false" customHeight="false" outlineLevel="0" collapsed="false">
      <c r="A54" s="3" t="str">
        <f aca="false">'Matrice des notes'!B14</f>
        <v>L-B08 · Puligny-Montrachet 1er Cru Champ Gain 2019</v>
      </c>
      <c r="B54" s="3" t="str">
        <f aca="false">'Matrice des notes'!A14</f>
        <v>Blancs</v>
      </c>
      <c r="C54" s="34" t="n">
        <f aca="false">'Matrice des notes'!C14</f>
        <v>195</v>
      </c>
      <c r="D54" s="36" t="n">
        <f aca="false">AVERAGE('Matrice des notes'!$D$14:$AP$14)</f>
        <v>2.05128205128205</v>
      </c>
      <c r="E54" s="34" t="n">
        <f aca="false">COUNTIF('Matrice des notes'!$D$14:$AP$14,"&gt;=4")</f>
        <v>3</v>
      </c>
      <c r="F54" s="34" t="n">
        <f aca="false">COUNTIF('Matrice des notes'!$D$14:$AP$14,5)</f>
        <v>2</v>
      </c>
    </row>
    <row r="55" customFormat="false" ht="15" hidden="false" customHeight="false" outlineLevel="0" collapsed="false">
      <c r="A55" s="3" t="str">
        <f aca="false">'Matrice des notes'!B15</f>
        <v>L-B09 · Puligny-Montrachet 1er Cru Les Folatières 2017</v>
      </c>
      <c r="B55" s="3" t="str">
        <f aca="false">'Matrice des notes'!A15</f>
        <v>Blancs</v>
      </c>
      <c r="C55" s="34" t="n">
        <f aca="false">'Matrice des notes'!C15</f>
        <v>395</v>
      </c>
      <c r="D55" s="36" t="n">
        <f aca="false">AVERAGE('Matrice des notes'!$D$15:$AP$15)</f>
        <v>2</v>
      </c>
      <c r="E55" s="34" t="n">
        <f aca="false">COUNTIF('Matrice des notes'!$D$15:$AP$15,"&gt;=4")</f>
        <v>3</v>
      </c>
      <c r="F55" s="34" t="n">
        <f aca="false">COUNTIF('Matrice des notes'!$D$15:$AP$15,5)</f>
        <v>0</v>
      </c>
    </row>
    <row r="56" customFormat="false" ht="22.35" hidden="false" customHeight="false" outlineLevel="0" collapsed="false">
      <c r="A56" s="3" t="str">
        <f aca="false">'Matrice des notes'!B16</f>
        <v>L-B10 · Chassagne-Montrachet 1er Cru Les Chenevottes 2020</v>
      </c>
      <c r="B56" s="3" t="str">
        <f aca="false">'Matrice des notes'!A16</f>
        <v>Blancs</v>
      </c>
      <c r="C56" s="34" t="n">
        <f aca="false">'Matrice des notes'!C16</f>
        <v>240</v>
      </c>
      <c r="D56" s="36" t="n">
        <f aca="false">AVERAGE('Matrice des notes'!$D$16:$AP$16)</f>
        <v>1.69230769230769</v>
      </c>
      <c r="E56" s="34" t="n">
        <f aca="false">COUNTIF('Matrice des notes'!$D$16:$AP$16,"&gt;=4")</f>
        <v>3</v>
      </c>
      <c r="F56" s="34" t="n">
        <f aca="false">COUNTIF('Matrice des notes'!$D$16:$AP$16,5)</f>
        <v>0</v>
      </c>
    </row>
    <row r="57" customFormat="false" ht="15" hidden="false" customHeight="false" outlineLevel="0" collapsed="false">
      <c r="A57" s="3" t="str">
        <f aca="false">'Matrice des notes'!B17</f>
        <v>L-B11 · Beaune 1er Cru Clos des Mouches blanc 2017</v>
      </c>
      <c r="B57" s="3" t="str">
        <f aca="false">'Matrice des notes'!A17</f>
        <v>Blancs</v>
      </c>
      <c r="C57" s="34" t="n">
        <f aca="false">'Matrice des notes'!C17</f>
        <v>250</v>
      </c>
      <c r="D57" s="36" t="n">
        <f aca="false">AVERAGE('Matrice des notes'!$D$17:$AP$17)</f>
        <v>1.76923076923077</v>
      </c>
      <c r="E57" s="34" t="n">
        <f aca="false">COUNTIF('Matrice des notes'!$D$17:$AP$17,"&gt;=4")</f>
        <v>3</v>
      </c>
      <c r="F57" s="34" t="n">
        <f aca="false">COUNTIF('Matrice des notes'!$D$17:$AP$17,5)</f>
        <v>2</v>
      </c>
    </row>
    <row r="58" customFormat="false" ht="15" hidden="false" customHeight="false" outlineLevel="0" collapsed="false">
      <c r="A58" s="3" t="str">
        <f aca="false">'Matrice des notes'!B18</f>
        <v>L-B12 · Meursault Les Tessons 2018</v>
      </c>
      <c r="B58" s="3" t="str">
        <f aca="false">'Matrice des notes'!A18</f>
        <v>Blancs</v>
      </c>
      <c r="C58" s="34" t="n">
        <f aca="false">'Matrice des notes'!C18</f>
        <v>285</v>
      </c>
      <c r="D58" s="36" t="n">
        <f aca="false">AVERAGE('Matrice des notes'!$D$18:$AP$18)</f>
        <v>1.76923076923077</v>
      </c>
      <c r="E58" s="34" t="n">
        <f aca="false">COUNTIF('Matrice des notes'!$D$18:$AP$18,"&gt;=4")</f>
        <v>3</v>
      </c>
      <c r="F58" s="34" t="n">
        <f aca="false">COUNTIF('Matrice des notes'!$D$18:$AP$18,5)</f>
        <v>2</v>
      </c>
    </row>
    <row r="59" customFormat="false" ht="22.35" hidden="false" customHeight="false" outlineLevel="0" collapsed="false">
      <c r="A59" s="3" t="str">
        <f aca="false">'Matrice des notes'!B19</f>
        <v>L-B13 · Corton-Charlemagne Grand Cru « Quintessence » 2017</v>
      </c>
      <c r="B59" s="3" t="str">
        <f aca="false">'Matrice des notes'!A19</f>
        <v>Blancs</v>
      </c>
      <c r="C59" s="34" t="n">
        <f aca="false">'Matrice des notes'!C19</f>
        <v>560</v>
      </c>
      <c r="D59" s="36" t="n">
        <f aca="false">AVERAGE('Matrice des notes'!$D$19:$AP$19)</f>
        <v>2</v>
      </c>
      <c r="E59" s="34" t="n">
        <f aca="false">COUNTIF('Matrice des notes'!$D$19:$AP$19,"&gt;=4")</f>
        <v>3</v>
      </c>
      <c r="F59" s="34" t="n">
        <f aca="false">COUNTIF('Matrice des notes'!$D$19:$AP$19,5)</f>
        <v>0</v>
      </c>
    </row>
    <row r="60" customFormat="false" ht="15" hidden="false" customHeight="false" outlineLevel="0" collapsed="false">
      <c r="A60" s="3" t="str">
        <f aca="false">'Matrice des notes'!B20</f>
        <v>L-B14 · Châteauneuf-du-Pape blanc Renaissance 2024</v>
      </c>
      <c r="B60" s="3" t="str">
        <f aca="false">'Matrice des notes'!A20</f>
        <v>Blancs</v>
      </c>
      <c r="C60" s="34" t="n">
        <f aca="false">'Matrice des notes'!C20</f>
        <v>86</v>
      </c>
      <c r="D60" s="36" t="n">
        <f aca="false">AVERAGE('Matrice des notes'!$D$20:$AP$20)</f>
        <v>2.15384615384615</v>
      </c>
      <c r="E60" s="34" t="n">
        <f aca="false">COUNTIF('Matrice des notes'!$D$20:$AP$20,"&gt;=4")</f>
        <v>7</v>
      </c>
      <c r="F60" s="34" t="n">
        <f aca="false">COUNTIF('Matrice des notes'!$D$20:$AP$20,5)</f>
        <v>0</v>
      </c>
    </row>
    <row r="61" customFormat="false" ht="15" hidden="false" customHeight="false" outlineLevel="0" collapsed="false">
      <c r="A61" s="3" t="str">
        <f aca="false">'Matrice des notes'!B21</f>
        <v>L-B15 · Condrieu Pagus Luminis 2024</v>
      </c>
      <c r="B61" s="3" t="str">
        <f aca="false">'Matrice des notes'!A21</f>
        <v>Blancs</v>
      </c>
      <c r="C61" s="34" t="n">
        <f aca="false">'Matrice des notes'!C21</f>
        <v>125</v>
      </c>
      <c r="D61" s="36" t="n">
        <f aca="false">AVERAGE('Matrice des notes'!$D$21:$AP$21)</f>
        <v>1.64102564102564</v>
      </c>
      <c r="E61" s="34" t="n">
        <f aca="false">COUNTIF('Matrice des notes'!$D$21:$AP$21,"&gt;=4")</f>
        <v>0</v>
      </c>
      <c r="F61" s="34" t="n">
        <f aca="false">COUNTIF('Matrice des notes'!$D$21:$AP$21,5)</f>
        <v>0</v>
      </c>
    </row>
    <row r="62" customFormat="false" ht="22.35" hidden="false" customHeight="false" outlineLevel="0" collapsed="false">
      <c r="A62" s="3" t="str">
        <f aca="false">'Matrice des notes'!B22</f>
        <v>L-B16 · Languedoc-Roussillon Le Pied des Nymphettes blanc 2018</v>
      </c>
      <c r="B62" s="3" t="str">
        <f aca="false">'Matrice des notes'!A22</f>
        <v>Blancs</v>
      </c>
      <c r="C62" s="34" t="n">
        <f aca="false">'Matrice des notes'!C22</f>
        <v>95</v>
      </c>
      <c r="D62" s="36" t="n">
        <f aca="false">AVERAGE('Matrice des notes'!$D$22:$AP$22)</f>
        <v>1.64102564102564</v>
      </c>
      <c r="E62" s="34" t="n">
        <f aca="false">COUNTIF('Matrice des notes'!$D$22:$AP$22,"&gt;=4")</f>
        <v>0</v>
      </c>
      <c r="F62" s="34" t="n">
        <f aca="false">COUNTIF('Matrice des notes'!$D$22:$AP$22,5)</f>
        <v>0</v>
      </c>
    </row>
    <row r="63" customFormat="false" ht="15" hidden="false" customHeight="false" outlineLevel="0" collapsed="false">
      <c r="A63" s="3" t="str">
        <f aca="false">'Matrice des notes'!B23</f>
        <v>L-B17 · Vermentino di Sardegna Prendas 2024</v>
      </c>
      <c r="B63" s="3" t="str">
        <f aca="false">'Matrice des notes'!A23</f>
        <v>Blancs</v>
      </c>
      <c r="C63" s="34" t="n">
        <f aca="false">'Matrice des notes'!C23</f>
        <v>46</v>
      </c>
      <c r="D63" s="36" t="n">
        <f aca="false">AVERAGE('Matrice des notes'!$D$23:$AP$23)</f>
        <v>2.43589743589744</v>
      </c>
      <c r="E63" s="34" t="n">
        <f aca="false">COUNTIF('Matrice des notes'!$D$23:$AP$23,"&gt;=4")</f>
        <v>4</v>
      </c>
      <c r="F63" s="34" t="n">
        <f aca="false">COUNTIF('Matrice des notes'!$D$23:$AP$23,5)</f>
        <v>0</v>
      </c>
    </row>
    <row r="64" customFormat="false" ht="15" hidden="false" customHeight="false" outlineLevel="0" collapsed="false">
      <c r="A64" s="3" t="str">
        <f aca="false">'Matrice des notes'!B24</f>
        <v>L-B18 · Etna Bianco Barone di Villagrande 2024</v>
      </c>
      <c r="B64" s="3" t="str">
        <f aca="false">'Matrice des notes'!A24</f>
        <v>Blancs</v>
      </c>
      <c r="C64" s="34" t="n">
        <f aca="false">'Matrice des notes'!C24</f>
        <v>48</v>
      </c>
      <c r="D64" s="36" t="n">
        <f aca="false">AVERAGE('Matrice des notes'!$D$24:$AP$24)</f>
        <v>2.76923076923077</v>
      </c>
      <c r="E64" s="34" t="n">
        <f aca="false">COUNTIF('Matrice des notes'!$D$24:$AP$24,"&gt;=4")</f>
        <v>15</v>
      </c>
      <c r="F64" s="34" t="n">
        <f aca="false">COUNTIF('Matrice des notes'!$D$24:$AP$24,5)</f>
        <v>1</v>
      </c>
    </row>
    <row r="65" customFormat="false" ht="15" hidden="false" customHeight="false" outlineLevel="0" collapsed="false">
      <c r="A65" s="3" t="str">
        <f aca="false">'Matrice des notes'!B25</f>
        <v>L-B19 · Montsant Acústic Blanc 2022</v>
      </c>
      <c r="B65" s="3" t="str">
        <f aca="false">'Matrice des notes'!A25</f>
        <v>Blancs</v>
      </c>
      <c r="C65" s="34" t="n">
        <f aca="false">'Matrice des notes'!C25</f>
        <v>42</v>
      </c>
      <c r="D65" s="36" t="n">
        <f aca="false">AVERAGE('Matrice des notes'!$D$25:$AP$25)</f>
        <v>2.15384615384615</v>
      </c>
      <c r="E65" s="34" t="n">
        <f aca="false">COUNTIF('Matrice des notes'!$D$25:$AP$25,"&gt;=4")</f>
        <v>7</v>
      </c>
      <c r="F65" s="34" t="n">
        <f aca="false">COUNTIF('Matrice des notes'!$D$25:$AP$25,5)</f>
        <v>0</v>
      </c>
    </row>
    <row r="66" customFormat="false" ht="15" hidden="false" customHeight="false" outlineLevel="0" collapsed="false">
      <c r="A66" s="3" t="str">
        <f aca="false">'Matrice des notes'!B26</f>
        <v>L-B20 · Bierzo La del Vivo 2023</v>
      </c>
      <c r="B66" s="3" t="str">
        <f aca="false">'Matrice des notes'!A26</f>
        <v>Blancs</v>
      </c>
      <c r="C66" s="34" t="n">
        <f aca="false">'Matrice des notes'!C26</f>
        <v>58</v>
      </c>
      <c r="D66" s="36" t="n">
        <f aca="false">AVERAGE('Matrice des notes'!$D$26:$AP$26)</f>
        <v>2.66666666666667</v>
      </c>
      <c r="E66" s="34" t="n">
        <f aca="false">COUNTIF('Matrice des notes'!$D$26:$AP$26,"&gt;=4")</f>
        <v>11</v>
      </c>
      <c r="F66" s="34" t="n">
        <f aca="false">COUNTIF('Matrice des notes'!$D$26:$AP$26,5)</f>
        <v>0</v>
      </c>
    </row>
    <row r="67" customFormat="false" ht="15" hidden="false" customHeight="false" outlineLevel="0" collapsed="false">
      <c r="A67" s="3" t="str">
        <f aca="false">'Matrice des notes'!B27</f>
        <v>L-B21 · Chablis Saint-Pierre 2024 · 37,5 cl</v>
      </c>
      <c r="B67" s="3" t="str">
        <f aca="false">'Matrice des notes'!A27</f>
        <v>Blancs</v>
      </c>
      <c r="C67" s="34" t="n">
        <f aca="false">'Matrice des notes'!C27</f>
        <v>28</v>
      </c>
      <c r="D67" s="36" t="n">
        <f aca="false">AVERAGE('Matrice des notes'!$D$27:$AP$27)</f>
        <v>2.82051282051282</v>
      </c>
      <c r="E67" s="34" t="n">
        <f aca="false">COUNTIF('Matrice des notes'!$D$27:$AP$27,"&gt;=4")</f>
        <v>15</v>
      </c>
      <c r="F67" s="34" t="n">
        <f aca="false">COUNTIF('Matrice des notes'!$D$27:$AP$27,5)</f>
        <v>3</v>
      </c>
    </row>
    <row r="68" customFormat="false" ht="15" hidden="false" customHeight="false" outlineLevel="0" collapsed="false">
      <c r="A68" s="3" t="str">
        <f aca="false">'Matrice des notes'!B29</f>
        <v>L-R01 · Chiroubles Domaine Piron 2024</v>
      </c>
      <c r="B68" s="3" t="str">
        <f aca="false">'Matrice des notes'!A29</f>
        <v>Rouges</v>
      </c>
      <c r="C68" s="34" t="n">
        <f aca="false">'Matrice des notes'!C29</f>
        <v>50</v>
      </c>
      <c r="D68" s="36" t="n">
        <f aca="false">AVERAGE('Matrice des notes'!$D$29:$AP$29)</f>
        <v>2.23076923076923</v>
      </c>
      <c r="E68" s="34" t="n">
        <f aca="false">COUNTIF('Matrice des notes'!$D$29:$AP$29,"&gt;=4")</f>
        <v>6</v>
      </c>
      <c r="F68" s="34" t="n">
        <f aca="false">COUNTIF('Matrice des notes'!$D$29:$AP$29,5)</f>
        <v>2</v>
      </c>
    </row>
    <row r="69" customFormat="false" ht="15" hidden="false" customHeight="false" outlineLevel="0" collapsed="false">
      <c r="A69" s="3" t="str">
        <f aca="false">'Matrice des notes'!B30</f>
        <v>L-R02 · Saint-Amour Domaine Piron 2024</v>
      </c>
      <c r="B69" s="3" t="str">
        <f aca="false">'Matrice des notes'!A30</f>
        <v>Rouges</v>
      </c>
      <c r="C69" s="34" t="n">
        <f aca="false">'Matrice des notes'!C30</f>
        <v>54</v>
      </c>
      <c r="D69" s="36" t="n">
        <f aca="false">AVERAGE('Matrice des notes'!$D$30:$AP$30)</f>
        <v>1.82051282051282</v>
      </c>
      <c r="E69" s="34" t="n">
        <f aca="false">COUNTIF('Matrice des notes'!$D$30:$AP$30,"&gt;=4")</f>
        <v>8</v>
      </c>
      <c r="F69" s="34" t="n">
        <f aca="false">COUNTIF('Matrice des notes'!$D$30:$AP$30,5)</f>
        <v>0</v>
      </c>
    </row>
    <row r="70" customFormat="false" ht="15" hidden="false" customHeight="false" outlineLevel="0" collapsed="false">
      <c r="A70" s="3" t="str">
        <f aca="false">'Matrice des notes'!B31</f>
        <v>L-R03 · Moulin-à-Vent Les Michelons 2014</v>
      </c>
      <c r="B70" s="3" t="str">
        <f aca="false">'Matrice des notes'!A31</f>
        <v>Rouges</v>
      </c>
      <c r="C70" s="34" t="n">
        <f aca="false">'Matrice des notes'!C31</f>
        <v>145</v>
      </c>
      <c r="D70" s="36" t="n">
        <f aca="false">AVERAGE('Matrice des notes'!$D$31:$AP$31)</f>
        <v>1.82051282051282</v>
      </c>
      <c r="E70" s="34" t="n">
        <f aca="false">COUNTIF('Matrice des notes'!$D$31:$AP$31,"&gt;=4")</f>
        <v>7</v>
      </c>
      <c r="F70" s="34" t="n">
        <f aca="false">COUNTIF('Matrice des notes'!$D$31:$AP$31,5)</f>
        <v>4</v>
      </c>
    </row>
    <row r="71" customFormat="false" ht="15" hidden="false" customHeight="false" outlineLevel="0" collapsed="false">
      <c r="A71" s="3" t="str">
        <f aca="false">'Matrice des notes'!B32</f>
        <v>L-R04 · Bourgogne Pinot noir Nuiton-Beaunoy 2023</v>
      </c>
      <c r="B71" s="3" t="str">
        <f aca="false">'Matrice des notes'!A32</f>
        <v>Rouges</v>
      </c>
      <c r="C71" s="34" t="n">
        <f aca="false">'Matrice des notes'!C32</f>
        <v>49</v>
      </c>
      <c r="D71" s="36" t="n">
        <f aca="false">AVERAGE('Matrice des notes'!$D$32:$AP$32)</f>
        <v>1.94871794871795</v>
      </c>
      <c r="E71" s="34" t="n">
        <f aca="false">COUNTIF('Matrice des notes'!$D$32:$AP$32,"&gt;=4")</f>
        <v>3</v>
      </c>
      <c r="F71" s="34" t="n">
        <f aca="false">COUNTIF('Matrice des notes'!$D$32:$AP$32,5)</f>
        <v>0</v>
      </c>
    </row>
    <row r="72" customFormat="false" ht="15" hidden="false" customHeight="false" outlineLevel="0" collapsed="false">
      <c r="A72" s="3" t="str">
        <f aca="false">'Matrice des notes'!B33</f>
        <v>L-R05 · Givry Millebuis 2023</v>
      </c>
      <c r="B72" s="3" t="str">
        <f aca="false">'Matrice des notes'!A33</f>
        <v>Rouges</v>
      </c>
      <c r="C72" s="34" t="n">
        <f aca="false">'Matrice des notes'!C33</f>
        <v>58</v>
      </c>
      <c r="D72" s="36" t="n">
        <f aca="false">AVERAGE('Matrice des notes'!$D$33:$AP$33)</f>
        <v>1.69230769230769</v>
      </c>
      <c r="E72" s="34" t="n">
        <f aca="false">COUNTIF('Matrice des notes'!$D$33:$AP$33,"&gt;=4")</f>
        <v>6</v>
      </c>
      <c r="F72" s="34" t="n">
        <f aca="false">COUNTIF('Matrice des notes'!$D$33:$AP$33,5)</f>
        <v>0</v>
      </c>
    </row>
    <row r="73" customFormat="false" ht="15" hidden="false" customHeight="false" outlineLevel="0" collapsed="false">
      <c r="A73" s="3" t="str">
        <f aca="false">'Matrice des notes'!B34</f>
        <v>L-R06 · Pommard 1er Cru Les Grands Épenots 2018</v>
      </c>
      <c r="B73" s="3" t="str">
        <f aca="false">'Matrice des notes'!A34</f>
        <v>Rouges</v>
      </c>
      <c r="C73" s="34" t="n">
        <f aca="false">'Matrice des notes'!C34</f>
        <v>210</v>
      </c>
      <c r="D73" s="36" t="n">
        <f aca="false">AVERAGE('Matrice des notes'!$D$34:$AP$34)</f>
        <v>1.51282051282051</v>
      </c>
      <c r="E73" s="34" t="n">
        <f aca="false">COUNTIF('Matrice des notes'!$D$34:$AP$34,"&gt;=4")</f>
        <v>4</v>
      </c>
      <c r="F73" s="34" t="n">
        <f aca="false">COUNTIF('Matrice des notes'!$D$34:$AP$34,5)</f>
        <v>2</v>
      </c>
    </row>
    <row r="74" customFormat="false" ht="15" hidden="false" customHeight="false" outlineLevel="0" collapsed="false">
      <c r="A74" s="3" t="str">
        <f aca="false">'Matrice des notes'!B35</f>
        <v>L-R07 · Beaune 1er Cru Clos des Fèves 2018</v>
      </c>
      <c r="B74" s="3" t="str">
        <f aca="false">'Matrice des notes'!A35</f>
        <v>Rouges</v>
      </c>
      <c r="C74" s="34" t="n">
        <f aca="false">'Matrice des notes'!C35</f>
        <v>320</v>
      </c>
      <c r="D74" s="36" t="n">
        <f aca="false">AVERAGE('Matrice des notes'!$D$35:$AP$35)</f>
        <v>1.46153846153846</v>
      </c>
      <c r="E74" s="34" t="n">
        <f aca="false">COUNTIF('Matrice des notes'!$D$35:$AP$35,"&gt;=4")</f>
        <v>3</v>
      </c>
      <c r="F74" s="34" t="n">
        <f aca="false">COUNTIF('Matrice des notes'!$D$35:$AP$35,5)</f>
        <v>1</v>
      </c>
    </row>
    <row r="75" customFormat="false" ht="15" hidden="false" customHeight="false" outlineLevel="0" collapsed="false">
      <c r="A75" s="3" t="str">
        <f aca="false">'Matrice des notes'!B36</f>
        <v>L-R08 · Corton Grand Cru Clos du Roi 2018</v>
      </c>
      <c r="B75" s="3" t="str">
        <f aca="false">'Matrice des notes'!A36</f>
        <v>Rouges</v>
      </c>
      <c r="C75" s="34" t="n">
        <f aca="false">'Matrice des notes'!C36</f>
        <v>485</v>
      </c>
      <c r="D75" s="36" t="n">
        <f aca="false">AVERAGE('Matrice des notes'!$D$36:$AP$36)</f>
        <v>1.25641025641026</v>
      </c>
      <c r="E75" s="34" t="n">
        <f aca="false">COUNTIF('Matrice des notes'!$D$36:$AP$36,"&gt;=4")</f>
        <v>0</v>
      </c>
      <c r="F75" s="34" t="n">
        <f aca="false">COUNTIF('Matrice des notes'!$D$36:$AP$36,5)</f>
        <v>0</v>
      </c>
    </row>
    <row r="76" customFormat="false" ht="15" hidden="false" customHeight="false" outlineLevel="0" collapsed="false">
      <c r="A76" s="3" t="str">
        <f aca="false">'Matrice des notes'!B37</f>
        <v>L-R09 · Gevrey-Chambertin Justice / Seuvrées 2018-2019</v>
      </c>
      <c r="B76" s="3" t="str">
        <f aca="false">'Matrice des notes'!A37</f>
        <v>Rouges</v>
      </c>
      <c r="C76" s="34" t="n">
        <f aca="false">'Matrice des notes'!C37</f>
        <v>560</v>
      </c>
      <c r="D76" s="36" t="n">
        <f aca="false">AVERAGE('Matrice des notes'!$D$37:$AP$37)</f>
        <v>1.28205128205128</v>
      </c>
      <c r="E76" s="34" t="n">
        <f aca="false">COUNTIF('Matrice des notes'!$D$37:$AP$37,"&gt;=4")</f>
        <v>1</v>
      </c>
      <c r="F76" s="34" t="n">
        <f aca="false">COUNTIF('Matrice des notes'!$D$37:$AP$37,5)</f>
        <v>0</v>
      </c>
    </row>
    <row r="77" customFormat="false" ht="15" hidden="false" customHeight="false" outlineLevel="0" collapsed="false">
      <c r="A77" s="3" t="str">
        <f aca="false">'Matrice des notes'!B38</f>
        <v>L-R10 · Bourgueil Côte 50 2024</v>
      </c>
      <c r="B77" s="3" t="str">
        <f aca="false">'Matrice des notes'!A38</f>
        <v>Rouges</v>
      </c>
      <c r="C77" s="34" t="n">
        <f aca="false">'Matrice des notes'!C38</f>
        <v>45</v>
      </c>
      <c r="D77" s="36" t="n">
        <f aca="false">AVERAGE('Matrice des notes'!$D$38:$AP$38)</f>
        <v>2.17948717948718</v>
      </c>
      <c r="E77" s="34" t="n">
        <f aca="false">COUNTIF('Matrice des notes'!$D$38:$AP$38,"&gt;=4")</f>
        <v>5</v>
      </c>
      <c r="F77" s="34" t="n">
        <f aca="false">COUNTIF('Matrice des notes'!$D$38:$AP$38,5)</f>
        <v>2</v>
      </c>
    </row>
    <row r="78" customFormat="false" ht="15" hidden="false" customHeight="false" outlineLevel="0" collapsed="false">
      <c r="A78" s="3" t="str">
        <f aca="false">'Matrice des notes'!B39</f>
        <v>L-R11 · Sancerre rouge Henri Bourgeois 2023</v>
      </c>
      <c r="B78" s="3" t="str">
        <f aca="false">'Matrice des notes'!A39</f>
        <v>Rouges</v>
      </c>
      <c r="C78" s="34" t="n">
        <f aca="false">'Matrice des notes'!C39</f>
        <v>48</v>
      </c>
      <c r="D78" s="36" t="n">
        <f aca="false">AVERAGE('Matrice des notes'!$D$39:$AP$39)</f>
        <v>2.12820512820513</v>
      </c>
      <c r="E78" s="34" t="n">
        <f aca="false">COUNTIF('Matrice des notes'!$D$39:$AP$39,"&gt;=4")</f>
        <v>5</v>
      </c>
      <c r="F78" s="34" t="n">
        <f aca="false">COUNTIF('Matrice des notes'!$D$39:$AP$39,5)</f>
        <v>2</v>
      </c>
    </row>
    <row r="79" customFormat="false" ht="15" hidden="false" customHeight="false" outlineLevel="0" collapsed="false">
      <c r="A79" s="3" t="str">
        <f aca="false">'Matrice des notes'!B40</f>
        <v>L-R12 · Rhône Terres de Cure 2022</v>
      </c>
      <c r="B79" s="3" t="str">
        <f aca="false">'Matrice des notes'!A40</f>
        <v>Rouges</v>
      </c>
      <c r="C79" s="34" t="n">
        <f aca="false">'Matrice des notes'!C40</f>
        <v>45</v>
      </c>
      <c r="D79" s="36" t="n">
        <f aca="false">AVERAGE('Matrice des notes'!$D$40:$AP$40)</f>
        <v>1.43589743589744</v>
      </c>
      <c r="E79" s="34" t="n">
        <f aca="false">COUNTIF('Matrice des notes'!$D$40:$AP$40,"&gt;=4")</f>
        <v>0</v>
      </c>
      <c r="F79" s="34" t="n">
        <f aca="false">COUNTIF('Matrice des notes'!$D$40:$AP$40,5)</f>
        <v>0</v>
      </c>
    </row>
    <row r="80" customFormat="false" ht="15" hidden="false" customHeight="false" outlineLevel="0" collapsed="false">
      <c r="A80" s="3" t="str">
        <f aca="false">'Matrice des notes'!B41</f>
        <v>L-R13 · Crozes-Hermitage Le Millepertuis 2023</v>
      </c>
      <c r="B80" s="3" t="str">
        <f aca="false">'Matrice des notes'!A41</f>
        <v>Rouges</v>
      </c>
      <c r="C80" s="34" t="n">
        <f aca="false">'Matrice des notes'!C41</f>
        <v>58</v>
      </c>
      <c r="D80" s="36" t="n">
        <f aca="false">AVERAGE('Matrice des notes'!$D$41:$AP$41)</f>
        <v>1.46153846153846</v>
      </c>
      <c r="E80" s="34" t="n">
        <f aca="false">COUNTIF('Matrice des notes'!$D$41:$AP$41,"&gt;=4")</f>
        <v>1</v>
      </c>
      <c r="F80" s="34" t="n">
        <f aca="false">COUNTIF('Matrice des notes'!$D$41:$AP$41,5)</f>
        <v>0</v>
      </c>
    </row>
    <row r="81" customFormat="false" ht="15" hidden="false" customHeight="false" outlineLevel="0" collapsed="false">
      <c r="A81" s="3" t="str">
        <f aca="false">'Matrice des notes'!B42</f>
        <v>L-R14 · Châteauneuf-du-Pape Les Olivets 2023</v>
      </c>
      <c r="B81" s="3" t="str">
        <f aca="false">'Matrice des notes'!A42</f>
        <v>Rouges</v>
      </c>
      <c r="C81" s="34" t="n">
        <f aca="false">'Matrice des notes'!C42</f>
        <v>68</v>
      </c>
      <c r="D81" s="36" t="n">
        <f aca="false">AVERAGE('Matrice des notes'!$D$42:$AP$42)</f>
        <v>1.43589743589744</v>
      </c>
      <c r="E81" s="34" t="n">
        <f aca="false">COUNTIF('Matrice des notes'!$D$42:$AP$42,"&gt;=4")</f>
        <v>1</v>
      </c>
      <c r="F81" s="34" t="n">
        <f aca="false">COUNTIF('Matrice des notes'!$D$42:$AP$42,5)</f>
        <v>0</v>
      </c>
    </row>
    <row r="82" customFormat="false" ht="15" hidden="false" customHeight="false" outlineLevel="0" collapsed="false">
      <c r="A82" s="3" t="str">
        <f aca="false">'Matrice des notes'!B43</f>
        <v>L-R15 · Côte-Rôtie Promesse 2023</v>
      </c>
      <c r="B82" s="3" t="str">
        <f aca="false">'Matrice des notes'!A43</f>
        <v>Rouges</v>
      </c>
      <c r="C82" s="34" t="n">
        <f aca="false">'Matrice des notes'!C43</f>
        <v>115</v>
      </c>
      <c r="D82" s="36" t="n">
        <f aca="false">AVERAGE('Matrice des notes'!$D$43:$AP$43)</f>
        <v>1.35897435897436</v>
      </c>
      <c r="E82" s="34" t="n">
        <f aca="false">COUNTIF('Matrice des notes'!$D$43:$AP$43,"&gt;=4")</f>
        <v>1</v>
      </c>
      <c r="F82" s="34" t="n">
        <f aca="false">COUNTIF('Matrice des notes'!$D$43:$AP$43,5)</f>
        <v>0</v>
      </c>
    </row>
    <row r="83" customFormat="false" ht="15" hidden="false" customHeight="false" outlineLevel="0" collapsed="false">
      <c r="A83" s="3" t="str">
        <f aca="false">'Matrice des notes'!B44</f>
        <v>L-R16 · Bordeaux D de Dauzac 2022</v>
      </c>
      <c r="B83" s="3" t="str">
        <f aca="false">'Matrice des notes'!A44</f>
        <v>Rouges</v>
      </c>
      <c r="C83" s="34" t="n">
        <f aca="false">'Matrice des notes'!C44</f>
        <v>45</v>
      </c>
      <c r="D83" s="36" t="n">
        <f aca="false">AVERAGE('Matrice des notes'!$D$44:$AP$44)</f>
        <v>1.33333333333333</v>
      </c>
      <c r="E83" s="34" t="n">
        <f aca="false">COUNTIF('Matrice des notes'!$D$44:$AP$44,"&gt;=4")</f>
        <v>0</v>
      </c>
      <c r="F83" s="34" t="n">
        <f aca="false">COUNTIF('Matrice des notes'!$D$44:$AP$44,5)</f>
        <v>0</v>
      </c>
    </row>
    <row r="84" customFormat="false" ht="15" hidden="false" customHeight="false" outlineLevel="0" collapsed="false">
      <c r="A84" s="3" t="str">
        <f aca="false">'Matrice des notes'!B45</f>
        <v>L-R17 · Haut-Médoc Héritage de Chasse-Spleen 2020</v>
      </c>
      <c r="B84" s="3" t="str">
        <f aca="false">'Matrice des notes'!A45</f>
        <v>Rouges</v>
      </c>
      <c r="C84" s="34" t="n">
        <f aca="false">'Matrice des notes'!C45</f>
        <v>75</v>
      </c>
      <c r="D84" s="36" t="n">
        <f aca="false">AVERAGE('Matrice des notes'!$D$45:$AP$45)</f>
        <v>1.41025641025641</v>
      </c>
      <c r="E84" s="34" t="n">
        <f aca="false">COUNTIF('Matrice des notes'!$D$45:$AP$45,"&gt;=4")</f>
        <v>3</v>
      </c>
      <c r="F84" s="34" t="n">
        <f aca="false">COUNTIF('Matrice des notes'!$D$45:$AP$45,5)</f>
        <v>0</v>
      </c>
    </row>
    <row r="85" customFormat="false" ht="15" hidden="false" customHeight="false" outlineLevel="0" collapsed="false">
      <c r="A85" s="3" t="str">
        <f aca="false">'Matrice des notes'!B46</f>
        <v>L-R18 · Haut-Médoc de Giscours 2019</v>
      </c>
      <c r="B85" s="3" t="str">
        <f aca="false">'Matrice des notes'!A46</f>
        <v>Rouges</v>
      </c>
      <c r="C85" s="34" t="n">
        <f aca="false">'Matrice des notes'!C46</f>
        <v>80</v>
      </c>
      <c r="D85" s="36" t="n">
        <f aca="false">AVERAGE('Matrice des notes'!$D$46:$AP$46)</f>
        <v>1.41025641025641</v>
      </c>
      <c r="E85" s="34" t="n">
        <f aca="false">COUNTIF('Matrice des notes'!$D$46:$AP$46,"&gt;=4")</f>
        <v>3</v>
      </c>
      <c r="F85" s="34" t="n">
        <f aca="false">COUNTIF('Matrice des notes'!$D$46:$AP$46,5)</f>
        <v>0</v>
      </c>
    </row>
    <row r="86" customFormat="false" ht="15" hidden="false" customHeight="false" outlineLevel="0" collapsed="false">
      <c r="A86" s="3" t="str">
        <f aca="false">'Matrice des notes'!B47</f>
        <v>L-R19 · Margaux Zédé de Labégorce 2019</v>
      </c>
      <c r="B86" s="3" t="str">
        <f aca="false">'Matrice des notes'!A47</f>
        <v>Rouges</v>
      </c>
      <c r="C86" s="34" t="n">
        <f aca="false">'Matrice des notes'!C47</f>
        <v>85</v>
      </c>
      <c r="D86" s="36" t="n">
        <f aca="false">AVERAGE('Matrice des notes'!$D$47:$AP$47)</f>
        <v>1.41025641025641</v>
      </c>
      <c r="E86" s="34" t="n">
        <f aca="false">COUNTIF('Matrice des notes'!$D$47:$AP$47,"&gt;=4")</f>
        <v>3</v>
      </c>
      <c r="F86" s="34" t="n">
        <f aca="false">COUNTIF('Matrice des notes'!$D$47:$AP$47,5)</f>
        <v>0</v>
      </c>
    </row>
    <row r="87" customFormat="false" ht="15" hidden="false" customHeight="false" outlineLevel="0" collapsed="false">
      <c r="A87" s="3" t="str">
        <f aca="false">'Matrice des notes'!B48</f>
        <v>L-R20 · Pauillac Château Pichon-Longueville 2021</v>
      </c>
      <c r="B87" s="3" t="str">
        <f aca="false">'Matrice des notes'!A48</f>
        <v>Rouges</v>
      </c>
      <c r="C87" s="34" t="n">
        <f aca="false">'Matrice des notes'!C48</f>
        <v>86</v>
      </c>
      <c r="D87" s="36" t="n">
        <f aca="false">AVERAGE('Matrice des notes'!$D$48:$AP$48)</f>
        <v>1.07692307692308</v>
      </c>
      <c r="E87" s="34" t="n">
        <f aca="false">COUNTIF('Matrice des notes'!$D$48:$AP$48,"&gt;=4")</f>
        <v>0</v>
      </c>
      <c r="F87" s="34" t="n">
        <f aca="false">COUNTIF('Matrice des notes'!$D$48:$AP$48,5)</f>
        <v>0</v>
      </c>
    </row>
    <row r="88" customFormat="false" ht="15" hidden="false" customHeight="false" outlineLevel="0" collapsed="false">
      <c r="A88" s="3" t="str">
        <f aca="false">'Matrice des notes'!B49</f>
        <v>L-R21 · Pauillac Les Forts de Latour 2018</v>
      </c>
      <c r="B88" s="3" t="str">
        <f aca="false">'Matrice des notes'!A49</f>
        <v>Rouges</v>
      </c>
      <c r="C88" s="34" t="n">
        <f aca="false">'Matrice des notes'!C49</f>
        <v>420</v>
      </c>
      <c r="D88" s="36" t="n">
        <f aca="false">AVERAGE('Matrice des notes'!$D$49:$AP$49)</f>
        <v>1.1025641025641</v>
      </c>
      <c r="E88" s="34" t="n">
        <f aca="false">COUNTIF('Matrice des notes'!$D$49:$AP$49,"&gt;=4")</f>
        <v>0</v>
      </c>
      <c r="F88" s="34" t="n">
        <f aca="false">COUNTIF('Matrice des notes'!$D$49:$AP$49,5)</f>
        <v>0</v>
      </c>
    </row>
    <row r="89" customFormat="false" ht="15" hidden="false" customHeight="false" outlineLevel="0" collapsed="false">
      <c r="A89" s="3" t="str">
        <f aca="false">'Matrice des notes'!B50</f>
        <v>L-R22 · Pauillac Le Petit Mouton 2021</v>
      </c>
      <c r="B89" s="3" t="str">
        <f aca="false">'Matrice des notes'!A50</f>
        <v>Rouges</v>
      </c>
      <c r="C89" s="34" t="n">
        <f aca="false">'Matrice des notes'!C50</f>
        <v>495</v>
      </c>
      <c r="D89" s="36" t="n">
        <f aca="false">AVERAGE('Matrice des notes'!$D$50:$AP$50)</f>
        <v>1.07692307692308</v>
      </c>
      <c r="E89" s="34" t="n">
        <f aca="false">COUNTIF('Matrice des notes'!$D$50:$AP$50,"&gt;=4")</f>
        <v>0</v>
      </c>
      <c r="F89" s="34" t="n">
        <f aca="false">COUNTIF('Matrice des notes'!$D$50:$AP$50,5)</f>
        <v>0</v>
      </c>
    </row>
    <row r="90" customFormat="false" ht="15" hidden="false" customHeight="false" outlineLevel="0" collapsed="false">
      <c r="A90" s="3" t="str">
        <f aca="false">'Matrice des notes'!B51</f>
        <v>L-R23 · Pessac-Léognan HB de Haut-Bailly 2019</v>
      </c>
      <c r="B90" s="3" t="str">
        <f aca="false">'Matrice des notes'!A51</f>
        <v>Rouges</v>
      </c>
      <c r="C90" s="34" t="n">
        <f aca="false">'Matrice des notes'!C51</f>
        <v>75</v>
      </c>
      <c r="D90" s="36" t="n">
        <f aca="false">AVERAGE('Matrice des notes'!$D$51:$AP$51)</f>
        <v>1.66666666666667</v>
      </c>
      <c r="E90" s="34" t="n">
        <f aca="false">COUNTIF('Matrice des notes'!$D$51:$AP$51,"&gt;=4")</f>
        <v>5</v>
      </c>
      <c r="F90" s="34" t="n">
        <f aca="false">COUNTIF('Matrice des notes'!$D$51:$AP$51,5)</f>
        <v>2</v>
      </c>
    </row>
    <row r="91" customFormat="false" ht="15" hidden="false" customHeight="false" outlineLevel="0" collapsed="false">
      <c r="A91" s="3" t="str">
        <f aca="false">'Matrice des notes'!B52</f>
        <v>L-R24 · Pomerol Clos René 2023</v>
      </c>
      <c r="B91" s="3" t="str">
        <f aca="false">'Matrice des notes'!A52</f>
        <v>Rouges</v>
      </c>
      <c r="C91" s="34" t="n">
        <f aca="false">'Matrice des notes'!C52</f>
        <v>95</v>
      </c>
      <c r="D91" s="36" t="n">
        <f aca="false">AVERAGE('Matrice des notes'!$D$52:$AP$52)</f>
        <v>1.33333333333333</v>
      </c>
      <c r="E91" s="34" t="n">
        <f aca="false">COUNTIF('Matrice des notes'!$D$52:$AP$52,"&gt;=4")</f>
        <v>0</v>
      </c>
      <c r="F91" s="34" t="n">
        <f aca="false">COUNTIF('Matrice des notes'!$D$52:$AP$52,5)</f>
        <v>0</v>
      </c>
    </row>
    <row r="92" customFormat="false" ht="15" hidden="false" customHeight="false" outlineLevel="0" collapsed="false">
      <c r="A92" s="3" t="str">
        <f aca="false">'Matrice des notes'!B53</f>
        <v>L-R25 · Saint-Émilion Grand Cru Château Laroze 2020</v>
      </c>
      <c r="B92" s="3" t="str">
        <f aca="false">'Matrice des notes'!A53</f>
        <v>Rouges</v>
      </c>
      <c r="C92" s="34" t="n">
        <f aca="false">'Matrice des notes'!C53</f>
        <v>78</v>
      </c>
      <c r="D92" s="36" t="n">
        <f aca="false">AVERAGE('Matrice des notes'!$D$53:$AP$53)</f>
        <v>1.41025641025641</v>
      </c>
      <c r="E92" s="34" t="n">
        <f aca="false">COUNTIF('Matrice des notes'!$D$53:$AP$53,"&gt;=4")</f>
        <v>3</v>
      </c>
      <c r="F92" s="34" t="n">
        <f aca="false">COUNTIF('Matrice des notes'!$D$53:$AP$53,5)</f>
        <v>0</v>
      </c>
    </row>
    <row r="93" customFormat="false" ht="22.35" hidden="false" customHeight="false" outlineLevel="0" collapsed="false">
      <c r="A93" s="3" t="str">
        <f aca="false">'Matrice des notes'!B54</f>
        <v>L-R26 · Saint-Émilion Grand Cru Château Troplong Mondot 2019</v>
      </c>
      <c r="B93" s="3" t="str">
        <f aca="false">'Matrice des notes'!A54</f>
        <v>Rouges</v>
      </c>
      <c r="C93" s="34" t="n">
        <f aca="false">'Matrice des notes'!C54</f>
        <v>295</v>
      </c>
      <c r="D93" s="36" t="n">
        <f aca="false">AVERAGE('Matrice des notes'!$D$54:$AP$54)</f>
        <v>1.23076923076923</v>
      </c>
      <c r="E93" s="34" t="n">
        <f aca="false">COUNTIF('Matrice des notes'!$D$54:$AP$54,"&gt;=4")</f>
        <v>0</v>
      </c>
      <c r="F93" s="34" t="n">
        <f aca="false">COUNTIF('Matrice des notes'!$D$54:$AP$54,5)</f>
        <v>0</v>
      </c>
    </row>
    <row r="94" customFormat="false" ht="15" hidden="false" customHeight="false" outlineLevel="0" collapsed="false">
      <c r="A94" s="3" t="str">
        <f aca="false">'Matrice des notes'!B55</f>
        <v>L-R27 · Saint-Estèphe Château Petit Bocq 2022</v>
      </c>
      <c r="B94" s="3" t="str">
        <f aca="false">'Matrice des notes'!A55</f>
        <v>Rouges</v>
      </c>
      <c r="C94" s="34" t="n">
        <f aca="false">'Matrice des notes'!C55</f>
        <v>69</v>
      </c>
      <c r="D94" s="36" t="n">
        <f aca="false">AVERAGE('Matrice des notes'!$D$55:$AP$55)</f>
        <v>1.15384615384615</v>
      </c>
      <c r="E94" s="34" t="n">
        <f aca="false">COUNTIF('Matrice des notes'!$D$55:$AP$55,"&gt;=4")</f>
        <v>0</v>
      </c>
      <c r="F94" s="34" t="n">
        <f aca="false">COUNTIF('Matrice des notes'!$D$55:$AP$55,5)</f>
        <v>0</v>
      </c>
    </row>
    <row r="95" customFormat="false" ht="15" hidden="false" customHeight="false" outlineLevel="0" collapsed="false">
      <c r="A95" s="3" t="str">
        <f aca="false">'Matrice des notes'!B56</f>
        <v>L-R28 · Saint-Julien Les Fiefs de Lagrange 2019</v>
      </c>
      <c r="B95" s="3" t="str">
        <f aca="false">'Matrice des notes'!A56</f>
        <v>Rouges</v>
      </c>
      <c r="C95" s="34" t="n">
        <f aca="false">'Matrice des notes'!C56</f>
        <v>89</v>
      </c>
      <c r="D95" s="36" t="n">
        <f aca="false">AVERAGE('Matrice des notes'!$D$56:$AP$56)</f>
        <v>1.66666666666667</v>
      </c>
      <c r="E95" s="34" t="n">
        <f aca="false">COUNTIF('Matrice des notes'!$D$56:$AP$56,"&gt;=4")</f>
        <v>5</v>
      </c>
      <c r="F95" s="34" t="n">
        <f aca="false">COUNTIF('Matrice des notes'!$D$56:$AP$56,5)</f>
        <v>2</v>
      </c>
    </row>
    <row r="96" customFormat="false" ht="15" hidden="false" customHeight="false" outlineLevel="0" collapsed="false">
      <c r="A96" s="3" t="str">
        <f aca="false">'Matrice des notes'!B57</f>
        <v>L-R29 · Saint-Julien Château Ducru-Beaucaillou 2019</v>
      </c>
      <c r="B96" s="3" t="str">
        <f aca="false">'Matrice des notes'!A57</f>
        <v>Rouges</v>
      </c>
      <c r="C96" s="34" t="n">
        <f aca="false">'Matrice des notes'!C57</f>
        <v>390</v>
      </c>
      <c r="D96" s="36" t="n">
        <f aca="false">AVERAGE('Matrice des notes'!$D$57:$AP$57)</f>
        <v>1.07692307692308</v>
      </c>
      <c r="E96" s="34" t="n">
        <f aca="false">COUNTIF('Matrice des notes'!$D$57:$AP$57,"&gt;=4")</f>
        <v>0</v>
      </c>
      <c r="F96" s="34" t="n">
        <f aca="false">COUNTIF('Matrice des notes'!$D$57:$AP$57,5)</f>
        <v>0</v>
      </c>
    </row>
    <row r="97" customFormat="false" ht="15" hidden="false" customHeight="false" outlineLevel="0" collapsed="false">
      <c r="A97" s="3" t="str">
        <f aca="false">'Matrice des notes'!B58</f>
        <v>L-R30 · Alto Adige Pinot Nero Cantina Tramin 2025</v>
      </c>
      <c r="B97" s="3" t="str">
        <f aca="false">'Matrice des notes'!A58</f>
        <v>Rouges</v>
      </c>
      <c r="C97" s="34" t="n">
        <f aca="false">'Matrice des notes'!C58</f>
        <v>48</v>
      </c>
      <c r="D97" s="36" t="n">
        <f aca="false">AVERAGE('Matrice des notes'!$D$58:$AP$58)</f>
        <v>2.12820512820513</v>
      </c>
      <c r="E97" s="34" t="n">
        <f aca="false">COUNTIF('Matrice des notes'!$D$58:$AP$58,"&gt;=4")</f>
        <v>5</v>
      </c>
      <c r="F97" s="34" t="n">
        <f aca="false">COUNTIF('Matrice des notes'!$D$58:$AP$58,5)</f>
        <v>2</v>
      </c>
    </row>
    <row r="98" customFormat="false" ht="15" hidden="false" customHeight="false" outlineLevel="0" collapsed="false">
      <c r="A98" s="3" t="str">
        <f aca="false">'Matrice des notes'!B59</f>
        <v>L-R31 · Alto Adige Lagrein Elena Walch 2025</v>
      </c>
      <c r="B98" s="3" t="str">
        <f aca="false">'Matrice des notes'!A59</f>
        <v>Rouges</v>
      </c>
      <c r="C98" s="34" t="n">
        <f aca="false">'Matrice des notes'!C59</f>
        <v>58</v>
      </c>
      <c r="D98" s="36" t="n">
        <f aca="false">AVERAGE('Matrice des notes'!$D$59:$AP$59)</f>
        <v>1.48717948717949</v>
      </c>
      <c r="E98" s="34" t="n">
        <f aca="false">COUNTIF('Matrice des notes'!$D$59:$AP$59,"&gt;=4")</f>
        <v>0</v>
      </c>
      <c r="F98" s="34" t="n">
        <f aca="false">COUNTIF('Matrice des notes'!$D$59:$AP$59,5)</f>
        <v>0</v>
      </c>
    </row>
    <row r="99" customFormat="false" ht="15" hidden="false" customHeight="false" outlineLevel="0" collapsed="false">
      <c r="A99" s="3" t="str">
        <f aca="false">'Matrice des notes'!B60</f>
        <v>L-R32 · Terre Siciliane Passorosso 2019</v>
      </c>
      <c r="B99" s="3" t="str">
        <f aca="false">'Matrice des notes'!A60</f>
        <v>Rouges</v>
      </c>
      <c r="C99" s="34" t="n">
        <f aca="false">'Matrice des notes'!C60</f>
        <v>88</v>
      </c>
      <c r="D99" s="36" t="n">
        <f aca="false">AVERAGE('Matrice des notes'!$D$60:$AP$60)</f>
        <v>1.56410256410256</v>
      </c>
      <c r="E99" s="34" t="n">
        <f aca="false">COUNTIF('Matrice des notes'!$D$60:$AP$60,"&gt;=4")</f>
        <v>3</v>
      </c>
      <c r="F99" s="34" t="n">
        <f aca="false">COUNTIF('Matrice des notes'!$D$60:$AP$60,5)</f>
        <v>0</v>
      </c>
    </row>
    <row r="100" customFormat="false" ht="15" hidden="false" customHeight="false" outlineLevel="0" collapsed="false">
      <c r="A100" s="3" t="str">
        <f aca="false">'Matrice des notes'!B61</f>
        <v>L-R33 · Toscana Guidalberto 2023</v>
      </c>
      <c r="B100" s="3" t="str">
        <f aca="false">'Matrice des notes'!A61</f>
        <v>Rouges</v>
      </c>
      <c r="C100" s="34" t="n">
        <f aca="false">'Matrice des notes'!C61</f>
        <v>115</v>
      </c>
      <c r="D100" s="36" t="n">
        <f aca="false">AVERAGE('Matrice des notes'!$D$61:$AP$61)</f>
        <v>1.33333333333333</v>
      </c>
      <c r="E100" s="34" t="n">
        <f aca="false">COUNTIF('Matrice des notes'!$D$61:$AP$61,"&gt;=4")</f>
        <v>0</v>
      </c>
      <c r="F100" s="34" t="n">
        <f aca="false">COUNTIF('Matrice des notes'!$D$61:$AP$61,5)</f>
        <v>0</v>
      </c>
    </row>
    <row r="101" customFormat="false" ht="15" hidden="false" customHeight="false" outlineLevel="0" collapsed="false">
      <c r="A101" s="3" t="str">
        <f aca="false">'Matrice des notes'!B62</f>
        <v>L-R34 · Toscana Tignanello 2022</v>
      </c>
      <c r="B101" s="3" t="str">
        <f aca="false">'Matrice des notes'!A62</f>
        <v>Rouges</v>
      </c>
      <c r="C101" s="34" t="n">
        <f aca="false">'Matrice des notes'!C62</f>
        <v>290</v>
      </c>
      <c r="D101" s="36" t="n">
        <f aca="false">AVERAGE('Matrice des notes'!$D$62:$AP$62)</f>
        <v>1.07692307692308</v>
      </c>
      <c r="E101" s="34" t="n">
        <f aca="false">COUNTIF('Matrice des notes'!$D$62:$AP$62,"&gt;=4")</f>
        <v>0</v>
      </c>
      <c r="F101" s="34" t="n">
        <f aca="false">COUNTIF('Matrice des notes'!$D$62:$AP$62,5)</f>
        <v>0</v>
      </c>
    </row>
    <row r="102" customFormat="false" ht="15" hidden="false" customHeight="false" outlineLevel="0" collapsed="false">
      <c r="A102" s="3" t="str">
        <f aca="false">'Matrice des notes'!B63</f>
        <v>L-R35 · Bolgheri Sassicaia 2018</v>
      </c>
      <c r="B102" s="3" t="str">
        <f aca="false">'Matrice des notes'!A63</f>
        <v>Rouges</v>
      </c>
      <c r="C102" s="34" t="n">
        <f aca="false">'Matrice des notes'!C63</f>
        <v>560</v>
      </c>
      <c r="D102" s="36" t="n">
        <f aca="false">AVERAGE('Matrice des notes'!$D$63:$AP$63)</f>
        <v>1.1025641025641</v>
      </c>
      <c r="E102" s="34" t="n">
        <f aca="false">COUNTIF('Matrice des notes'!$D$63:$AP$63,"&gt;=4")</f>
        <v>0</v>
      </c>
      <c r="F102" s="34" t="n">
        <f aca="false">COUNTIF('Matrice des notes'!$D$63:$AP$63,5)</f>
        <v>0</v>
      </c>
    </row>
    <row r="103" customFormat="false" ht="15" hidden="false" customHeight="false" outlineLevel="0" collapsed="false">
      <c r="A103" s="3" t="str">
        <f aca="false">'Matrice des notes'!B64</f>
        <v>L-R36 · Rioja Roda Reserva 2021</v>
      </c>
      <c r="B103" s="3" t="str">
        <f aca="false">'Matrice des notes'!A64</f>
        <v>Rouges</v>
      </c>
      <c r="C103" s="34" t="n">
        <f aca="false">'Matrice des notes'!C64</f>
        <v>80</v>
      </c>
      <c r="D103" s="36" t="n">
        <f aca="false">AVERAGE('Matrice des notes'!$D$64:$AP$64)</f>
        <v>1.38461538461538</v>
      </c>
      <c r="E103" s="34" t="n">
        <f aca="false">COUNTIF('Matrice des notes'!$D$64:$AP$64,"&gt;=4")</f>
        <v>0</v>
      </c>
      <c r="F103" s="34" t="n">
        <f aca="false">COUNTIF('Matrice des notes'!$D$64:$AP$64,5)</f>
        <v>0</v>
      </c>
    </row>
    <row r="104" customFormat="false" ht="15" hidden="false" customHeight="false" outlineLevel="0" collapsed="false">
      <c r="A104" s="3" t="str">
        <f aca="false">'Matrice des notes'!B65</f>
        <v>L-R37 · Ribera del Duero Alion 2020</v>
      </c>
      <c r="B104" s="3" t="str">
        <f aca="false">'Matrice des notes'!A65</f>
        <v>Rouges</v>
      </c>
      <c r="C104" s="34" t="n">
        <f aca="false">'Matrice des notes'!C65</f>
        <v>185</v>
      </c>
      <c r="D104" s="36" t="n">
        <f aca="false">AVERAGE('Matrice des notes'!$D$65:$AP$65)</f>
        <v>1.07692307692308</v>
      </c>
      <c r="E104" s="34" t="n">
        <f aca="false">COUNTIF('Matrice des notes'!$D$65:$AP$65,"&gt;=4")</f>
        <v>0</v>
      </c>
      <c r="F104" s="34" t="n">
        <f aca="false">COUNTIF('Matrice des notes'!$D$65:$AP$65,5)</f>
        <v>0</v>
      </c>
    </row>
    <row r="105" customFormat="false" ht="15" hidden="false" customHeight="false" outlineLevel="0" collapsed="false">
      <c r="A105" s="3" t="str">
        <f aca="false">'Matrice des notes'!B66</f>
        <v>L-R38 · Alentejo Trincadeira « Não é tão preta » 2017</v>
      </c>
      <c r="B105" s="3" t="str">
        <f aca="false">'Matrice des notes'!A66</f>
        <v>Rouges</v>
      </c>
      <c r="C105" s="34" t="n">
        <f aca="false">'Matrice des notes'!C66</f>
        <v>68</v>
      </c>
      <c r="D105" s="36" t="n">
        <f aca="false">AVERAGE('Matrice des notes'!$D$66:$AP$66)</f>
        <v>1.71794871794872</v>
      </c>
      <c r="E105" s="34" t="n">
        <f aca="false">COUNTIF('Matrice des notes'!$D$66:$AP$66,"&gt;=4")</f>
        <v>7</v>
      </c>
      <c r="F105" s="34" t="n">
        <f aca="false">COUNTIF('Matrice des notes'!$D$66:$AP$66,5)</f>
        <v>0</v>
      </c>
    </row>
    <row r="106" customFormat="false" ht="15" hidden="false" customHeight="false" outlineLevel="0" collapsed="false">
      <c r="A106" s="3" t="str">
        <f aca="false">'Matrice des notes'!B67</f>
        <v>L-R39 · Uruguay Elegancia 2018</v>
      </c>
      <c r="B106" s="3" t="str">
        <f aca="false">'Matrice des notes'!A67</f>
        <v>Rouges</v>
      </c>
      <c r="C106" s="34" t="n">
        <f aca="false">'Matrice des notes'!C67</f>
        <v>38</v>
      </c>
      <c r="D106" s="36" t="n">
        <f aca="false">AVERAGE('Matrice des notes'!$D$67:$AP$67)</f>
        <v>1.48717948717949</v>
      </c>
      <c r="E106" s="34" t="n">
        <f aca="false">COUNTIF('Matrice des notes'!$D$67:$AP$67,"&gt;=4")</f>
        <v>2</v>
      </c>
      <c r="F106" s="34" t="n">
        <f aca="false">COUNTIF('Matrice des notes'!$D$67:$AP$67,5)</f>
        <v>0</v>
      </c>
    </row>
    <row r="107" customFormat="false" ht="15" hidden="false" customHeight="false" outlineLevel="0" collapsed="false">
      <c r="A107" s="3" t="str">
        <f aca="false">'Matrice des notes'!B68</f>
        <v>L-R40 · Saint-Estèphe Château Petit Bocq 2023 · 37,5 cl</v>
      </c>
      <c r="B107" s="3" t="str">
        <f aca="false">'Matrice des notes'!A68</f>
        <v>Rouges</v>
      </c>
      <c r="C107" s="34" t="n">
        <f aca="false">'Matrice des notes'!C68</f>
        <v>32</v>
      </c>
      <c r="D107" s="36" t="n">
        <f aca="false">AVERAGE('Matrice des notes'!$D$68:$AP$68)</f>
        <v>1.15384615384615</v>
      </c>
      <c r="E107" s="34" t="n">
        <f aca="false">COUNTIF('Matrice des notes'!$D$68:$AP$68,"&gt;=4")</f>
        <v>0</v>
      </c>
      <c r="F107" s="34" t="n">
        <f aca="false">COUNTIF('Matrice des notes'!$D$68:$AP$68,5)</f>
        <v>0</v>
      </c>
    </row>
    <row r="108" customFormat="false" ht="15" hidden="false" customHeight="false" outlineLevel="0" collapsed="false">
      <c r="A108" s="3" t="str">
        <f aca="false">'Matrice des notes'!B70</f>
        <v>L-P01 · Côtes de Provence Le Merle 2025</v>
      </c>
      <c r="B108" s="3" t="str">
        <f aca="false">'Matrice des notes'!A70</f>
        <v>Rosés</v>
      </c>
      <c r="C108" s="34" t="n">
        <f aca="false">'Matrice des notes'!C70</f>
        <v>42</v>
      </c>
      <c r="D108" s="36" t="n">
        <f aca="false">AVERAGE('Matrice des notes'!$D$70:$AP$70)</f>
        <v>2.33333333333333</v>
      </c>
      <c r="E108" s="34" t="n">
        <f aca="false">COUNTIF('Matrice des notes'!$D$70:$AP$70,"&gt;=4")</f>
        <v>1</v>
      </c>
      <c r="F108" s="34" t="n">
        <f aca="false">COUNTIF('Matrice des notes'!$D$70:$AP$70,5)</f>
        <v>0</v>
      </c>
    </row>
    <row r="109" customFormat="false" ht="15" hidden="false" customHeight="false" outlineLevel="0" collapsed="false">
      <c r="A109" s="3" t="str">
        <f aca="false">'Matrice des notes'!B71</f>
        <v>L-P02 · Côtes de Provence Whispering Angel 2024-2025</v>
      </c>
      <c r="B109" s="3" t="str">
        <f aca="false">'Matrice des notes'!A71</f>
        <v>Rosés</v>
      </c>
      <c r="C109" s="34" t="n">
        <f aca="false">'Matrice des notes'!C71</f>
        <v>55</v>
      </c>
      <c r="D109" s="36" t="n">
        <f aca="false">AVERAGE('Matrice des notes'!$D$71:$AP$71)</f>
        <v>2.33333333333333</v>
      </c>
      <c r="E109" s="34" t="n">
        <f aca="false">COUNTIF('Matrice des notes'!$D$71:$AP$71,"&gt;=4")</f>
        <v>1</v>
      </c>
      <c r="F109" s="34" t="n">
        <f aca="false">COUNTIF('Matrice des notes'!$D$71:$AP$71,5)</f>
        <v>0</v>
      </c>
    </row>
    <row r="110" customFormat="false" ht="15" hidden="false" customHeight="false" outlineLevel="0" collapsed="false">
      <c r="A110" s="3" t="str">
        <f aca="false">'Matrice des notes'!B73</f>
        <v>L-E01 · Valdobbiadene Prosecco Superiore Col de l'Utia NM</v>
      </c>
      <c r="B110" s="3" t="str">
        <f aca="false">'Matrice des notes'!A73</f>
        <v>Bulles</v>
      </c>
      <c r="C110" s="34" t="n">
        <f aca="false">'Matrice des notes'!C73</f>
        <v>62</v>
      </c>
      <c r="D110" s="36" t="n">
        <f aca="false">AVERAGE('Matrice des notes'!$D$73:$AP$73)</f>
        <v>2.41025641025641</v>
      </c>
      <c r="E110" s="34" t="n">
        <f aca="false">COUNTIF('Matrice des notes'!$D$73:$AP$73,"&gt;=4")</f>
        <v>0</v>
      </c>
      <c r="F110" s="34" t="n">
        <f aca="false">COUNTIF('Matrice des notes'!$D$73:$AP$73,5)</f>
        <v>0</v>
      </c>
    </row>
    <row r="111" customFormat="false" ht="15" hidden="false" customHeight="false" outlineLevel="0" collapsed="false">
      <c r="A111" s="3" t="str">
        <f aca="false">'Matrice des notes'!B74</f>
        <v>L-E02 · Champagne R de Ruinart Brut NM · 37,5 cl</v>
      </c>
      <c r="B111" s="3" t="str">
        <f aca="false">'Matrice des notes'!A74</f>
        <v>Bulles</v>
      </c>
      <c r="C111" s="34" t="n">
        <f aca="false">'Matrice des notes'!C74</f>
        <v>58</v>
      </c>
      <c r="D111" s="36" t="n">
        <f aca="false">AVERAGE('Matrice des notes'!$D$74:$AP$74)</f>
        <v>2.87179487179487</v>
      </c>
      <c r="E111" s="34" t="n">
        <f aca="false">COUNTIF('Matrice des notes'!$D$74:$AP$74,"&gt;=4")</f>
        <v>16</v>
      </c>
      <c r="F111" s="34" t="n">
        <f aca="false">COUNTIF('Matrice des notes'!$D$74:$AP$74,5)</f>
        <v>4</v>
      </c>
    </row>
    <row r="112" customFormat="false" ht="15" hidden="false" customHeight="false" outlineLevel="0" collapsed="false">
      <c r="A112" s="3" t="str">
        <f aca="false">'Matrice des notes'!B75</f>
        <v>L-E03 · Champagne R de Ruinart Brut NM</v>
      </c>
      <c r="B112" s="3" t="str">
        <f aca="false">'Matrice des notes'!A75</f>
        <v>Bulles</v>
      </c>
      <c r="C112" s="34" t="n">
        <f aca="false">'Matrice des notes'!C75</f>
        <v>105</v>
      </c>
      <c r="D112" s="36" t="n">
        <f aca="false">AVERAGE('Matrice des notes'!$D$75:$AP$75)</f>
        <v>2.87179487179487</v>
      </c>
      <c r="E112" s="34" t="n">
        <f aca="false">COUNTIF('Matrice des notes'!$D$75:$AP$75,"&gt;=4")</f>
        <v>16</v>
      </c>
      <c r="F112" s="34" t="n">
        <f aca="false">COUNTIF('Matrice des notes'!$D$75:$AP$75,5)</f>
        <v>4</v>
      </c>
    </row>
    <row r="113" customFormat="false" ht="15" hidden="false" customHeight="false" outlineLevel="0" collapsed="false">
      <c r="A113" s="3" t="str">
        <f aca="false">'Matrice des notes'!B76</f>
        <v>L-E04 · Champagne Laurent-Perrier Cuvée Rosé NM</v>
      </c>
      <c r="B113" s="3" t="str">
        <f aca="false">'Matrice des notes'!A76</f>
        <v>Bulles</v>
      </c>
      <c r="C113" s="34" t="n">
        <f aca="false">'Matrice des notes'!C76</f>
        <v>168</v>
      </c>
      <c r="D113" s="36" t="n">
        <f aca="false">AVERAGE('Matrice des notes'!$D$76:$AP$76)</f>
        <v>2.23076923076923</v>
      </c>
      <c r="E113" s="34" t="n">
        <f aca="false">COUNTIF('Matrice des notes'!$D$76:$AP$76,"&gt;=4")</f>
        <v>3</v>
      </c>
      <c r="F113" s="34" t="n">
        <f aca="false">COUNTIF('Matrice des notes'!$D$76:$AP$76,5)</f>
        <v>1</v>
      </c>
    </row>
    <row r="114" customFormat="false" ht="15" hidden="false" customHeight="false" outlineLevel="0" collapsed="false">
      <c r="A114" s="3" t="str">
        <f aca="false">'Matrice des notes'!B77</f>
        <v>L-E05 · Champagne Ruinart Blanc de Blancs NM · 37,5 cl</v>
      </c>
      <c r="B114" s="3" t="str">
        <f aca="false">'Matrice des notes'!A77</f>
        <v>Bulles</v>
      </c>
      <c r="C114" s="34" t="n">
        <f aca="false">'Matrice des notes'!C77</f>
        <v>90</v>
      </c>
      <c r="D114" s="36" t="n">
        <f aca="false">AVERAGE('Matrice des notes'!$D$77:$AP$77)</f>
        <v>2.74358974358974</v>
      </c>
      <c r="E114" s="34" t="n">
        <f aca="false">COUNTIF('Matrice des notes'!$D$77:$AP$77,"&gt;=4")</f>
        <v>13</v>
      </c>
      <c r="F114" s="34" t="n">
        <f aca="false">COUNTIF('Matrice des notes'!$D$77:$AP$77,5)</f>
        <v>2</v>
      </c>
    </row>
    <row r="115" customFormat="false" ht="15" hidden="false" customHeight="false" outlineLevel="0" collapsed="false">
      <c r="A115" s="3" t="str">
        <f aca="false">'Matrice des notes'!B78</f>
        <v>L-E06 · Champagne Ruinart Blanc de Blancs NM</v>
      </c>
      <c r="B115" s="3" t="str">
        <f aca="false">'Matrice des notes'!A78</f>
        <v>Bulles</v>
      </c>
      <c r="C115" s="34" t="n">
        <f aca="false">'Matrice des notes'!C78</f>
        <v>175</v>
      </c>
      <c r="D115" s="36" t="n">
        <f aca="false">AVERAGE('Matrice des notes'!$D$78:$AP$78)</f>
        <v>2.74358974358974</v>
      </c>
      <c r="E115" s="34" t="n">
        <f aca="false">COUNTIF('Matrice des notes'!$D$78:$AP$78,"&gt;=4")</f>
        <v>13</v>
      </c>
      <c r="F115" s="34" t="n">
        <f aca="false">COUNTIF('Matrice des notes'!$D$78:$AP$78,5)</f>
        <v>2</v>
      </c>
    </row>
    <row r="116" customFormat="false" ht="15" hidden="false" customHeight="false" outlineLevel="0" collapsed="false">
      <c r="A116" s="3" t="str">
        <f aca="false">'Matrice des notes'!B79</f>
        <v>L-E07 · Champagne Dom Pérignon Vintage 2017</v>
      </c>
      <c r="B116" s="3" t="str">
        <f aca="false">'Matrice des notes'!A79</f>
        <v>Bulles</v>
      </c>
      <c r="C116" s="34" t="n">
        <f aca="false">'Matrice des notes'!C79</f>
        <v>340</v>
      </c>
      <c r="D116" s="36" t="n">
        <f aca="false">AVERAGE('Matrice des notes'!$D$79:$AP$79)</f>
        <v>2.87179487179487</v>
      </c>
      <c r="E116" s="34" t="n">
        <f aca="false">COUNTIF('Matrice des notes'!$D$79:$AP$79,"&gt;=4")</f>
        <v>15</v>
      </c>
      <c r="F116" s="34" t="n">
        <f aca="false">COUNTIF('Matrice des notes'!$D$79:$AP$79,5)</f>
        <v>4</v>
      </c>
    </row>
    <row r="117" customFormat="false" ht="15" hidden="false" customHeight="false" outlineLevel="0" collapsed="false">
      <c r="A117" s="3" t="str">
        <f aca="false">'Matrice des notes'!B81</f>
        <v>L-D01 · Sauternes Château Lange-Réglat (au verre)</v>
      </c>
      <c r="B117" s="3" t="str">
        <f aca="false">'Matrice des notes'!A81</f>
        <v>Doux</v>
      </c>
      <c r="C117" s="34" t="n">
        <f aca="false">'Matrice des notes'!C81</f>
        <v>15</v>
      </c>
      <c r="D117" s="36" t="n">
        <f aca="false">AVERAGE('Matrice des notes'!$D$81:$AP$81)</f>
        <v>1.76923076923077</v>
      </c>
      <c r="E117" s="34" t="n">
        <f aca="false">COUNTIF('Matrice des notes'!$D$81:$AP$81,"&gt;=4")</f>
        <v>5</v>
      </c>
      <c r="F117" s="34" t="n">
        <f aca="false">COUNTIF('Matrice des notes'!$D$81:$AP$81,5)</f>
        <v>2</v>
      </c>
    </row>
  </sheetData>
  <conditionalFormatting sqref="C5:C43">
    <cfRule type="cellIs" priority="2" operator="equal" aboveAverage="0" equalAverage="0" bottom="0" percent="0" rank="0" text="" dxfId="0">
      <formula>1</formula>
    </cfRule>
    <cfRule type="cellIs" priority="3" operator="equal" aboveAverage="0" equalAverage="0" bottom="0" percent="0" rank="0" text="" dxfId="1">
      <formula>2</formula>
    </cfRule>
    <cfRule type="cellIs" priority="4" operator="equal" aboveAverage="0" equalAverage="0" bottom="0" percent="0" rank="0" text="" dxfId="2">
      <formula>3</formula>
    </cfRule>
    <cfRule type="cellIs" priority="5" operator="equal" aboveAverage="0" equalAverage="0" bottom="0" percent="0" rank="0" text="" dxfId="3">
      <formula>4</formula>
    </cfRule>
    <cfRule type="cellIs" priority="6" operator="equal" aboveAverage="0" equalAverage="0" bottom="0" percent="0" rank="0" text="" dxfId="4">
      <formula>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11"/>
    <col collapsed="false" customWidth="true" hidden="false" outlineLevel="0" max="4" min="4" style="0" width="36"/>
    <col collapsed="false" customWidth="true" hidden="false" outlineLevel="0" max="5" min="5" style="0" width="6"/>
    <col collapsed="false" customWidth="true" hidden="false" outlineLevel="0" max="6" min="6" style="0" width="18"/>
    <col collapsed="false" customWidth="true" hidden="false" outlineLevel="0" max="7" min="7" style="0" width="90"/>
  </cols>
  <sheetData>
    <row r="1" customFormat="false" ht="23.85" hidden="false" customHeight="false" outlineLevel="0" collapsed="false">
      <c r="A1" s="1" t="s">
        <v>181</v>
      </c>
      <c r="B1" s="1" t="s">
        <v>182</v>
      </c>
      <c r="C1" s="1" t="s">
        <v>614</v>
      </c>
      <c r="D1" s="1" t="s">
        <v>604</v>
      </c>
      <c r="E1" s="1" t="s">
        <v>6</v>
      </c>
      <c r="F1" s="1" t="s">
        <v>615</v>
      </c>
      <c r="G1" s="1" t="s">
        <v>616</v>
      </c>
    </row>
    <row r="2" customFormat="false" ht="15" hidden="false" customHeight="false" outlineLevel="0" collapsed="false">
      <c r="A2" s="37" t="s">
        <v>184</v>
      </c>
      <c r="B2" s="37" t="s">
        <v>186</v>
      </c>
      <c r="C2" s="37" t="s">
        <v>178</v>
      </c>
      <c r="D2" s="37" t="s">
        <v>7</v>
      </c>
      <c r="E2" s="38" t="n">
        <f aca="false">'Matrice des notes'!D7</f>
        <v>3</v>
      </c>
      <c r="F2" s="37" t="s">
        <v>617</v>
      </c>
      <c r="G2" s="39" t="s">
        <v>618</v>
      </c>
    </row>
    <row r="3" customFormat="false" ht="15" hidden="false" customHeight="false" outlineLevel="0" collapsed="false">
      <c r="A3" s="37" t="s">
        <v>184</v>
      </c>
      <c r="B3" s="37" t="s">
        <v>186</v>
      </c>
      <c r="C3" s="37" t="s">
        <v>178</v>
      </c>
      <c r="D3" s="37" t="s">
        <v>11</v>
      </c>
      <c r="E3" s="38" t="n">
        <f aca="false">'Matrice des notes'!E7</f>
        <v>4</v>
      </c>
      <c r="F3" s="37" t="s">
        <v>619</v>
      </c>
      <c r="G3" s="39" t="s">
        <v>620</v>
      </c>
    </row>
    <row r="4" customFormat="false" ht="22.35" hidden="false" customHeight="false" outlineLevel="0" collapsed="false">
      <c r="A4" s="37" t="s">
        <v>184</v>
      </c>
      <c r="B4" s="37" t="s">
        <v>186</v>
      </c>
      <c r="C4" s="37" t="s">
        <v>178</v>
      </c>
      <c r="D4" s="37" t="s">
        <v>14</v>
      </c>
      <c r="E4" s="38" t="n">
        <f aca="false">'Matrice des notes'!F7</f>
        <v>4</v>
      </c>
      <c r="F4" s="37" t="s">
        <v>621</v>
      </c>
      <c r="G4" s="39" t="s">
        <v>622</v>
      </c>
    </row>
    <row r="5" customFormat="false" ht="15" hidden="false" customHeight="false" outlineLevel="0" collapsed="false">
      <c r="A5" s="37" t="s">
        <v>184</v>
      </c>
      <c r="B5" s="37" t="s">
        <v>186</v>
      </c>
      <c r="C5" s="37" t="s">
        <v>178</v>
      </c>
      <c r="D5" s="37" t="s">
        <v>17</v>
      </c>
      <c r="E5" s="38" t="n">
        <f aca="false">'Matrice des notes'!G7</f>
        <v>4</v>
      </c>
      <c r="F5" s="37" t="s">
        <v>623</v>
      </c>
      <c r="G5" s="39" t="s">
        <v>624</v>
      </c>
    </row>
    <row r="6" customFormat="false" ht="15" hidden="false" customHeight="false" outlineLevel="0" collapsed="false">
      <c r="A6" s="37" t="s">
        <v>184</v>
      </c>
      <c r="B6" s="37" t="s">
        <v>186</v>
      </c>
      <c r="C6" s="37" t="s">
        <v>178</v>
      </c>
      <c r="D6" s="37" t="s">
        <v>20</v>
      </c>
      <c r="E6" s="38" t="n">
        <f aca="false">'Matrice des notes'!H7</f>
        <v>4</v>
      </c>
      <c r="F6" s="37" t="s">
        <v>625</v>
      </c>
      <c r="G6" s="39" t="s">
        <v>626</v>
      </c>
    </row>
    <row r="7" customFormat="false" ht="15" hidden="false" customHeight="false" outlineLevel="0" collapsed="false">
      <c r="A7" s="37" t="s">
        <v>184</v>
      </c>
      <c r="B7" s="37" t="s">
        <v>186</v>
      </c>
      <c r="C7" s="37" t="s">
        <v>178</v>
      </c>
      <c r="D7" s="37" t="s">
        <v>23</v>
      </c>
      <c r="E7" s="38" t="n">
        <f aca="false">'Matrice des notes'!I7</f>
        <v>5</v>
      </c>
      <c r="F7" s="37" t="s">
        <v>627</v>
      </c>
      <c r="G7" s="39" t="s">
        <v>628</v>
      </c>
    </row>
    <row r="8" customFormat="false" ht="15" hidden="false" customHeight="false" outlineLevel="0" collapsed="false">
      <c r="A8" s="37" t="s">
        <v>184</v>
      </c>
      <c r="B8" s="37" t="s">
        <v>186</v>
      </c>
      <c r="C8" s="37" t="s">
        <v>178</v>
      </c>
      <c r="D8" s="37" t="s">
        <v>26</v>
      </c>
      <c r="E8" s="38" t="n">
        <f aca="false">'Matrice des notes'!J7</f>
        <v>4</v>
      </c>
      <c r="F8" s="37" t="s">
        <v>629</v>
      </c>
      <c r="G8" s="39" t="s">
        <v>630</v>
      </c>
    </row>
    <row r="9" customFormat="false" ht="15" hidden="false" customHeight="false" outlineLevel="0" collapsed="false">
      <c r="A9" s="37" t="s">
        <v>184</v>
      </c>
      <c r="B9" s="37" t="s">
        <v>186</v>
      </c>
      <c r="C9" s="37" t="s">
        <v>178</v>
      </c>
      <c r="D9" s="37" t="s">
        <v>30</v>
      </c>
      <c r="E9" s="38" t="n">
        <f aca="false">'Matrice des notes'!K7</f>
        <v>4</v>
      </c>
      <c r="F9" s="37" t="s">
        <v>629</v>
      </c>
      <c r="G9" s="39" t="s">
        <v>630</v>
      </c>
    </row>
    <row r="10" customFormat="false" ht="15" hidden="false" customHeight="false" outlineLevel="0" collapsed="false">
      <c r="A10" s="37" t="s">
        <v>184</v>
      </c>
      <c r="B10" s="37" t="s">
        <v>186</v>
      </c>
      <c r="C10" s="37" t="s">
        <v>178</v>
      </c>
      <c r="D10" s="37" t="s">
        <v>34</v>
      </c>
      <c r="E10" s="38" t="n">
        <f aca="false">'Matrice des notes'!L7</f>
        <v>4</v>
      </c>
      <c r="F10" s="37" t="s">
        <v>623</v>
      </c>
      <c r="G10" s="39" t="s">
        <v>624</v>
      </c>
    </row>
    <row r="11" customFormat="false" ht="15" hidden="false" customHeight="false" outlineLevel="0" collapsed="false">
      <c r="A11" s="37" t="s">
        <v>184</v>
      </c>
      <c r="B11" s="37" t="s">
        <v>186</v>
      </c>
      <c r="C11" s="37" t="s">
        <v>178</v>
      </c>
      <c r="D11" s="37" t="s">
        <v>37</v>
      </c>
      <c r="E11" s="38" t="n">
        <f aca="false">'Matrice des notes'!M7</f>
        <v>2</v>
      </c>
      <c r="F11" s="37" t="s">
        <v>631</v>
      </c>
      <c r="G11" s="39" t="s">
        <v>632</v>
      </c>
    </row>
    <row r="12" customFormat="false" ht="15" hidden="false" customHeight="false" outlineLevel="0" collapsed="false">
      <c r="A12" s="37" t="s">
        <v>184</v>
      </c>
      <c r="B12" s="37" t="s">
        <v>186</v>
      </c>
      <c r="C12" s="37" t="s">
        <v>178</v>
      </c>
      <c r="D12" s="37" t="s">
        <v>40</v>
      </c>
      <c r="E12" s="38" t="n">
        <f aca="false">'Matrice des notes'!N7</f>
        <v>4</v>
      </c>
      <c r="F12" s="37" t="s">
        <v>633</v>
      </c>
      <c r="G12" s="39" t="s">
        <v>634</v>
      </c>
    </row>
    <row r="13" customFormat="false" ht="15" hidden="false" customHeight="false" outlineLevel="0" collapsed="false">
      <c r="A13" s="37" t="s">
        <v>184</v>
      </c>
      <c r="B13" s="37" t="s">
        <v>186</v>
      </c>
      <c r="C13" s="37" t="s">
        <v>178</v>
      </c>
      <c r="D13" s="37" t="s">
        <v>43</v>
      </c>
      <c r="E13" s="38" t="n">
        <f aca="false">'Matrice des notes'!O7</f>
        <v>2</v>
      </c>
      <c r="F13" s="37" t="s">
        <v>635</v>
      </c>
      <c r="G13" s="39" t="s">
        <v>636</v>
      </c>
    </row>
    <row r="14" customFormat="false" ht="15" hidden="false" customHeight="false" outlineLevel="0" collapsed="false">
      <c r="A14" s="37" t="s">
        <v>184</v>
      </c>
      <c r="B14" s="37" t="s">
        <v>186</v>
      </c>
      <c r="C14" s="37" t="s">
        <v>178</v>
      </c>
      <c r="D14" s="37" t="s">
        <v>46</v>
      </c>
      <c r="E14" s="38" t="n">
        <f aca="false">'Matrice des notes'!P7</f>
        <v>3</v>
      </c>
      <c r="F14" s="37" t="s">
        <v>637</v>
      </c>
      <c r="G14" s="39" t="s">
        <v>638</v>
      </c>
    </row>
    <row r="15" customFormat="false" ht="15" hidden="false" customHeight="false" outlineLevel="0" collapsed="false">
      <c r="A15" s="37" t="s">
        <v>184</v>
      </c>
      <c r="B15" s="37" t="s">
        <v>186</v>
      </c>
      <c r="C15" s="37" t="s">
        <v>179</v>
      </c>
      <c r="D15" s="37" t="s">
        <v>49</v>
      </c>
      <c r="E15" s="38" t="n">
        <f aca="false">'Matrice des notes'!Q7</f>
        <v>4</v>
      </c>
      <c r="F15" s="37" t="s">
        <v>639</v>
      </c>
      <c r="G15" s="39" t="s">
        <v>640</v>
      </c>
    </row>
    <row r="16" customFormat="false" ht="15" hidden="false" customHeight="false" outlineLevel="0" collapsed="false">
      <c r="A16" s="37" t="s">
        <v>184</v>
      </c>
      <c r="B16" s="37" t="s">
        <v>186</v>
      </c>
      <c r="C16" s="37" t="s">
        <v>179</v>
      </c>
      <c r="D16" s="37" t="s">
        <v>53</v>
      </c>
      <c r="E16" s="38" t="n">
        <f aca="false">'Matrice des notes'!R7</f>
        <v>4</v>
      </c>
      <c r="F16" s="37" t="s">
        <v>641</v>
      </c>
      <c r="G16" s="39" t="s">
        <v>642</v>
      </c>
    </row>
    <row r="17" customFormat="false" ht="22.35" hidden="false" customHeight="false" outlineLevel="0" collapsed="false">
      <c r="A17" s="37" t="s">
        <v>184</v>
      </c>
      <c r="B17" s="37" t="s">
        <v>186</v>
      </c>
      <c r="C17" s="37" t="s">
        <v>179</v>
      </c>
      <c r="D17" s="37" t="s">
        <v>56</v>
      </c>
      <c r="E17" s="38" t="n">
        <f aca="false">'Matrice des notes'!S7</f>
        <v>4</v>
      </c>
      <c r="F17" s="37" t="s">
        <v>643</v>
      </c>
      <c r="G17" s="39" t="s">
        <v>644</v>
      </c>
    </row>
    <row r="18" customFormat="false" ht="15" hidden="false" customHeight="false" outlineLevel="0" collapsed="false">
      <c r="A18" s="37" t="s">
        <v>184</v>
      </c>
      <c r="B18" s="37" t="s">
        <v>186</v>
      </c>
      <c r="C18" s="37" t="s">
        <v>179</v>
      </c>
      <c r="D18" s="37" t="s">
        <v>59</v>
      </c>
      <c r="E18" s="38" t="n">
        <f aca="false">'Matrice des notes'!T7</f>
        <v>5</v>
      </c>
      <c r="F18" s="37" t="s">
        <v>645</v>
      </c>
      <c r="G18" s="39" t="s">
        <v>646</v>
      </c>
    </row>
    <row r="19" customFormat="false" ht="15" hidden="false" customHeight="false" outlineLevel="0" collapsed="false">
      <c r="A19" s="37" t="s">
        <v>184</v>
      </c>
      <c r="B19" s="37" t="s">
        <v>186</v>
      </c>
      <c r="C19" s="37" t="s">
        <v>179</v>
      </c>
      <c r="D19" s="37" t="s">
        <v>62</v>
      </c>
      <c r="E19" s="38" t="n">
        <f aca="false">'Matrice des notes'!U7</f>
        <v>4</v>
      </c>
      <c r="F19" s="37" t="s">
        <v>647</v>
      </c>
      <c r="G19" s="39" t="s">
        <v>648</v>
      </c>
    </row>
    <row r="20" customFormat="false" ht="15" hidden="false" customHeight="false" outlineLevel="0" collapsed="false">
      <c r="A20" s="37" t="s">
        <v>184</v>
      </c>
      <c r="B20" s="37" t="s">
        <v>186</v>
      </c>
      <c r="C20" s="37" t="s">
        <v>179</v>
      </c>
      <c r="D20" s="37" t="s">
        <v>65</v>
      </c>
      <c r="E20" s="38" t="n">
        <f aca="false">'Matrice des notes'!V7</f>
        <v>3</v>
      </c>
      <c r="F20" s="37" t="s">
        <v>637</v>
      </c>
      <c r="G20" s="39" t="s">
        <v>638</v>
      </c>
    </row>
    <row r="21" customFormat="false" ht="15" hidden="false" customHeight="false" outlineLevel="0" collapsed="false">
      <c r="A21" s="37" t="s">
        <v>184</v>
      </c>
      <c r="B21" s="37" t="s">
        <v>186</v>
      </c>
      <c r="C21" s="37" t="s">
        <v>179</v>
      </c>
      <c r="D21" s="37" t="s">
        <v>68</v>
      </c>
      <c r="E21" s="38" t="n">
        <f aca="false">'Matrice des notes'!W7</f>
        <v>2</v>
      </c>
      <c r="F21" s="37" t="s">
        <v>649</v>
      </c>
      <c r="G21" s="39" t="s">
        <v>650</v>
      </c>
    </row>
    <row r="22" customFormat="false" ht="15" hidden="false" customHeight="false" outlineLevel="0" collapsed="false">
      <c r="A22" s="37" t="s">
        <v>184</v>
      </c>
      <c r="B22" s="37" t="s">
        <v>186</v>
      </c>
      <c r="C22" s="37" t="s">
        <v>179</v>
      </c>
      <c r="D22" s="37" t="s">
        <v>71</v>
      </c>
      <c r="E22" s="38" t="n">
        <f aca="false">'Matrice des notes'!X7</f>
        <v>4</v>
      </c>
      <c r="F22" s="37" t="s">
        <v>639</v>
      </c>
      <c r="G22" s="39" t="s">
        <v>651</v>
      </c>
    </row>
    <row r="23" customFormat="false" ht="15" hidden="false" customHeight="false" outlineLevel="0" collapsed="false">
      <c r="A23" s="37" t="s">
        <v>184</v>
      </c>
      <c r="B23" s="37" t="s">
        <v>186</v>
      </c>
      <c r="C23" s="37" t="s">
        <v>179</v>
      </c>
      <c r="D23" s="37" t="s">
        <v>74</v>
      </c>
      <c r="E23" s="38" t="n">
        <f aca="false">'Matrice des notes'!Y7</f>
        <v>3</v>
      </c>
      <c r="F23" s="37" t="s">
        <v>637</v>
      </c>
      <c r="G23" s="39" t="s">
        <v>638</v>
      </c>
    </row>
    <row r="24" customFormat="false" ht="15" hidden="false" customHeight="false" outlineLevel="0" collapsed="false">
      <c r="A24" s="37" t="s">
        <v>184</v>
      </c>
      <c r="B24" s="37" t="s">
        <v>186</v>
      </c>
      <c r="C24" s="37" t="s">
        <v>179</v>
      </c>
      <c r="D24" s="37" t="s">
        <v>77</v>
      </c>
      <c r="E24" s="38" t="n">
        <f aca="false">'Matrice des notes'!Z7</f>
        <v>3</v>
      </c>
      <c r="F24" s="37" t="s">
        <v>637</v>
      </c>
      <c r="G24" s="39" t="s">
        <v>638</v>
      </c>
    </row>
    <row r="25" customFormat="false" ht="15" hidden="false" customHeight="false" outlineLevel="0" collapsed="false">
      <c r="A25" s="37" t="s">
        <v>184</v>
      </c>
      <c r="B25" s="37" t="s">
        <v>186</v>
      </c>
      <c r="C25" s="37" t="s">
        <v>179</v>
      </c>
      <c r="D25" s="37" t="s">
        <v>80</v>
      </c>
      <c r="E25" s="38" t="n">
        <f aca="false">'Matrice des notes'!AA7</f>
        <v>3</v>
      </c>
      <c r="F25" s="37" t="s">
        <v>637</v>
      </c>
      <c r="G25" s="39" t="s">
        <v>638</v>
      </c>
    </row>
    <row r="26" customFormat="false" ht="15" hidden="false" customHeight="false" outlineLevel="0" collapsed="false">
      <c r="A26" s="37" t="s">
        <v>184</v>
      </c>
      <c r="B26" s="37" t="s">
        <v>186</v>
      </c>
      <c r="C26" s="37" t="s">
        <v>179</v>
      </c>
      <c r="D26" s="37" t="s">
        <v>83</v>
      </c>
      <c r="E26" s="38" t="n">
        <f aca="false">'Matrice des notes'!AB7</f>
        <v>3</v>
      </c>
      <c r="F26" s="37" t="s">
        <v>652</v>
      </c>
      <c r="G26" s="39" t="s">
        <v>653</v>
      </c>
    </row>
    <row r="27" customFormat="false" ht="15" hidden="false" customHeight="false" outlineLevel="0" collapsed="false">
      <c r="A27" s="37" t="s">
        <v>184</v>
      </c>
      <c r="B27" s="37" t="s">
        <v>186</v>
      </c>
      <c r="C27" s="37" t="s">
        <v>179</v>
      </c>
      <c r="D27" s="37" t="s">
        <v>86</v>
      </c>
      <c r="E27" s="38" t="n">
        <f aca="false">'Matrice des notes'!AC7</f>
        <v>2</v>
      </c>
      <c r="F27" s="37" t="s">
        <v>637</v>
      </c>
      <c r="G27" s="39" t="s">
        <v>638</v>
      </c>
    </row>
    <row r="28" customFormat="false" ht="15" hidden="false" customHeight="false" outlineLevel="0" collapsed="false">
      <c r="A28" s="37" t="s">
        <v>184</v>
      </c>
      <c r="B28" s="37" t="s">
        <v>186</v>
      </c>
      <c r="C28" s="37" t="s">
        <v>179</v>
      </c>
      <c r="D28" s="37" t="s">
        <v>89</v>
      </c>
      <c r="E28" s="38" t="n">
        <f aca="false">'Matrice des notes'!AD7</f>
        <v>3</v>
      </c>
      <c r="F28" s="37" t="s">
        <v>637</v>
      </c>
      <c r="G28" s="39" t="s">
        <v>638</v>
      </c>
    </row>
    <row r="29" customFormat="false" ht="15" hidden="false" customHeight="false" outlineLevel="0" collapsed="false">
      <c r="A29" s="37" t="s">
        <v>184</v>
      </c>
      <c r="B29" s="37" t="s">
        <v>186</v>
      </c>
      <c r="C29" s="37" t="s">
        <v>179</v>
      </c>
      <c r="D29" s="37" t="s">
        <v>92</v>
      </c>
      <c r="E29" s="38" t="n">
        <f aca="false">'Matrice des notes'!AE7</f>
        <v>2</v>
      </c>
      <c r="F29" s="37" t="s">
        <v>637</v>
      </c>
      <c r="G29" s="39" t="s">
        <v>638</v>
      </c>
    </row>
    <row r="30" customFormat="false" ht="15" hidden="false" customHeight="false" outlineLevel="0" collapsed="false">
      <c r="A30" s="37" t="s">
        <v>184</v>
      </c>
      <c r="B30" s="37" t="s">
        <v>186</v>
      </c>
      <c r="C30" s="37" t="s">
        <v>180</v>
      </c>
      <c r="D30" s="37" t="s">
        <v>95</v>
      </c>
      <c r="E30" s="38" t="n">
        <f aca="false">'Matrice des notes'!AF7</f>
        <v>1</v>
      </c>
      <c r="F30" s="37" t="s">
        <v>631</v>
      </c>
      <c r="G30" s="39" t="s">
        <v>654</v>
      </c>
    </row>
    <row r="31" customFormat="false" ht="15" hidden="false" customHeight="false" outlineLevel="0" collapsed="false">
      <c r="A31" s="37" t="s">
        <v>184</v>
      </c>
      <c r="B31" s="37" t="s">
        <v>186</v>
      </c>
      <c r="C31" s="37" t="s">
        <v>180</v>
      </c>
      <c r="D31" s="37" t="s">
        <v>99</v>
      </c>
      <c r="E31" s="38" t="n">
        <f aca="false">'Matrice des notes'!AG7</f>
        <v>1</v>
      </c>
      <c r="F31" s="37" t="s">
        <v>655</v>
      </c>
      <c r="G31" s="39" t="s">
        <v>656</v>
      </c>
    </row>
    <row r="32" customFormat="false" ht="15" hidden="false" customHeight="false" outlineLevel="0" collapsed="false">
      <c r="A32" s="37" t="s">
        <v>184</v>
      </c>
      <c r="B32" s="37" t="s">
        <v>186</v>
      </c>
      <c r="C32" s="37" t="s">
        <v>180</v>
      </c>
      <c r="D32" s="37" t="s">
        <v>102</v>
      </c>
      <c r="E32" s="38" t="n">
        <f aca="false">'Matrice des notes'!AH7</f>
        <v>1</v>
      </c>
      <c r="F32" s="37" t="s">
        <v>655</v>
      </c>
      <c r="G32" s="39" t="s">
        <v>656</v>
      </c>
    </row>
    <row r="33" customFormat="false" ht="15" hidden="false" customHeight="false" outlineLevel="0" collapsed="false">
      <c r="A33" s="37" t="s">
        <v>184</v>
      </c>
      <c r="B33" s="37" t="s">
        <v>186</v>
      </c>
      <c r="C33" s="37" t="s">
        <v>180</v>
      </c>
      <c r="D33" s="37" t="s">
        <v>104</v>
      </c>
      <c r="E33" s="38" t="n">
        <f aca="false">'Matrice des notes'!AI7</f>
        <v>1</v>
      </c>
      <c r="F33" s="37" t="s">
        <v>631</v>
      </c>
      <c r="G33" s="39" t="s">
        <v>654</v>
      </c>
    </row>
    <row r="34" customFormat="false" ht="15" hidden="false" customHeight="false" outlineLevel="0" collapsed="false">
      <c r="A34" s="37" t="s">
        <v>184</v>
      </c>
      <c r="B34" s="37" t="s">
        <v>186</v>
      </c>
      <c r="C34" s="37" t="s">
        <v>180</v>
      </c>
      <c r="D34" s="37" t="s">
        <v>107</v>
      </c>
      <c r="E34" s="38" t="n">
        <f aca="false">'Matrice des notes'!AJ7</f>
        <v>1</v>
      </c>
      <c r="F34" s="37" t="s">
        <v>631</v>
      </c>
      <c r="G34" s="39" t="s">
        <v>654</v>
      </c>
    </row>
    <row r="35" customFormat="false" ht="15" hidden="false" customHeight="false" outlineLevel="0" collapsed="false">
      <c r="A35" s="37" t="s">
        <v>184</v>
      </c>
      <c r="B35" s="37" t="s">
        <v>186</v>
      </c>
      <c r="C35" s="37" t="s">
        <v>180</v>
      </c>
      <c r="D35" s="37" t="s">
        <v>110</v>
      </c>
      <c r="E35" s="38" t="n">
        <f aca="false">'Matrice des notes'!AK7</f>
        <v>1</v>
      </c>
      <c r="F35" s="37" t="s">
        <v>631</v>
      </c>
      <c r="G35" s="39" t="s">
        <v>654</v>
      </c>
    </row>
    <row r="36" customFormat="false" ht="15" hidden="false" customHeight="false" outlineLevel="0" collapsed="false">
      <c r="A36" s="37" t="s">
        <v>184</v>
      </c>
      <c r="B36" s="37" t="s">
        <v>186</v>
      </c>
      <c r="C36" s="37" t="s">
        <v>180</v>
      </c>
      <c r="D36" s="37" t="s">
        <v>113</v>
      </c>
      <c r="E36" s="38" t="n">
        <f aca="false">'Matrice des notes'!AL7</f>
        <v>1</v>
      </c>
      <c r="F36" s="37" t="s">
        <v>631</v>
      </c>
      <c r="G36" s="39" t="s">
        <v>654</v>
      </c>
    </row>
    <row r="37" customFormat="false" ht="15" hidden="false" customHeight="false" outlineLevel="0" collapsed="false">
      <c r="A37" s="37" t="s">
        <v>184</v>
      </c>
      <c r="B37" s="37" t="s">
        <v>186</v>
      </c>
      <c r="C37" s="37" t="s">
        <v>180</v>
      </c>
      <c r="D37" s="37" t="s">
        <v>116</v>
      </c>
      <c r="E37" s="38" t="n">
        <f aca="false">'Matrice des notes'!AM7</f>
        <v>1</v>
      </c>
      <c r="F37" s="37" t="s">
        <v>655</v>
      </c>
      <c r="G37" s="39" t="s">
        <v>656</v>
      </c>
    </row>
    <row r="38" customFormat="false" ht="15" hidden="false" customHeight="false" outlineLevel="0" collapsed="false">
      <c r="A38" s="37" t="s">
        <v>184</v>
      </c>
      <c r="B38" s="37" t="s">
        <v>186</v>
      </c>
      <c r="C38" s="37" t="s">
        <v>180</v>
      </c>
      <c r="D38" s="37" t="s">
        <v>119</v>
      </c>
      <c r="E38" s="38" t="n">
        <f aca="false">'Matrice des notes'!AN7</f>
        <v>1</v>
      </c>
      <c r="F38" s="37" t="s">
        <v>631</v>
      </c>
      <c r="G38" s="39" t="s">
        <v>654</v>
      </c>
    </row>
    <row r="39" customFormat="false" ht="15" hidden="false" customHeight="false" outlineLevel="0" collapsed="false">
      <c r="A39" s="37" t="s">
        <v>184</v>
      </c>
      <c r="B39" s="37" t="s">
        <v>186</v>
      </c>
      <c r="C39" s="37" t="s">
        <v>180</v>
      </c>
      <c r="D39" s="37" t="s">
        <v>121</v>
      </c>
      <c r="E39" s="38" t="n">
        <f aca="false">'Matrice des notes'!AO7</f>
        <v>1</v>
      </c>
      <c r="F39" s="37" t="s">
        <v>657</v>
      </c>
      <c r="G39" s="39" t="s">
        <v>658</v>
      </c>
    </row>
    <row r="40" customFormat="false" ht="15" hidden="false" customHeight="false" outlineLevel="0" collapsed="false">
      <c r="A40" s="37" t="s">
        <v>184</v>
      </c>
      <c r="B40" s="37" t="s">
        <v>186</v>
      </c>
      <c r="C40" s="37" t="s">
        <v>180</v>
      </c>
      <c r="D40" s="37" t="s">
        <v>124</v>
      </c>
      <c r="E40" s="38" t="n">
        <f aca="false">'Matrice des notes'!AP7</f>
        <v>3</v>
      </c>
      <c r="F40" s="37" t="s">
        <v>659</v>
      </c>
      <c r="G40" s="39" t="s">
        <v>660</v>
      </c>
    </row>
    <row r="41" customFormat="false" ht="15" hidden="false" customHeight="false" outlineLevel="0" collapsed="false">
      <c r="A41" s="37" t="s">
        <v>184</v>
      </c>
      <c r="B41" s="37" t="s">
        <v>187</v>
      </c>
      <c r="C41" s="37" t="s">
        <v>178</v>
      </c>
      <c r="D41" s="37" t="s">
        <v>7</v>
      </c>
      <c r="E41" s="38" t="n">
        <f aca="false">'Matrice des notes'!D8</f>
        <v>3</v>
      </c>
      <c r="F41" s="37" t="s">
        <v>617</v>
      </c>
      <c r="G41" s="39" t="s">
        <v>618</v>
      </c>
    </row>
    <row r="42" customFormat="false" ht="15" hidden="false" customHeight="false" outlineLevel="0" collapsed="false">
      <c r="A42" s="37" t="s">
        <v>184</v>
      </c>
      <c r="B42" s="37" t="s">
        <v>187</v>
      </c>
      <c r="C42" s="37" t="s">
        <v>178</v>
      </c>
      <c r="D42" s="37" t="s">
        <v>11</v>
      </c>
      <c r="E42" s="38" t="n">
        <f aca="false">'Matrice des notes'!E8</f>
        <v>4</v>
      </c>
      <c r="F42" s="37" t="s">
        <v>619</v>
      </c>
      <c r="G42" s="39" t="s">
        <v>620</v>
      </c>
    </row>
    <row r="43" customFormat="false" ht="22.35" hidden="false" customHeight="false" outlineLevel="0" collapsed="false">
      <c r="A43" s="37" t="s">
        <v>184</v>
      </c>
      <c r="B43" s="37" t="s">
        <v>187</v>
      </c>
      <c r="C43" s="37" t="s">
        <v>178</v>
      </c>
      <c r="D43" s="37" t="s">
        <v>14</v>
      </c>
      <c r="E43" s="38" t="n">
        <f aca="false">'Matrice des notes'!F8</f>
        <v>4</v>
      </c>
      <c r="F43" s="37" t="s">
        <v>621</v>
      </c>
      <c r="G43" s="39" t="s">
        <v>661</v>
      </c>
    </row>
    <row r="44" customFormat="false" ht="15" hidden="false" customHeight="false" outlineLevel="0" collapsed="false">
      <c r="A44" s="37" t="s">
        <v>184</v>
      </c>
      <c r="B44" s="37" t="s">
        <v>187</v>
      </c>
      <c r="C44" s="37" t="s">
        <v>178</v>
      </c>
      <c r="D44" s="37" t="s">
        <v>17</v>
      </c>
      <c r="E44" s="38" t="n">
        <f aca="false">'Matrice des notes'!G8</f>
        <v>4</v>
      </c>
      <c r="F44" s="37" t="s">
        <v>623</v>
      </c>
      <c r="G44" s="39" t="s">
        <v>662</v>
      </c>
    </row>
    <row r="45" customFormat="false" ht="15" hidden="false" customHeight="false" outlineLevel="0" collapsed="false">
      <c r="A45" s="37" t="s">
        <v>184</v>
      </c>
      <c r="B45" s="37" t="s">
        <v>187</v>
      </c>
      <c r="C45" s="37" t="s">
        <v>178</v>
      </c>
      <c r="D45" s="37" t="s">
        <v>20</v>
      </c>
      <c r="E45" s="38" t="n">
        <f aca="false">'Matrice des notes'!H8</f>
        <v>4</v>
      </c>
      <c r="F45" s="37" t="s">
        <v>625</v>
      </c>
      <c r="G45" s="39" t="s">
        <v>626</v>
      </c>
    </row>
    <row r="46" customFormat="false" ht="15" hidden="false" customHeight="false" outlineLevel="0" collapsed="false">
      <c r="A46" s="37" t="s">
        <v>184</v>
      </c>
      <c r="B46" s="37" t="s">
        <v>187</v>
      </c>
      <c r="C46" s="37" t="s">
        <v>178</v>
      </c>
      <c r="D46" s="37" t="s">
        <v>23</v>
      </c>
      <c r="E46" s="38" t="n">
        <f aca="false">'Matrice des notes'!I8</f>
        <v>5</v>
      </c>
      <c r="F46" s="37" t="s">
        <v>627</v>
      </c>
      <c r="G46" s="39" t="s">
        <v>628</v>
      </c>
    </row>
    <row r="47" customFormat="false" ht="15" hidden="false" customHeight="false" outlineLevel="0" collapsed="false">
      <c r="A47" s="37" t="s">
        <v>184</v>
      </c>
      <c r="B47" s="37" t="s">
        <v>187</v>
      </c>
      <c r="C47" s="37" t="s">
        <v>178</v>
      </c>
      <c r="D47" s="37" t="s">
        <v>26</v>
      </c>
      <c r="E47" s="38" t="n">
        <f aca="false">'Matrice des notes'!J8</f>
        <v>4</v>
      </c>
      <c r="F47" s="37" t="s">
        <v>629</v>
      </c>
      <c r="G47" s="39" t="s">
        <v>663</v>
      </c>
    </row>
    <row r="48" customFormat="false" ht="15" hidden="false" customHeight="false" outlineLevel="0" collapsed="false">
      <c r="A48" s="37" t="s">
        <v>184</v>
      </c>
      <c r="B48" s="37" t="s">
        <v>187</v>
      </c>
      <c r="C48" s="37" t="s">
        <v>178</v>
      </c>
      <c r="D48" s="37" t="s">
        <v>30</v>
      </c>
      <c r="E48" s="38" t="n">
        <f aca="false">'Matrice des notes'!K8</f>
        <v>4</v>
      </c>
      <c r="F48" s="37" t="s">
        <v>629</v>
      </c>
      <c r="G48" s="39" t="s">
        <v>663</v>
      </c>
    </row>
    <row r="49" customFormat="false" ht="15" hidden="false" customHeight="false" outlineLevel="0" collapsed="false">
      <c r="A49" s="37" t="s">
        <v>184</v>
      </c>
      <c r="B49" s="37" t="s">
        <v>187</v>
      </c>
      <c r="C49" s="37" t="s">
        <v>178</v>
      </c>
      <c r="D49" s="37" t="s">
        <v>34</v>
      </c>
      <c r="E49" s="38" t="n">
        <f aca="false">'Matrice des notes'!L8</f>
        <v>4</v>
      </c>
      <c r="F49" s="37" t="s">
        <v>623</v>
      </c>
      <c r="G49" s="39" t="s">
        <v>662</v>
      </c>
    </row>
    <row r="50" customFormat="false" ht="15" hidden="false" customHeight="false" outlineLevel="0" collapsed="false">
      <c r="A50" s="37" t="s">
        <v>184</v>
      </c>
      <c r="B50" s="37" t="s">
        <v>187</v>
      </c>
      <c r="C50" s="37" t="s">
        <v>178</v>
      </c>
      <c r="D50" s="37" t="s">
        <v>37</v>
      </c>
      <c r="E50" s="38" t="n">
        <f aca="false">'Matrice des notes'!M8</f>
        <v>2</v>
      </c>
      <c r="F50" s="37" t="s">
        <v>631</v>
      </c>
      <c r="G50" s="39" t="s">
        <v>632</v>
      </c>
    </row>
    <row r="51" customFormat="false" ht="15" hidden="false" customHeight="false" outlineLevel="0" collapsed="false">
      <c r="A51" s="37" t="s">
        <v>184</v>
      </c>
      <c r="B51" s="37" t="s">
        <v>187</v>
      </c>
      <c r="C51" s="37" t="s">
        <v>178</v>
      </c>
      <c r="D51" s="37" t="s">
        <v>40</v>
      </c>
      <c r="E51" s="38" t="n">
        <f aca="false">'Matrice des notes'!N8</f>
        <v>4</v>
      </c>
      <c r="F51" s="37" t="s">
        <v>633</v>
      </c>
      <c r="G51" s="39" t="s">
        <v>634</v>
      </c>
    </row>
    <row r="52" customFormat="false" ht="15" hidden="false" customHeight="false" outlineLevel="0" collapsed="false">
      <c r="A52" s="37" t="s">
        <v>184</v>
      </c>
      <c r="B52" s="37" t="s">
        <v>187</v>
      </c>
      <c r="C52" s="37" t="s">
        <v>178</v>
      </c>
      <c r="D52" s="37" t="s">
        <v>43</v>
      </c>
      <c r="E52" s="38" t="n">
        <f aca="false">'Matrice des notes'!O8</f>
        <v>2</v>
      </c>
      <c r="F52" s="37" t="s">
        <v>635</v>
      </c>
      <c r="G52" s="39" t="s">
        <v>636</v>
      </c>
    </row>
    <row r="53" customFormat="false" ht="15" hidden="false" customHeight="false" outlineLevel="0" collapsed="false">
      <c r="A53" s="37" t="s">
        <v>184</v>
      </c>
      <c r="B53" s="37" t="s">
        <v>187</v>
      </c>
      <c r="C53" s="37" t="s">
        <v>178</v>
      </c>
      <c r="D53" s="37" t="s">
        <v>46</v>
      </c>
      <c r="E53" s="38" t="n">
        <f aca="false">'Matrice des notes'!P8</f>
        <v>4</v>
      </c>
      <c r="F53" s="37" t="s">
        <v>623</v>
      </c>
      <c r="G53" s="39" t="s">
        <v>662</v>
      </c>
    </row>
    <row r="54" customFormat="false" ht="15" hidden="false" customHeight="false" outlineLevel="0" collapsed="false">
      <c r="A54" s="37" t="s">
        <v>184</v>
      </c>
      <c r="B54" s="37" t="s">
        <v>187</v>
      </c>
      <c r="C54" s="37" t="s">
        <v>179</v>
      </c>
      <c r="D54" s="37" t="s">
        <v>49</v>
      </c>
      <c r="E54" s="38" t="n">
        <f aca="false">'Matrice des notes'!Q8</f>
        <v>4</v>
      </c>
      <c r="F54" s="37" t="s">
        <v>639</v>
      </c>
      <c r="G54" s="39" t="s">
        <v>640</v>
      </c>
    </row>
    <row r="55" customFormat="false" ht="15" hidden="false" customHeight="false" outlineLevel="0" collapsed="false">
      <c r="A55" s="37" t="s">
        <v>184</v>
      </c>
      <c r="B55" s="37" t="s">
        <v>187</v>
      </c>
      <c r="C55" s="37" t="s">
        <v>179</v>
      </c>
      <c r="D55" s="37" t="s">
        <v>53</v>
      </c>
      <c r="E55" s="38" t="n">
        <f aca="false">'Matrice des notes'!R8</f>
        <v>4</v>
      </c>
      <c r="F55" s="37" t="s">
        <v>641</v>
      </c>
      <c r="G55" s="39" t="s">
        <v>664</v>
      </c>
    </row>
    <row r="56" customFormat="false" ht="22.35" hidden="false" customHeight="false" outlineLevel="0" collapsed="false">
      <c r="A56" s="37" t="s">
        <v>184</v>
      </c>
      <c r="B56" s="37" t="s">
        <v>187</v>
      </c>
      <c r="C56" s="37" t="s">
        <v>179</v>
      </c>
      <c r="D56" s="37" t="s">
        <v>56</v>
      </c>
      <c r="E56" s="38" t="n">
        <f aca="false">'Matrice des notes'!S8</f>
        <v>4</v>
      </c>
      <c r="F56" s="37" t="s">
        <v>643</v>
      </c>
      <c r="G56" s="39" t="s">
        <v>665</v>
      </c>
    </row>
    <row r="57" customFormat="false" ht="15" hidden="false" customHeight="false" outlineLevel="0" collapsed="false">
      <c r="A57" s="37" t="s">
        <v>184</v>
      </c>
      <c r="B57" s="37" t="s">
        <v>187</v>
      </c>
      <c r="C57" s="37" t="s">
        <v>179</v>
      </c>
      <c r="D57" s="37" t="s">
        <v>59</v>
      </c>
      <c r="E57" s="38" t="n">
        <f aca="false">'Matrice des notes'!T8</f>
        <v>5</v>
      </c>
      <c r="F57" s="37" t="s">
        <v>645</v>
      </c>
      <c r="G57" s="39" t="s">
        <v>646</v>
      </c>
    </row>
    <row r="58" customFormat="false" ht="15" hidden="false" customHeight="false" outlineLevel="0" collapsed="false">
      <c r="A58" s="37" t="s">
        <v>184</v>
      </c>
      <c r="B58" s="37" t="s">
        <v>187</v>
      </c>
      <c r="C58" s="37" t="s">
        <v>179</v>
      </c>
      <c r="D58" s="37" t="s">
        <v>62</v>
      </c>
      <c r="E58" s="38" t="n">
        <f aca="false">'Matrice des notes'!U8</f>
        <v>4</v>
      </c>
      <c r="F58" s="37" t="s">
        <v>647</v>
      </c>
      <c r="G58" s="39" t="s">
        <v>648</v>
      </c>
    </row>
    <row r="59" customFormat="false" ht="15" hidden="false" customHeight="false" outlineLevel="0" collapsed="false">
      <c r="A59" s="37" t="s">
        <v>184</v>
      </c>
      <c r="B59" s="37" t="s">
        <v>187</v>
      </c>
      <c r="C59" s="37" t="s">
        <v>179</v>
      </c>
      <c r="D59" s="37" t="s">
        <v>65</v>
      </c>
      <c r="E59" s="38" t="n">
        <f aca="false">'Matrice des notes'!V8</f>
        <v>4</v>
      </c>
      <c r="F59" s="37" t="s">
        <v>623</v>
      </c>
      <c r="G59" s="39" t="s">
        <v>662</v>
      </c>
    </row>
    <row r="60" customFormat="false" ht="15" hidden="false" customHeight="false" outlineLevel="0" collapsed="false">
      <c r="A60" s="37" t="s">
        <v>184</v>
      </c>
      <c r="B60" s="37" t="s">
        <v>187</v>
      </c>
      <c r="C60" s="37" t="s">
        <v>179</v>
      </c>
      <c r="D60" s="37" t="s">
        <v>68</v>
      </c>
      <c r="E60" s="38" t="n">
        <f aca="false">'Matrice des notes'!W8</f>
        <v>2</v>
      </c>
      <c r="F60" s="37" t="s">
        <v>649</v>
      </c>
      <c r="G60" s="39" t="s">
        <v>650</v>
      </c>
    </row>
    <row r="61" customFormat="false" ht="15" hidden="false" customHeight="false" outlineLevel="0" collapsed="false">
      <c r="A61" s="37" t="s">
        <v>184</v>
      </c>
      <c r="B61" s="37" t="s">
        <v>187</v>
      </c>
      <c r="C61" s="37" t="s">
        <v>179</v>
      </c>
      <c r="D61" s="37" t="s">
        <v>71</v>
      </c>
      <c r="E61" s="38" t="n">
        <f aca="false">'Matrice des notes'!X8</f>
        <v>4</v>
      </c>
      <c r="F61" s="37" t="s">
        <v>639</v>
      </c>
      <c r="G61" s="39" t="s">
        <v>651</v>
      </c>
    </row>
    <row r="62" customFormat="false" ht="15" hidden="false" customHeight="false" outlineLevel="0" collapsed="false">
      <c r="A62" s="37" t="s">
        <v>184</v>
      </c>
      <c r="B62" s="37" t="s">
        <v>187</v>
      </c>
      <c r="C62" s="37" t="s">
        <v>179</v>
      </c>
      <c r="D62" s="37" t="s">
        <v>74</v>
      </c>
      <c r="E62" s="38" t="n">
        <f aca="false">'Matrice des notes'!Y8</f>
        <v>4</v>
      </c>
      <c r="F62" s="37" t="s">
        <v>623</v>
      </c>
      <c r="G62" s="39" t="s">
        <v>662</v>
      </c>
    </row>
    <row r="63" customFormat="false" ht="15" hidden="false" customHeight="false" outlineLevel="0" collapsed="false">
      <c r="A63" s="37" t="s">
        <v>184</v>
      </c>
      <c r="B63" s="37" t="s">
        <v>187</v>
      </c>
      <c r="C63" s="37" t="s">
        <v>179</v>
      </c>
      <c r="D63" s="37" t="s">
        <v>77</v>
      </c>
      <c r="E63" s="38" t="n">
        <f aca="false">'Matrice des notes'!Z8</f>
        <v>4</v>
      </c>
      <c r="F63" s="37" t="s">
        <v>623</v>
      </c>
      <c r="G63" s="39" t="s">
        <v>662</v>
      </c>
    </row>
    <row r="64" customFormat="false" ht="15" hidden="false" customHeight="false" outlineLevel="0" collapsed="false">
      <c r="A64" s="37" t="s">
        <v>184</v>
      </c>
      <c r="B64" s="37" t="s">
        <v>187</v>
      </c>
      <c r="C64" s="37" t="s">
        <v>179</v>
      </c>
      <c r="D64" s="37" t="s">
        <v>80</v>
      </c>
      <c r="E64" s="38" t="n">
        <f aca="false">'Matrice des notes'!AA8</f>
        <v>4</v>
      </c>
      <c r="F64" s="37" t="s">
        <v>623</v>
      </c>
      <c r="G64" s="39" t="s">
        <v>662</v>
      </c>
    </row>
    <row r="65" customFormat="false" ht="15" hidden="false" customHeight="false" outlineLevel="0" collapsed="false">
      <c r="A65" s="37" t="s">
        <v>184</v>
      </c>
      <c r="B65" s="37" t="s">
        <v>187</v>
      </c>
      <c r="C65" s="37" t="s">
        <v>179</v>
      </c>
      <c r="D65" s="37" t="s">
        <v>83</v>
      </c>
      <c r="E65" s="38" t="n">
        <f aca="false">'Matrice des notes'!AB8</f>
        <v>3</v>
      </c>
      <c r="F65" s="37" t="s">
        <v>652</v>
      </c>
      <c r="G65" s="39" t="s">
        <v>653</v>
      </c>
    </row>
    <row r="66" customFormat="false" ht="15" hidden="false" customHeight="false" outlineLevel="0" collapsed="false">
      <c r="A66" s="37" t="s">
        <v>184</v>
      </c>
      <c r="B66" s="37" t="s">
        <v>187</v>
      </c>
      <c r="C66" s="37" t="s">
        <v>179</v>
      </c>
      <c r="D66" s="37" t="s">
        <v>86</v>
      </c>
      <c r="E66" s="38" t="n">
        <f aca="false">'Matrice des notes'!AC8</f>
        <v>2</v>
      </c>
      <c r="F66" s="37" t="s">
        <v>652</v>
      </c>
      <c r="G66" s="39" t="s">
        <v>653</v>
      </c>
    </row>
    <row r="67" customFormat="false" ht="15" hidden="false" customHeight="false" outlineLevel="0" collapsed="false">
      <c r="A67" s="37" t="s">
        <v>184</v>
      </c>
      <c r="B67" s="37" t="s">
        <v>187</v>
      </c>
      <c r="C67" s="37" t="s">
        <v>179</v>
      </c>
      <c r="D67" s="37" t="s">
        <v>89</v>
      </c>
      <c r="E67" s="38" t="n">
        <f aca="false">'Matrice des notes'!AD8</f>
        <v>3</v>
      </c>
      <c r="F67" s="37" t="s">
        <v>652</v>
      </c>
      <c r="G67" s="39" t="s">
        <v>653</v>
      </c>
    </row>
    <row r="68" customFormat="false" ht="15" hidden="false" customHeight="false" outlineLevel="0" collapsed="false">
      <c r="A68" s="37" t="s">
        <v>184</v>
      </c>
      <c r="B68" s="37" t="s">
        <v>187</v>
      </c>
      <c r="C68" s="37" t="s">
        <v>179</v>
      </c>
      <c r="D68" s="37" t="s">
        <v>92</v>
      </c>
      <c r="E68" s="38" t="n">
        <f aca="false">'Matrice des notes'!AE8</f>
        <v>2</v>
      </c>
      <c r="F68" s="37" t="s">
        <v>652</v>
      </c>
      <c r="G68" s="39" t="s">
        <v>653</v>
      </c>
    </row>
    <row r="69" customFormat="false" ht="15" hidden="false" customHeight="false" outlineLevel="0" collapsed="false">
      <c r="A69" s="37" t="s">
        <v>184</v>
      </c>
      <c r="B69" s="37" t="s">
        <v>187</v>
      </c>
      <c r="C69" s="37" t="s">
        <v>180</v>
      </c>
      <c r="D69" s="37" t="s">
        <v>95</v>
      </c>
      <c r="E69" s="38" t="n">
        <f aca="false">'Matrice des notes'!AF8</f>
        <v>1</v>
      </c>
      <c r="F69" s="37" t="s">
        <v>631</v>
      </c>
      <c r="G69" s="39" t="s">
        <v>654</v>
      </c>
    </row>
    <row r="70" customFormat="false" ht="15" hidden="false" customHeight="false" outlineLevel="0" collapsed="false">
      <c r="A70" s="37" t="s">
        <v>184</v>
      </c>
      <c r="B70" s="37" t="s">
        <v>187</v>
      </c>
      <c r="C70" s="37" t="s">
        <v>180</v>
      </c>
      <c r="D70" s="37" t="s">
        <v>99</v>
      </c>
      <c r="E70" s="38" t="n">
        <f aca="false">'Matrice des notes'!AG8</f>
        <v>1</v>
      </c>
      <c r="F70" s="37" t="s">
        <v>655</v>
      </c>
      <c r="G70" s="39" t="s">
        <v>656</v>
      </c>
    </row>
    <row r="71" customFormat="false" ht="15" hidden="false" customHeight="false" outlineLevel="0" collapsed="false">
      <c r="A71" s="37" t="s">
        <v>184</v>
      </c>
      <c r="B71" s="37" t="s">
        <v>187</v>
      </c>
      <c r="C71" s="37" t="s">
        <v>180</v>
      </c>
      <c r="D71" s="37" t="s">
        <v>102</v>
      </c>
      <c r="E71" s="38" t="n">
        <f aca="false">'Matrice des notes'!AH8</f>
        <v>1</v>
      </c>
      <c r="F71" s="37" t="s">
        <v>655</v>
      </c>
      <c r="G71" s="39" t="s">
        <v>656</v>
      </c>
    </row>
    <row r="72" customFormat="false" ht="15" hidden="false" customHeight="false" outlineLevel="0" collapsed="false">
      <c r="A72" s="37" t="s">
        <v>184</v>
      </c>
      <c r="B72" s="37" t="s">
        <v>187</v>
      </c>
      <c r="C72" s="37" t="s">
        <v>180</v>
      </c>
      <c r="D72" s="37" t="s">
        <v>104</v>
      </c>
      <c r="E72" s="38" t="n">
        <f aca="false">'Matrice des notes'!AI8</f>
        <v>1</v>
      </c>
      <c r="F72" s="37" t="s">
        <v>631</v>
      </c>
      <c r="G72" s="39" t="s">
        <v>654</v>
      </c>
    </row>
    <row r="73" customFormat="false" ht="15" hidden="false" customHeight="false" outlineLevel="0" collapsed="false">
      <c r="A73" s="37" t="s">
        <v>184</v>
      </c>
      <c r="B73" s="37" t="s">
        <v>187</v>
      </c>
      <c r="C73" s="37" t="s">
        <v>180</v>
      </c>
      <c r="D73" s="37" t="s">
        <v>107</v>
      </c>
      <c r="E73" s="38" t="n">
        <f aca="false">'Matrice des notes'!AJ8</f>
        <v>1</v>
      </c>
      <c r="F73" s="37" t="s">
        <v>631</v>
      </c>
      <c r="G73" s="39" t="s">
        <v>654</v>
      </c>
    </row>
    <row r="74" customFormat="false" ht="15" hidden="false" customHeight="false" outlineLevel="0" collapsed="false">
      <c r="A74" s="37" t="s">
        <v>184</v>
      </c>
      <c r="B74" s="37" t="s">
        <v>187</v>
      </c>
      <c r="C74" s="37" t="s">
        <v>180</v>
      </c>
      <c r="D74" s="37" t="s">
        <v>110</v>
      </c>
      <c r="E74" s="38" t="n">
        <f aca="false">'Matrice des notes'!AK8</f>
        <v>1</v>
      </c>
      <c r="F74" s="37" t="s">
        <v>631</v>
      </c>
      <c r="G74" s="39" t="s">
        <v>654</v>
      </c>
    </row>
    <row r="75" customFormat="false" ht="15" hidden="false" customHeight="false" outlineLevel="0" collapsed="false">
      <c r="A75" s="37" t="s">
        <v>184</v>
      </c>
      <c r="B75" s="37" t="s">
        <v>187</v>
      </c>
      <c r="C75" s="37" t="s">
        <v>180</v>
      </c>
      <c r="D75" s="37" t="s">
        <v>113</v>
      </c>
      <c r="E75" s="38" t="n">
        <f aca="false">'Matrice des notes'!AL8</f>
        <v>1</v>
      </c>
      <c r="F75" s="37" t="s">
        <v>631</v>
      </c>
      <c r="G75" s="39" t="s">
        <v>654</v>
      </c>
    </row>
    <row r="76" customFormat="false" ht="15" hidden="false" customHeight="false" outlineLevel="0" collapsed="false">
      <c r="A76" s="37" t="s">
        <v>184</v>
      </c>
      <c r="B76" s="37" t="s">
        <v>187</v>
      </c>
      <c r="C76" s="37" t="s">
        <v>180</v>
      </c>
      <c r="D76" s="37" t="s">
        <v>116</v>
      </c>
      <c r="E76" s="38" t="n">
        <f aca="false">'Matrice des notes'!AM8</f>
        <v>1</v>
      </c>
      <c r="F76" s="37" t="s">
        <v>655</v>
      </c>
      <c r="G76" s="39" t="s">
        <v>656</v>
      </c>
    </row>
    <row r="77" customFormat="false" ht="15" hidden="false" customHeight="false" outlineLevel="0" collapsed="false">
      <c r="A77" s="37" t="s">
        <v>184</v>
      </c>
      <c r="B77" s="37" t="s">
        <v>187</v>
      </c>
      <c r="C77" s="37" t="s">
        <v>180</v>
      </c>
      <c r="D77" s="37" t="s">
        <v>119</v>
      </c>
      <c r="E77" s="38" t="n">
        <f aca="false">'Matrice des notes'!AN8</f>
        <v>1</v>
      </c>
      <c r="F77" s="37" t="s">
        <v>631</v>
      </c>
      <c r="G77" s="39" t="s">
        <v>654</v>
      </c>
    </row>
    <row r="78" customFormat="false" ht="15" hidden="false" customHeight="false" outlineLevel="0" collapsed="false">
      <c r="A78" s="37" t="s">
        <v>184</v>
      </c>
      <c r="B78" s="37" t="s">
        <v>187</v>
      </c>
      <c r="C78" s="37" t="s">
        <v>180</v>
      </c>
      <c r="D78" s="37" t="s">
        <v>121</v>
      </c>
      <c r="E78" s="38" t="n">
        <f aca="false">'Matrice des notes'!AO8</f>
        <v>1</v>
      </c>
      <c r="F78" s="37" t="s">
        <v>657</v>
      </c>
      <c r="G78" s="39" t="s">
        <v>658</v>
      </c>
    </row>
    <row r="79" customFormat="false" ht="15" hidden="false" customHeight="false" outlineLevel="0" collapsed="false">
      <c r="A79" s="37" t="s">
        <v>184</v>
      </c>
      <c r="B79" s="37" t="s">
        <v>187</v>
      </c>
      <c r="C79" s="37" t="s">
        <v>180</v>
      </c>
      <c r="D79" s="37" t="s">
        <v>124</v>
      </c>
      <c r="E79" s="38" t="n">
        <f aca="false">'Matrice des notes'!AP8</f>
        <v>3</v>
      </c>
      <c r="F79" s="37" t="s">
        <v>659</v>
      </c>
      <c r="G79" s="39" t="s">
        <v>660</v>
      </c>
    </row>
    <row r="80" customFormat="false" ht="15" hidden="false" customHeight="false" outlineLevel="0" collapsed="false">
      <c r="A80" s="37" t="s">
        <v>184</v>
      </c>
      <c r="B80" s="37" t="s">
        <v>188</v>
      </c>
      <c r="C80" s="37" t="s">
        <v>178</v>
      </c>
      <c r="D80" s="37" t="s">
        <v>7</v>
      </c>
      <c r="E80" s="38" t="n">
        <f aca="false">'Matrice des notes'!D9</f>
        <v>3</v>
      </c>
      <c r="F80" s="37" t="s">
        <v>617</v>
      </c>
      <c r="G80" s="39" t="s">
        <v>618</v>
      </c>
    </row>
    <row r="81" customFormat="false" ht="15" hidden="false" customHeight="false" outlineLevel="0" collapsed="false">
      <c r="A81" s="37" t="s">
        <v>184</v>
      </c>
      <c r="B81" s="37" t="s">
        <v>188</v>
      </c>
      <c r="C81" s="37" t="s">
        <v>178</v>
      </c>
      <c r="D81" s="37" t="s">
        <v>11</v>
      </c>
      <c r="E81" s="38" t="n">
        <f aca="false">'Matrice des notes'!E9</f>
        <v>4</v>
      </c>
      <c r="F81" s="37" t="s">
        <v>619</v>
      </c>
      <c r="G81" s="39" t="s">
        <v>620</v>
      </c>
    </row>
    <row r="82" customFormat="false" ht="22.35" hidden="false" customHeight="false" outlineLevel="0" collapsed="false">
      <c r="A82" s="37" t="s">
        <v>184</v>
      </c>
      <c r="B82" s="37" t="s">
        <v>188</v>
      </c>
      <c r="C82" s="37" t="s">
        <v>178</v>
      </c>
      <c r="D82" s="37" t="s">
        <v>14</v>
      </c>
      <c r="E82" s="38" t="n">
        <f aca="false">'Matrice des notes'!F9</f>
        <v>4</v>
      </c>
      <c r="F82" s="37" t="s">
        <v>621</v>
      </c>
      <c r="G82" s="39" t="s">
        <v>661</v>
      </c>
    </row>
    <row r="83" customFormat="false" ht="15" hidden="false" customHeight="false" outlineLevel="0" collapsed="false">
      <c r="A83" s="37" t="s">
        <v>184</v>
      </c>
      <c r="B83" s="37" t="s">
        <v>188</v>
      </c>
      <c r="C83" s="37" t="s">
        <v>178</v>
      </c>
      <c r="D83" s="37" t="s">
        <v>17</v>
      </c>
      <c r="E83" s="38" t="n">
        <f aca="false">'Matrice des notes'!G9</f>
        <v>5</v>
      </c>
      <c r="F83" s="37" t="s">
        <v>666</v>
      </c>
      <c r="G83" s="39" t="s">
        <v>667</v>
      </c>
    </row>
    <row r="84" customFormat="false" ht="15" hidden="false" customHeight="false" outlineLevel="0" collapsed="false">
      <c r="A84" s="37" t="s">
        <v>184</v>
      </c>
      <c r="B84" s="37" t="s">
        <v>188</v>
      </c>
      <c r="C84" s="37" t="s">
        <v>178</v>
      </c>
      <c r="D84" s="37" t="s">
        <v>20</v>
      </c>
      <c r="E84" s="38" t="n">
        <f aca="false">'Matrice des notes'!H9</f>
        <v>4</v>
      </c>
      <c r="F84" s="37" t="s">
        <v>625</v>
      </c>
      <c r="G84" s="39" t="s">
        <v>626</v>
      </c>
    </row>
    <row r="85" customFormat="false" ht="15" hidden="false" customHeight="false" outlineLevel="0" collapsed="false">
      <c r="A85" s="37" t="s">
        <v>184</v>
      </c>
      <c r="B85" s="37" t="s">
        <v>188</v>
      </c>
      <c r="C85" s="37" t="s">
        <v>178</v>
      </c>
      <c r="D85" s="37" t="s">
        <v>23</v>
      </c>
      <c r="E85" s="38" t="n">
        <f aca="false">'Matrice des notes'!I9</f>
        <v>5</v>
      </c>
      <c r="F85" s="37" t="s">
        <v>627</v>
      </c>
      <c r="G85" s="39" t="s">
        <v>628</v>
      </c>
    </row>
    <row r="86" customFormat="false" ht="15" hidden="false" customHeight="false" outlineLevel="0" collapsed="false">
      <c r="A86" s="37" t="s">
        <v>184</v>
      </c>
      <c r="B86" s="37" t="s">
        <v>188</v>
      </c>
      <c r="C86" s="37" t="s">
        <v>178</v>
      </c>
      <c r="D86" s="37" t="s">
        <v>26</v>
      </c>
      <c r="E86" s="38" t="n">
        <f aca="false">'Matrice des notes'!J9</f>
        <v>4</v>
      </c>
      <c r="F86" s="37" t="s">
        <v>629</v>
      </c>
      <c r="G86" s="39" t="s">
        <v>663</v>
      </c>
    </row>
    <row r="87" customFormat="false" ht="15" hidden="false" customHeight="false" outlineLevel="0" collapsed="false">
      <c r="A87" s="37" t="s">
        <v>184</v>
      </c>
      <c r="B87" s="37" t="s">
        <v>188</v>
      </c>
      <c r="C87" s="37" t="s">
        <v>178</v>
      </c>
      <c r="D87" s="37" t="s">
        <v>30</v>
      </c>
      <c r="E87" s="38" t="n">
        <f aca="false">'Matrice des notes'!K9</f>
        <v>4</v>
      </c>
      <c r="F87" s="37" t="s">
        <v>629</v>
      </c>
      <c r="G87" s="39" t="s">
        <v>663</v>
      </c>
    </row>
    <row r="88" customFormat="false" ht="15" hidden="false" customHeight="false" outlineLevel="0" collapsed="false">
      <c r="A88" s="37" t="s">
        <v>184</v>
      </c>
      <c r="B88" s="37" t="s">
        <v>188</v>
      </c>
      <c r="C88" s="37" t="s">
        <v>178</v>
      </c>
      <c r="D88" s="37" t="s">
        <v>34</v>
      </c>
      <c r="E88" s="38" t="n">
        <f aca="false">'Matrice des notes'!L9</f>
        <v>4</v>
      </c>
      <c r="F88" s="37" t="s">
        <v>623</v>
      </c>
      <c r="G88" s="39" t="s">
        <v>662</v>
      </c>
    </row>
    <row r="89" customFormat="false" ht="15" hidden="false" customHeight="false" outlineLevel="0" collapsed="false">
      <c r="A89" s="37" t="s">
        <v>184</v>
      </c>
      <c r="B89" s="37" t="s">
        <v>188</v>
      </c>
      <c r="C89" s="37" t="s">
        <v>178</v>
      </c>
      <c r="D89" s="37" t="s">
        <v>37</v>
      </c>
      <c r="E89" s="38" t="n">
        <f aca="false">'Matrice des notes'!M9</f>
        <v>2</v>
      </c>
      <c r="F89" s="37" t="s">
        <v>631</v>
      </c>
      <c r="G89" s="39" t="s">
        <v>632</v>
      </c>
    </row>
    <row r="90" customFormat="false" ht="15" hidden="false" customHeight="false" outlineLevel="0" collapsed="false">
      <c r="A90" s="37" t="s">
        <v>184</v>
      </c>
      <c r="B90" s="37" t="s">
        <v>188</v>
      </c>
      <c r="C90" s="37" t="s">
        <v>178</v>
      </c>
      <c r="D90" s="37" t="s">
        <v>40</v>
      </c>
      <c r="E90" s="38" t="n">
        <f aca="false">'Matrice des notes'!N9</f>
        <v>4</v>
      </c>
      <c r="F90" s="37" t="s">
        <v>633</v>
      </c>
      <c r="G90" s="39" t="s">
        <v>634</v>
      </c>
    </row>
    <row r="91" customFormat="false" ht="15" hidden="false" customHeight="false" outlineLevel="0" collapsed="false">
      <c r="A91" s="37" t="s">
        <v>184</v>
      </c>
      <c r="B91" s="37" t="s">
        <v>188</v>
      </c>
      <c r="C91" s="37" t="s">
        <v>178</v>
      </c>
      <c r="D91" s="37" t="s">
        <v>43</v>
      </c>
      <c r="E91" s="38" t="n">
        <f aca="false">'Matrice des notes'!O9</f>
        <v>2</v>
      </c>
      <c r="F91" s="37" t="s">
        <v>635</v>
      </c>
      <c r="G91" s="39" t="s">
        <v>636</v>
      </c>
    </row>
    <row r="92" customFormat="false" ht="15" hidden="false" customHeight="false" outlineLevel="0" collapsed="false">
      <c r="A92" s="37" t="s">
        <v>184</v>
      </c>
      <c r="B92" s="37" t="s">
        <v>188</v>
      </c>
      <c r="C92" s="37" t="s">
        <v>178</v>
      </c>
      <c r="D92" s="37" t="s">
        <v>46</v>
      </c>
      <c r="E92" s="38" t="n">
        <f aca="false">'Matrice des notes'!P9</f>
        <v>5</v>
      </c>
      <c r="F92" s="37" t="s">
        <v>666</v>
      </c>
      <c r="G92" s="39" t="s">
        <v>668</v>
      </c>
    </row>
    <row r="93" customFormat="false" ht="15" hidden="false" customHeight="false" outlineLevel="0" collapsed="false">
      <c r="A93" s="37" t="s">
        <v>184</v>
      </c>
      <c r="B93" s="37" t="s">
        <v>188</v>
      </c>
      <c r="C93" s="37" t="s">
        <v>179</v>
      </c>
      <c r="D93" s="37" t="s">
        <v>49</v>
      </c>
      <c r="E93" s="38" t="n">
        <f aca="false">'Matrice des notes'!Q9</f>
        <v>4</v>
      </c>
      <c r="F93" s="37" t="s">
        <v>639</v>
      </c>
      <c r="G93" s="39" t="s">
        <v>640</v>
      </c>
    </row>
    <row r="94" customFormat="false" ht="15" hidden="false" customHeight="false" outlineLevel="0" collapsed="false">
      <c r="A94" s="37" t="s">
        <v>184</v>
      </c>
      <c r="B94" s="37" t="s">
        <v>188</v>
      </c>
      <c r="C94" s="37" t="s">
        <v>179</v>
      </c>
      <c r="D94" s="37" t="s">
        <v>53</v>
      </c>
      <c r="E94" s="38" t="n">
        <f aca="false">'Matrice des notes'!R9</f>
        <v>4</v>
      </c>
      <c r="F94" s="37" t="s">
        <v>641</v>
      </c>
      <c r="G94" s="39" t="s">
        <v>664</v>
      </c>
    </row>
    <row r="95" customFormat="false" ht="22.35" hidden="false" customHeight="false" outlineLevel="0" collapsed="false">
      <c r="A95" s="37" t="s">
        <v>184</v>
      </c>
      <c r="B95" s="37" t="s">
        <v>188</v>
      </c>
      <c r="C95" s="37" t="s">
        <v>179</v>
      </c>
      <c r="D95" s="37" t="s">
        <v>56</v>
      </c>
      <c r="E95" s="38" t="n">
        <f aca="false">'Matrice des notes'!S9</f>
        <v>4</v>
      </c>
      <c r="F95" s="37" t="s">
        <v>669</v>
      </c>
      <c r="G95" s="39" t="s">
        <v>670</v>
      </c>
    </row>
    <row r="96" customFormat="false" ht="15" hidden="false" customHeight="false" outlineLevel="0" collapsed="false">
      <c r="A96" s="37" t="s">
        <v>184</v>
      </c>
      <c r="B96" s="37" t="s">
        <v>188</v>
      </c>
      <c r="C96" s="37" t="s">
        <v>179</v>
      </c>
      <c r="D96" s="37" t="s">
        <v>59</v>
      </c>
      <c r="E96" s="38" t="n">
        <f aca="false">'Matrice des notes'!T9</f>
        <v>5</v>
      </c>
      <c r="F96" s="37" t="s">
        <v>645</v>
      </c>
      <c r="G96" s="39" t="s">
        <v>646</v>
      </c>
    </row>
    <row r="97" customFormat="false" ht="15" hidden="false" customHeight="false" outlineLevel="0" collapsed="false">
      <c r="A97" s="37" t="s">
        <v>184</v>
      </c>
      <c r="B97" s="37" t="s">
        <v>188</v>
      </c>
      <c r="C97" s="37" t="s">
        <v>179</v>
      </c>
      <c r="D97" s="37" t="s">
        <v>62</v>
      </c>
      <c r="E97" s="38" t="n">
        <f aca="false">'Matrice des notes'!U9</f>
        <v>4</v>
      </c>
      <c r="F97" s="37" t="s">
        <v>647</v>
      </c>
      <c r="G97" s="39" t="s">
        <v>648</v>
      </c>
    </row>
    <row r="98" customFormat="false" ht="15" hidden="false" customHeight="false" outlineLevel="0" collapsed="false">
      <c r="A98" s="37" t="s">
        <v>184</v>
      </c>
      <c r="B98" s="37" t="s">
        <v>188</v>
      </c>
      <c r="C98" s="37" t="s">
        <v>179</v>
      </c>
      <c r="D98" s="37" t="s">
        <v>65</v>
      </c>
      <c r="E98" s="38" t="n">
        <f aca="false">'Matrice des notes'!V9</f>
        <v>4</v>
      </c>
      <c r="F98" s="37" t="s">
        <v>623</v>
      </c>
      <c r="G98" s="39" t="s">
        <v>662</v>
      </c>
    </row>
    <row r="99" customFormat="false" ht="15" hidden="false" customHeight="false" outlineLevel="0" collapsed="false">
      <c r="A99" s="37" t="s">
        <v>184</v>
      </c>
      <c r="B99" s="37" t="s">
        <v>188</v>
      </c>
      <c r="C99" s="37" t="s">
        <v>179</v>
      </c>
      <c r="D99" s="37" t="s">
        <v>68</v>
      </c>
      <c r="E99" s="38" t="n">
        <f aca="false">'Matrice des notes'!W9</f>
        <v>2</v>
      </c>
      <c r="F99" s="37" t="s">
        <v>649</v>
      </c>
      <c r="G99" s="39" t="s">
        <v>650</v>
      </c>
    </row>
    <row r="100" customFormat="false" ht="15" hidden="false" customHeight="false" outlineLevel="0" collapsed="false">
      <c r="A100" s="37" t="s">
        <v>184</v>
      </c>
      <c r="B100" s="37" t="s">
        <v>188</v>
      </c>
      <c r="C100" s="37" t="s">
        <v>179</v>
      </c>
      <c r="D100" s="37" t="s">
        <v>71</v>
      </c>
      <c r="E100" s="38" t="n">
        <f aca="false">'Matrice des notes'!X9</f>
        <v>4</v>
      </c>
      <c r="F100" s="37" t="s">
        <v>639</v>
      </c>
      <c r="G100" s="39" t="s">
        <v>651</v>
      </c>
    </row>
    <row r="101" customFormat="false" ht="15" hidden="false" customHeight="false" outlineLevel="0" collapsed="false">
      <c r="A101" s="37" t="s">
        <v>184</v>
      </c>
      <c r="B101" s="37" t="s">
        <v>188</v>
      </c>
      <c r="C101" s="37" t="s">
        <v>179</v>
      </c>
      <c r="D101" s="37" t="s">
        <v>74</v>
      </c>
      <c r="E101" s="38" t="n">
        <f aca="false">'Matrice des notes'!Y9</f>
        <v>4</v>
      </c>
      <c r="F101" s="37" t="s">
        <v>623</v>
      </c>
      <c r="G101" s="39" t="s">
        <v>662</v>
      </c>
    </row>
    <row r="102" customFormat="false" ht="15" hidden="false" customHeight="false" outlineLevel="0" collapsed="false">
      <c r="A102" s="37" t="s">
        <v>184</v>
      </c>
      <c r="B102" s="37" t="s">
        <v>188</v>
      </c>
      <c r="C102" s="37" t="s">
        <v>179</v>
      </c>
      <c r="D102" s="37" t="s">
        <v>77</v>
      </c>
      <c r="E102" s="38" t="n">
        <f aca="false">'Matrice des notes'!Z9</f>
        <v>5</v>
      </c>
      <c r="F102" s="37" t="s">
        <v>671</v>
      </c>
      <c r="G102" s="39" t="s">
        <v>672</v>
      </c>
    </row>
    <row r="103" customFormat="false" ht="15" hidden="false" customHeight="false" outlineLevel="0" collapsed="false">
      <c r="A103" s="37" t="s">
        <v>184</v>
      </c>
      <c r="B103" s="37" t="s">
        <v>188</v>
      </c>
      <c r="C103" s="37" t="s">
        <v>179</v>
      </c>
      <c r="D103" s="37" t="s">
        <v>80</v>
      </c>
      <c r="E103" s="38" t="n">
        <f aca="false">'Matrice des notes'!AA9</f>
        <v>4</v>
      </c>
      <c r="F103" s="37" t="s">
        <v>623</v>
      </c>
      <c r="G103" s="39" t="s">
        <v>662</v>
      </c>
    </row>
    <row r="104" customFormat="false" ht="15" hidden="false" customHeight="false" outlineLevel="0" collapsed="false">
      <c r="A104" s="37" t="s">
        <v>184</v>
      </c>
      <c r="B104" s="37" t="s">
        <v>188</v>
      </c>
      <c r="C104" s="37" t="s">
        <v>179</v>
      </c>
      <c r="D104" s="37" t="s">
        <v>83</v>
      </c>
      <c r="E104" s="38" t="n">
        <f aca="false">'Matrice des notes'!AB9</f>
        <v>3</v>
      </c>
      <c r="F104" s="37" t="s">
        <v>652</v>
      </c>
      <c r="G104" s="39" t="s">
        <v>653</v>
      </c>
    </row>
    <row r="105" customFormat="false" ht="15" hidden="false" customHeight="false" outlineLevel="0" collapsed="false">
      <c r="A105" s="37" t="s">
        <v>184</v>
      </c>
      <c r="B105" s="37" t="s">
        <v>188</v>
      </c>
      <c r="C105" s="37" t="s">
        <v>179</v>
      </c>
      <c r="D105" s="37" t="s">
        <v>86</v>
      </c>
      <c r="E105" s="38" t="n">
        <f aca="false">'Matrice des notes'!AC9</f>
        <v>2</v>
      </c>
      <c r="F105" s="37" t="s">
        <v>652</v>
      </c>
      <c r="G105" s="39" t="s">
        <v>653</v>
      </c>
    </row>
    <row r="106" customFormat="false" ht="15" hidden="false" customHeight="false" outlineLevel="0" collapsed="false">
      <c r="A106" s="37" t="s">
        <v>184</v>
      </c>
      <c r="B106" s="37" t="s">
        <v>188</v>
      </c>
      <c r="C106" s="37" t="s">
        <v>179</v>
      </c>
      <c r="D106" s="37" t="s">
        <v>89</v>
      </c>
      <c r="E106" s="38" t="n">
        <f aca="false">'Matrice des notes'!AD9</f>
        <v>3</v>
      </c>
      <c r="F106" s="37" t="s">
        <v>652</v>
      </c>
      <c r="G106" s="39" t="s">
        <v>653</v>
      </c>
    </row>
    <row r="107" customFormat="false" ht="15" hidden="false" customHeight="false" outlineLevel="0" collapsed="false">
      <c r="A107" s="37" t="s">
        <v>184</v>
      </c>
      <c r="B107" s="37" t="s">
        <v>188</v>
      </c>
      <c r="C107" s="37" t="s">
        <v>179</v>
      </c>
      <c r="D107" s="37" t="s">
        <v>92</v>
      </c>
      <c r="E107" s="38" t="n">
        <f aca="false">'Matrice des notes'!AE9</f>
        <v>2</v>
      </c>
      <c r="F107" s="37" t="s">
        <v>652</v>
      </c>
      <c r="G107" s="39" t="s">
        <v>653</v>
      </c>
    </row>
    <row r="108" customFormat="false" ht="15" hidden="false" customHeight="false" outlineLevel="0" collapsed="false">
      <c r="A108" s="37" t="s">
        <v>184</v>
      </c>
      <c r="B108" s="37" t="s">
        <v>188</v>
      </c>
      <c r="C108" s="37" t="s">
        <v>180</v>
      </c>
      <c r="D108" s="37" t="s">
        <v>95</v>
      </c>
      <c r="E108" s="38" t="n">
        <f aca="false">'Matrice des notes'!AF9</f>
        <v>1</v>
      </c>
      <c r="F108" s="37" t="s">
        <v>631</v>
      </c>
      <c r="G108" s="39" t="s">
        <v>654</v>
      </c>
    </row>
    <row r="109" customFormat="false" ht="15" hidden="false" customHeight="false" outlineLevel="0" collapsed="false">
      <c r="A109" s="37" t="s">
        <v>184</v>
      </c>
      <c r="B109" s="37" t="s">
        <v>188</v>
      </c>
      <c r="C109" s="37" t="s">
        <v>180</v>
      </c>
      <c r="D109" s="37" t="s">
        <v>99</v>
      </c>
      <c r="E109" s="38" t="n">
        <f aca="false">'Matrice des notes'!AG9</f>
        <v>1</v>
      </c>
      <c r="F109" s="37" t="s">
        <v>655</v>
      </c>
      <c r="G109" s="39" t="s">
        <v>656</v>
      </c>
    </row>
    <row r="110" customFormat="false" ht="15" hidden="false" customHeight="false" outlineLevel="0" collapsed="false">
      <c r="A110" s="37" t="s">
        <v>184</v>
      </c>
      <c r="B110" s="37" t="s">
        <v>188</v>
      </c>
      <c r="C110" s="37" t="s">
        <v>180</v>
      </c>
      <c r="D110" s="37" t="s">
        <v>102</v>
      </c>
      <c r="E110" s="38" t="n">
        <f aca="false">'Matrice des notes'!AH9</f>
        <v>1</v>
      </c>
      <c r="F110" s="37" t="s">
        <v>655</v>
      </c>
      <c r="G110" s="39" t="s">
        <v>656</v>
      </c>
    </row>
    <row r="111" customFormat="false" ht="15" hidden="false" customHeight="false" outlineLevel="0" collapsed="false">
      <c r="A111" s="37" t="s">
        <v>184</v>
      </c>
      <c r="B111" s="37" t="s">
        <v>188</v>
      </c>
      <c r="C111" s="37" t="s">
        <v>180</v>
      </c>
      <c r="D111" s="37" t="s">
        <v>104</v>
      </c>
      <c r="E111" s="38" t="n">
        <f aca="false">'Matrice des notes'!AI9</f>
        <v>1</v>
      </c>
      <c r="F111" s="37" t="s">
        <v>631</v>
      </c>
      <c r="G111" s="39" t="s">
        <v>654</v>
      </c>
    </row>
    <row r="112" customFormat="false" ht="15" hidden="false" customHeight="false" outlineLevel="0" collapsed="false">
      <c r="A112" s="37" t="s">
        <v>184</v>
      </c>
      <c r="B112" s="37" t="s">
        <v>188</v>
      </c>
      <c r="C112" s="37" t="s">
        <v>180</v>
      </c>
      <c r="D112" s="37" t="s">
        <v>107</v>
      </c>
      <c r="E112" s="38" t="n">
        <f aca="false">'Matrice des notes'!AJ9</f>
        <v>1</v>
      </c>
      <c r="F112" s="37" t="s">
        <v>631</v>
      </c>
      <c r="G112" s="39" t="s">
        <v>654</v>
      </c>
    </row>
    <row r="113" customFormat="false" ht="15" hidden="false" customHeight="false" outlineLevel="0" collapsed="false">
      <c r="A113" s="37" t="s">
        <v>184</v>
      </c>
      <c r="B113" s="37" t="s">
        <v>188</v>
      </c>
      <c r="C113" s="37" t="s">
        <v>180</v>
      </c>
      <c r="D113" s="37" t="s">
        <v>110</v>
      </c>
      <c r="E113" s="38" t="n">
        <f aca="false">'Matrice des notes'!AK9</f>
        <v>1</v>
      </c>
      <c r="F113" s="37" t="s">
        <v>631</v>
      </c>
      <c r="G113" s="39" t="s">
        <v>654</v>
      </c>
    </row>
    <row r="114" customFormat="false" ht="15" hidden="false" customHeight="false" outlineLevel="0" collapsed="false">
      <c r="A114" s="37" t="s">
        <v>184</v>
      </c>
      <c r="B114" s="37" t="s">
        <v>188</v>
      </c>
      <c r="C114" s="37" t="s">
        <v>180</v>
      </c>
      <c r="D114" s="37" t="s">
        <v>113</v>
      </c>
      <c r="E114" s="38" t="n">
        <f aca="false">'Matrice des notes'!AL9</f>
        <v>1</v>
      </c>
      <c r="F114" s="37" t="s">
        <v>631</v>
      </c>
      <c r="G114" s="39" t="s">
        <v>654</v>
      </c>
    </row>
    <row r="115" customFormat="false" ht="15" hidden="false" customHeight="false" outlineLevel="0" collapsed="false">
      <c r="A115" s="37" t="s">
        <v>184</v>
      </c>
      <c r="B115" s="37" t="s">
        <v>188</v>
      </c>
      <c r="C115" s="37" t="s">
        <v>180</v>
      </c>
      <c r="D115" s="37" t="s">
        <v>116</v>
      </c>
      <c r="E115" s="38" t="n">
        <f aca="false">'Matrice des notes'!AM9</f>
        <v>1</v>
      </c>
      <c r="F115" s="37" t="s">
        <v>655</v>
      </c>
      <c r="G115" s="39" t="s">
        <v>656</v>
      </c>
    </row>
    <row r="116" customFormat="false" ht="15" hidden="false" customHeight="false" outlineLevel="0" collapsed="false">
      <c r="A116" s="37" t="s">
        <v>184</v>
      </c>
      <c r="B116" s="37" t="s">
        <v>188</v>
      </c>
      <c r="C116" s="37" t="s">
        <v>180</v>
      </c>
      <c r="D116" s="37" t="s">
        <v>119</v>
      </c>
      <c r="E116" s="38" t="n">
        <f aca="false">'Matrice des notes'!AN9</f>
        <v>1</v>
      </c>
      <c r="F116" s="37" t="s">
        <v>631</v>
      </c>
      <c r="G116" s="39" t="s">
        <v>654</v>
      </c>
    </row>
    <row r="117" customFormat="false" ht="15" hidden="false" customHeight="false" outlineLevel="0" collapsed="false">
      <c r="A117" s="37" t="s">
        <v>184</v>
      </c>
      <c r="B117" s="37" t="s">
        <v>188</v>
      </c>
      <c r="C117" s="37" t="s">
        <v>180</v>
      </c>
      <c r="D117" s="37" t="s">
        <v>121</v>
      </c>
      <c r="E117" s="38" t="n">
        <f aca="false">'Matrice des notes'!AO9</f>
        <v>1</v>
      </c>
      <c r="F117" s="37" t="s">
        <v>657</v>
      </c>
      <c r="G117" s="39" t="s">
        <v>658</v>
      </c>
    </row>
    <row r="118" customFormat="false" ht="15" hidden="false" customHeight="false" outlineLevel="0" collapsed="false">
      <c r="A118" s="37" t="s">
        <v>184</v>
      </c>
      <c r="B118" s="37" t="s">
        <v>188</v>
      </c>
      <c r="C118" s="37" t="s">
        <v>180</v>
      </c>
      <c r="D118" s="37" t="s">
        <v>124</v>
      </c>
      <c r="E118" s="38" t="n">
        <f aca="false">'Matrice des notes'!AP9</f>
        <v>3</v>
      </c>
      <c r="F118" s="37" t="s">
        <v>659</v>
      </c>
      <c r="G118" s="39" t="s">
        <v>660</v>
      </c>
    </row>
    <row r="119" customFormat="false" ht="15" hidden="false" customHeight="false" outlineLevel="0" collapsed="false">
      <c r="A119" s="37" t="s">
        <v>184</v>
      </c>
      <c r="B119" s="37" t="s">
        <v>189</v>
      </c>
      <c r="C119" s="37" t="s">
        <v>178</v>
      </c>
      <c r="D119" s="37" t="s">
        <v>7</v>
      </c>
      <c r="E119" s="38" t="n">
        <f aca="false">'Matrice des notes'!D10</f>
        <v>2</v>
      </c>
      <c r="F119" s="37" t="s">
        <v>673</v>
      </c>
      <c r="G119" s="39" t="s">
        <v>674</v>
      </c>
    </row>
    <row r="120" customFormat="false" ht="15" hidden="false" customHeight="false" outlineLevel="0" collapsed="false">
      <c r="A120" s="37" t="s">
        <v>184</v>
      </c>
      <c r="B120" s="37" t="s">
        <v>189</v>
      </c>
      <c r="C120" s="37" t="s">
        <v>178</v>
      </c>
      <c r="D120" s="37" t="s">
        <v>11</v>
      </c>
      <c r="E120" s="38" t="n">
        <f aca="false">'Matrice des notes'!E10</f>
        <v>2</v>
      </c>
      <c r="F120" s="37" t="s">
        <v>675</v>
      </c>
      <c r="G120" s="39" t="s">
        <v>676</v>
      </c>
    </row>
    <row r="121" customFormat="false" ht="15" hidden="false" customHeight="false" outlineLevel="0" collapsed="false">
      <c r="A121" s="37" t="s">
        <v>184</v>
      </c>
      <c r="B121" s="37" t="s">
        <v>189</v>
      </c>
      <c r="C121" s="37" t="s">
        <v>178</v>
      </c>
      <c r="D121" s="37" t="s">
        <v>14</v>
      </c>
      <c r="E121" s="38" t="n">
        <f aca="false">'Matrice des notes'!F10</f>
        <v>2</v>
      </c>
      <c r="F121" s="37" t="s">
        <v>677</v>
      </c>
      <c r="G121" s="39" t="s">
        <v>678</v>
      </c>
    </row>
    <row r="122" customFormat="false" ht="15" hidden="false" customHeight="false" outlineLevel="0" collapsed="false">
      <c r="A122" s="37" t="s">
        <v>184</v>
      </c>
      <c r="B122" s="37" t="s">
        <v>189</v>
      </c>
      <c r="C122" s="37" t="s">
        <v>178</v>
      </c>
      <c r="D122" s="37" t="s">
        <v>17</v>
      </c>
      <c r="E122" s="38" t="n">
        <f aca="false">'Matrice des notes'!G10</f>
        <v>2</v>
      </c>
      <c r="F122" s="37" t="s">
        <v>675</v>
      </c>
      <c r="G122" s="39" t="s">
        <v>676</v>
      </c>
    </row>
    <row r="123" customFormat="false" ht="15" hidden="false" customHeight="false" outlineLevel="0" collapsed="false">
      <c r="A123" s="37" t="s">
        <v>184</v>
      </c>
      <c r="B123" s="37" t="s">
        <v>189</v>
      </c>
      <c r="C123" s="37" t="s">
        <v>178</v>
      </c>
      <c r="D123" s="37" t="s">
        <v>20</v>
      </c>
      <c r="E123" s="38" t="n">
        <f aca="false">'Matrice des notes'!H10</f>
        <v>2</v>
      </c>
      <c r="F123" s="37" t="s">
        <v>675</v>
      </c>
      <c r="G123" s="39" t="s">
        <v>676</v>
      </c>
    </row>
    <row r="124" customFormat="false" ht="15" hidden="false" customHeight="false" outlineLevel="0" collapsed="false">
      <c r="A124" s="37" t="s">
        <v>184</v>
      </c>
      <c r="B124" s="37" t="s">
        <v>189</v>
      </c>
      <c r="C124" s="37" t="s">
        <v>178</v>
      </c>
      <c r="D124" s="37" t="s">
        <v>23</v>
      </c>
      <c r="E124" s="38" t="n">
        <f aca="false">'Matrice des notes'!I10</f>
        <v>2</v>
      </c>
      <c r="F124" s="37" t="s">
        <v>675</v>
      </c>
      <c r="G124" s="39" t="s">
        <v>676</v>
      </c>
    </row>
    <row r="125" customFormat="false" ht="15" hidden="false" customHeight="false" outlineLevel="0" collapsed="false">
      <c r="A125" s="37" t="s">
        <v>184</v>
      </c>
      <c r="B125" s="37" t="s">
        <v>189</v>
      </c>
      <c r="C125" s="37" t="s">
        <v>178</v>
      </c>
      <c r="D125" s="37" t="s">
        <v>26</v>
      </c>
      <c r="E125" s="38" t="n">
        <f aca="false">'Matrice des notes'!J10</f>
        <v>2</v>
      </c>
      <c r="F125" s="37" t="s">
        <v>677</v>
      </c>
      <c r="G125" s="39" t="s">
        <v>678</v>
      </c>
    </row>
    <row r="126" customFormat="false" ht="15" hidden="false" customHeight="false" outlineLevel="0" collapsed="false">
      <c r="A126" s="37" t="s">
        <v>184</v>
      </c>
      <c r="B126" s="37" t="s">
        <v>189</v>
      </c>
      <c r="C126" s="37" t="s">
        <v>178</v>
      </c>
      <c r="D126" s="37" t="s">
        <v>30</v>
      </c>
      <c r="E126" s="38" t="n">
        <f aca="false">'Matrice des notes'!K10</f>
        <v>2</v>
      </c>
      <c r="F126" s="37" t="s">
        <v>677</v>
      </c>
      <c r="G126" s="39" t="s">
        <v>678</v>
      </c>
    </row>
    <row r="127" customFormat="false" ht="15" hidden="false" customHeight="false" outlineLevel="0" collapsed="false">
      <c r="A127" s="37" t="s">
        <v>184</v>
      </c>
      <c r="B127" s="37" t="s">
        <v>189</v>
      </c>
      <c r="C127" s="37" t="s">
        <v>178</v>
      </c>
      <c r="D127" s="37" t="s">
        <v>34</v>
      </c>
      <c r="E127" s="38" t="n">
        <f aca="false">'Matrice des notes'!L10</f>
        <v>3</v>
      </c>
      <c r="F127" s="37" t="s">
        <v>675</v>
      </c>
      <c r="G127" s="39" t="s">
        <v>676</v>
      </c>
    </row>
    <row r="128" customFormat="false" ht="15" hidden="false" customHeight="false" outlineLevel="0" collapsed="false">
      <c r="A128" s="37" t="s">
        <v>184</v>
      </c>
      <c r="B128" s="37" t="s">
        <v>189</v>
      </c>
      <c r="C128" s="37" t="s">
        <v>178</v>
      </c>
      <c r="D128" s="37" t="s">
        <v>37</v>
      </c>
      <c r="E128" s="38" t="n">
        <f aca="false">'Matrice des notes'!M10</f>
        <v>1</v>
      </c>
      <c r="F128" s="37" t="s">
        <v>679</v>
      </c>
      <c r="G128" s="39" t="s">
        <v>680</v>
      </c>
    </row>
    <row r="129" customFormat="false" ht="15" hidden="false" customHeight="false" outlineLevel="0" collapsed="false">
      <c r="A129" s="37" t="s">
        <v>184</v>
      </c>
      <c r="B129" s="37" t="s">
        <v>189</v>
      </c>
      <c r="C129" s="37" t="s">
        <v>178</v>
      </c>
      <c r="D129" s="37" t="s">
        <v>40</v>
      </c>
      <c r="E129" s="38" t="n">
        <f aca="false">'Matrice des notes'!N10</f>
        <v>2</v>
      </c>
      <c r="F129" s="37" t="s">
        <v>675</v>
      </c>
      <c r="G129" s="39" t="s">
        <v>676</v>
      </c>
    </row>
    <row r="130" customFormat="false" ht="15" hidden="false" customHeight="false" outlineLevel="0" collapsed="false">
      <c r="A130" s="37" t="s">
        <v>184</v>
      </c>
      <c r="B130" s="37" t="s">
        <v>189</v>
      </c>
      <c r="C130" s="37" t="s">
        <v>178</v>
      </c>
      <c r="D130" s="37" t="s">
        <v>43</v>
      </c>
      <c r="E130" s="38" t="n">
        <f aca="false">'Matrice des notes'!O10</f>
        <v>2</v>
      </c>
      <c r="F130" s="37" t="s">
        <v>635</v>
      </c>
      <c r="G130" s="39" t="s">
        <v>636</v>
      </c>
    </row>
    <row r="131" customFormat="false" ht="15" hidden="false" customHeight="false" outlineLevel="0" collapsed="false">
      <c r="A131" s="37" t="s">
        <v>184</v>
      </c>
      <c r="B131" s="37" t="s">
        <v>189</v>
      </c>
      <c r="C131" s="37" t="s">
        <v>178</v>
      </c>
      <c r="D131" s="37" t="s">
        <v>46</v>
      </c>
      <c r="E131" s="38" t="n">
        <f aca="false">'Matrice des notes'!P10</f>
        <v>3</v>
      </c>
      <c r="F131" s="37" t="s">
        <v>675</v>
      </c>
      <c r="G131" s="39" t="s">
        <v>676</v>
      </c>
    </row>
    <row r="132" customFormat="false" ht="15" hidden="false" customHeight="false" outlineLevel="0" collapsed="false">
      <c r="A132" s="37" t="s">
        <v>184</v>
      </c>
      <c r="B132" s="37" t="s">
        <v>189</v>
      </c>
      <c r="C132" s="37" t="s">
        <v>179</v>
      </c>
      <c r="D132" s="37" t="s">
        <v>49</v>
      </c>
      <c r="E132" s="38" t="n">
        <f aca="false">'Matrice des notes'!Q10</f>
        <v>3</v>
      </c>
      <c r="F132" s="37" t="s">
        <v>675</v>
      </c>
      <c r="G132" s="39" t="s">
        <v>676</v>
      </c>
    </row>
    <row r="133" customFormat="false" ht="15" hidden="false" customHeight="false" outlineLevel="0" collapsed="false">
      <c r="A133" s="37" t="s">
        <v>184</v>
      </c>
      <c r="B133" s="37" t="s">
        <v>189</v>
      </c>
      <c r="C133" s="37" t="s">
        <v>179</v>
      </c>
      <c r="D133" s="37" t="s">
        <v>53</v>
      </c>
      <c r="E133" s="38" t="n">
        <f aca="false">'Matrice des notes'!R10</f>
        <v>3</v>
      </c>
      <c r="F133" s="37" t="s">
        <v>675</v>
      </c>
      <c r="G133" s="39" t="s">
        <v>676</v>
      </c>
    </row>
    <row r="134" customFormat="false" ht="15" hidden="false" customHeight="false" outlineLevel="0" collapsed="false">
      <c r="A134" s="37" t="s">
        <v>184</v>
      </c>
      <c r="B134" s="37" t="s">
        <v>189</v>
      </c>
      <c r="C134" s="37" t="s">
        <v>179</v>
      </c>
      <c r="D134" s="37" t="s">
        <v>56</v>
      </c>
      <c r="E134" s="38" t="n">
        <f aca="false">'Matrice des notes'!S10</f>
        <v>3</v>
      </c>
      <c r="F134" s="37" t="s">
        <v>675</v>
      </c>
      <c r="G134" s="39" t="s">
        <v>676</v>
      </c>
    </row>
    <row r="135" customFormat="false" ht="15" hidden="false" customHeight="false" outlineLevel="0" collapsed="false">
      <c r="A135" s="37" t="s">
        <v>184</v>
      </c>
      <c r="B135" s="37" t="s">
        <v>189</v>
      </c>
      <c r="C135" s="37" t="s">
        <v>179</v>
      </c>
      <c r="D135" s="37" t="s">
        <v>59</v>
      </c>
      <c r="E135" s="38" t="n">
        <f aca="false">'Matrice des notes'!T10</f>
        <v>2</v>
      </c>
      <c r="F135" s="37" t="s">
        <v>675</v>
      </c>
      <c r="G135" s="39" t="s">
        <v>676</v>
      </c>
    </row>
    <row r="136" customFormat="false" ht="15" hidden="false" customHeight="false" outlineLevel="0" collapsed="false">
      <c r="A136" s="37" t="s">
        <v>184</v>
      </c>
      <c r="B136" s="37" t="s">
        <v>189</v>
      </c>
      <c r="C136" s="37" t="s">
        <v>179</v>
      </c>
      <c r="D136" s="37" t="s">
        <v>62</v>
      </c>
      <c r="E136" s="38" t="n">
        <f aca="false">'Matrice des notes'!U10</f>
        <v>2</v>
      </c>
      <c r="F136" s="37" t="s">
        <v>675</v>
      </c>
      <c r="G136" s="39" t="s">
        <v>676</v>
      </c>
    </row>
    <row r="137" customFormat="false" ht="15" hidden="false" customHeight="false" outlineLevel="0" collapsed="false">
      <c r="A137" s="37" t="s">
        <v>184</v>
      </c>
      <c r="B137" s="37" t="s">
        <v>189</v>
      </c>
      <c r="C137" s="37" t="s">
        <v>179</v>
      </c>
      <c r="D137" s="37" t="s">
        <v>65</v>
      </c>
      <c r="E137" s="38" t="n">
        <f aca="false">'Matrice des notes'!V10</f>
        <v>4</v>
      </c>
      <c r="F137" s="37" t="s">
        <v>623</v>
      </c>
      <c r="G137" s="39" t="s">
        <v>681</v>
      </c>
    </row>
    <row r="138" customFormat="false" ht="15" hidden="false" customHeight="false" outlineLevel="0" collapsed="false">
      <c r="A138" s="37" t="s">
        <v>184</v>
      </c>
      <c r="B138" s="37" t="s">
        <v>189</v>
      </c>
      <c r="C138" s="37" t="s">
        <v>179</v>
      </c>
      <c r="D138" s="37" t="s">
        <v>68</v>
      </c>
      <c r="E138" s="38" t="n">
        <f aca="false">'Matrice des notes'!W10</f>
        <v>2</v>
      </c>
      <c r="F138" s="37" t="s">
        <v>649</v>
      </c>
      <c r="G138" s="39" t="s">
        <v>650</v>
      </c>
    </row>
    <row r="139" customFormat="false" ht="15" hidden="false" customHeight="false" outlineLevel="0" collapsed="false">
      <c r="A139" s="37" t="s">
        <v>184</v>
      </c>
      <c r="B139" s="37" t="s">
        <v>189</v>
      </c>
      <c r="C139" s="37" t="s">
        <v>179</v>
      </c>
      <c r="D139" s="37" t="s">
        <v>71</v>
      </c>
      <c r="E139" s="38" t="n">
        <f aca="false">'Matrice des notes'!X10</f>
        <v>3</v>
      </c>
      <c r="F139" s="37" t="s">
        <v>675</v>
      </c>
      <c r="G139" s="39" t="s">
        <v>676</v>
      </c>
    </row>
    <row r="140" customFormat="false" ht="15" hidden="false" customHeight="false" outlineLevel="0" collapsed="false">
      <c r="A140" s="37" t="s">
        <v>184</v>
      </c>
      <c r="B140" s="37" t="s">
        <v>189</v>
      </c>
      <c r="C140" s="37" t="s">
        <v>179</v>
      </c>
      <c r="D140" s="37" t="s">
        <v>74</v>
      </c>
      <c r="E140" s="38" t="n">
        <f aca="false">'Matrice des notes'!Y10</f>
        <v>4</v>
      </c>
      <c r="F140" s="37" t="s">
        <v>623</v>
      </c>
      <c r="G140" s="39" t="s">
        <v>681</v>
      </c>
    </row>
    <row r="141" customFormat="false" ht="15" hidden="false" customHeight="false" outlineLevel="0" collapsed="false">
      <c r="A141" s="37" t="s">
        <v>184</v>
      </c>
      <c r="B141" s="37" t="s">
        <v>189</v>
      </c>
      <c r="C141" s="37" t="s">
        <v>179</v>
      </c>
      <c r="D141" s="37" t="s">
        <v>77</v>
      </c>
      <c r="E141" s="38" t="n">
        <f aca="false">'Matrice des notes'!Z10</f>
        <v>3</v>
      </c>
      <c r="F141" s="37" t="s">
        <v>675</v>
      </c>
      <c r="G141" s="39" t="s">
        <v>676</v>
      </c>
    </row>
    <row r="142" customFormat="false" ht="15" hidden="false" customHeight="false" outlineLevel="0" collapsed="false">
      <c r="A142" s="37" t="s">
        <v>184</v>
      </c>
      <c r="B142" s="37" t="s">
        <v>189</v>
      </c>
      <c r="C142" s="37" t="s">
        <v>179</v>
      </c>
      <c r="D142" s="37" t="s">
        <v>80</v>
      </c>
      <c r="E142" s="38" t="n">
        <f aca="false">'Matrice des notes'!AA10</f>
        <v>4</v>
      </c>
      <c r="F142" s="37" t="s">
        <v>623</v>
      </c>
      <c r="G142" s="39" t="s">
        <v>681</v>
      </c>
    </row>
    <row r="143" customFormat="false" ht="15" hidden="false" customHeight="false" outlineLevel="0" collapsed="false">
      <c r="A143" s="37" t="s">
        <v>184</v>
      </c>
      <c r="B143" s="37" t="s">
        <v>189</v>
      </c>
      <c r="C143" s="37" t="s">
        <v>179</v>
      </c>
      <c r="D143" s="37" t="s">
        <v>83</v>
      </c>
      <c r="E143" s="38" t="n">
        <f aca="false">'Matrice des notes'!AB10</f>
        <v>3</v>
      </c>
      <c r="F143" s="37" t="s">
        <v>675</v>
      </c>
      <c r="G143" s="39" t="s">
        <v>676</v>
      </c>
    </row>
    <row r="144" customFormat="false" ht="15" hidden="false" customHeight="false" outlineLevel="0" collapsed="false">
      <c r="A144" s="37" t="s">
        <v>184</v>
      </c>
      <c r="B144" s="37" t="s">
        <v>189</v>
      </c>
      <c r="C144" s="37" t="s">
        <v>179</v>
      </c>
      <c r="D144" s="37" t="s">
        <v>86</v>
      </c>
      <c r="E144" s="38" t="n">
        <f aca="false">'Matrice des notes'!AC10</f>
        <v>2</v>
      </c>
      <c r="F144" s="37" t="s">
        <v>652</v>
      </c>
      <c r="G144" s="39" t="s">
        <v>653</v>
      </c>
    </row>
    <row r="145" customFormat="false" ht="15" hidden="false" customHeight="false" outlineLevel="0" collapsed="false">
      <c r="A145" s="37" t="s">
        <v>184</v>
      </c>
      <c r="B145" s="37" t="s">
        <v>189</v>
      </c>
      <c r="C145" s="37" t="s">
        <v>179</v>
      </c>
      <c r="D145" s="37" t="s">
        <v>89</v>
      </c>
      <c r="E145" s="38" t="n">
        <f aca="false">'Matrice des notes'!AD10</f>
        <v>3</v>
      </c>
      <c r="F145" s="37" t="s">
        <v>652</v>
      </c>
      <c r="G145" s="39" t="s">
        <v>653</v>
      </c>
    </row>
    <row r="146" customFormat="false" ht="15" hidden="false" customHeight="false" outlineLevel="0" collapsed="false">
      <c r="A146" s="37" t="s">
        <v>184</v>
      </c>
      <c r="B146" s="37" t="s">
        <v>189</v>
      </c>
      <c r="C146" s="37" t="s">
        <v>179</v>
      </c>
      <c r="D146" s="37" t="s">
        <v>92</v>
      </c>
      <c r="E146" s="38" t="n">
        <f aca="false">'Matrice des notes'!AE10</f>
        <v>2</v>
      </c>
      <c r="F146" s="37" t="s">
        <v>652</v>
      </c>
      <c r="G146" s="39" t="s">
        <v>653</v>
      </c>
    </row>
    <row r="147" customFormat="false" ht="15" hidden="false" customHeight="false" outlineLevel="0" collapsed="false">
      <c r="A147" s="37" t="s">
        <v>184</v>
      </c>
      <c r="B147" s="37" t="s">
        <v>189</v>
      </c>
      <c r="C147" s="37" t="s">
        <v>180</v>
      </c>
      <c r="D147" s="37" t="s">
        <v>95</v>
      </c>
      <c r="E147" s="38" t="n">
        <f aca="false">'Matrice des notes'!AF10</f>
        <v>1</v>
      </c>
      <c r="F147" s="37" t="s">
        <v>631</v>
      </c>
      <c r="G147" s="39" t="s">
        <v>654</v>
      </c>
    </row>
    <row r="148" customFormat="false" ht="15" hidden="false" customHeight="false" outlineLevel="0" collapsed="false">
      <c r="A148" s="37" t="s">
        <v>184</v>
      </c>
      <c r="B148" s="37" t="s">
        <v>189</v>
      </c>
      <c r="C148" s="37" t="s">
        <v>180</v>
      </c>
      <c r="D148" s="37" t="s">
        <v>99</v>
      </c>
      <c r="E148" s="38" t="n">
        <f aca="false">'Matrice des notes'!AG10</f>
        <v>1</v>
      </c>
      <c r="F148" s="37" t="s">
        <v>655</v>
      </c>
      <c r="G148" s="39" t="s">
        <v>656</v>
      </c>
    </row>
    <row r="149" customFormat="false" ht="15" hidden="false" customHeight="false" outlineLevel="0" collapsed="false">
      <c r="A149" s="37" t="s">
        <v>184</v>
      </c>
      <c r="B149" s="37" t="s">
        <v>189</v>
      </c>
      <c r="C149" s="37" t="s">
        <v>180</v>
      </c>
      <c r="D149" s="37" t="s">
        <v>102</v>
      </c>
      <c r="E149" s="38" t="n">
        <f aca="false">'Matrice des notes'!AH10</f>
        <v>1</v>
      </c>
      <c r="F149" s="37" t="s">
        <v>655</v>
      </c>
      <c r="G149" s="39" t="s">
        <v>656</v>
      </c>
    </row>
    <row r="150" customFormat="false" ht="15" hidden="false" customHeight="false" outlineLevel="0" collapsed="false">
      <c r="A150" s="37" t="s">
        <v>184</v>
      </c>
      <c r="B150" s="37" t="s">
        <v>189</v>
      </c>
      <c r="C150" s="37" t="s">
        <v>180</v>
      </c>
      <c r="D150" s="37" t="s">
        <v>104</v>
      </c>
      <c r="E150" s="38" t="n">
        <f aca="false">'Matrice des notes'!AI10</f>
        <v>1</v>
      </c>
      <c r="F150" s="37" t="s">
        <v>631</v>
      </c>
      <c r="G150" s="39" t="s">
        <v>654</v>
      </c>
    </row>
    <row r="151" customFormat="false" ht="15" hidden="false" customHeight="false" outlineLevel="0" collapsed="false">
      <c r="A151" s="37" t="s">
        <v>184</v>
      </c>
      <c r="B151" s="37" t="s">
        <v>189</v>
      </c>
      <c r="C151" s="37" t="s">
        <v>180</v>
      </c>
      <c r="D151" s="37" t="s">
        <v>107</v>
      </c>
      <c r="E151" s="38" t="n">
        <f aca="false">'Matrice des notes'!AJ10</f>
        <v>1</v>
      </c>
      <c r="F151" s="37" t="s">
        <v>631</v>
      </c>
      <c r="G151" s="39" t="s">
        <v>654</v>
      </c>
    </row>
    <row r="152" customFormat="false" ht="15" hidden="false" customHeight="false" outlineLevel="0" collapsed="false">
      <c r="A152" s="37" t="s">
        <v>184</v>
      </c>
      <c r="B152" s="37" t="s">
        <v>189</v>
      </c>
      <c r="C152" s="37" t="s">
        <v>180</v>
      </c>
      <c r="D152" s="37" t="s">
        <v>110</v>
      </c>
      <c r="E152" s="38" t="n">
        <f aca="false">'Matrice des notes'!AK10</f>
        <v>1</v>
      </c>
      <c r="F152" s="37" t="s">
        <v>631</v>
      </c>
      <c r="G152" s="39" t="s">
        <v>654</v>
      </c>
    </row>
    <row r="153" customFormat="false" ht="15" hidden="false" customHeight="false" outlineLevel="0" collapsed="false">
      <c r="A153" s="37" t="s">
        <v>184</v>
      </c>
      <c r="B153" s="37" t="s">
        <v>189</v>
      </c>
      <c r="C153" s="37" t="s">
        <v>180</v>
      </c>
      <c r="D153" s="37" t="s">
        <v>113</v>
      </c>
      <c r="E153" s="38" t="n">
        <f aca="false">'Matrice des notes'!AL10</f>
        <v>1</v>
      </c>
      <c r="F153" s="37" t="s">
        <v>631</v>
      </c>
      <c r="G153" s="39" t="s">
        <v>654</v>
      </c>
    </row>
    <row r="154" customFormat="false" ht="15" hidden="false" customHeight="false" outlineLevel="0" collapsed="false">
      <c r="A154" s="37" t="s">
        <v>184</v>
      </c>
      <c r="B154" s="37" t="s">
        <v>189</v>
      </c>
      <c r="C154" s="37" t="s">
        <v>180</v>
      </c>
      <c r="D154" s="37" t="s">
        <v>116</v>
      </c>
      <c r="E154" s="38" t="n">
        <f aca="false">'Matrice des notes'!AM10</f>
        <v>1</v>
      </c>
      <c r="F154" s="37" t="s">
        <v>655</v>
      </c>
      <c r="G154" s="39" t="s">
        <v>656</v>
      </c>
    </row>
    <row r="155" customFormat="false" ht="15" hidden="false" customHeight="false" outlineLevel="0" collapsed="false">
      <c r="A155" s="37" t="s">
        <v>184</v>
      </c>
      <c r="B155" s="37" t="s">
        <v>189</v>
      </c>
      <c r="C155" s="37" t="s">
        <v>180</v>
      </c>
      <c r="D155" s="37" t="s">
        <v>119</v>
      </c>
      <c r="E155" s="38" t="n">
        <f aca="false">'Matrice des notes'!AN10</f>
        <v>1</v>
      </c>
      <c r="F155" s="37" t="s">
        <v>631</v>
      </c>
      <c r="G155" s="39" t="s">
        <v>654</v>
      </c>
    </row>
    <row r="156" customFormat="false" ht="15" hidden="false" customHeight="false" outlineLevel="0" collapsed="false">
      <c r="A156" s="37" t="s">
        <v>184</v>
      </c>
      <c r="B156" s="37" t="s">
        <v>189</v>
      </c>
      <c r="C156" s="37" t="s">
        <v>180</v>
      </c>
      <c r="D156" s="37" t="s">
        <v>121</v>
      </c>
      <c r="E156" s="38" t="n">
        <f aca="false">'Matrice des notes'!AO10</f>
        <v>1</v>
      </c>
      <c r="F156" s="37" t="s">
        <v>657</v>
      </c>
      <c r="G156" s="39" t="s">
        <v>658</v>
      </c>
    </row>
    <row r="157" customFormat="false" ht="15" hidden="false" customHeight="false" outlineLevel="0" collapsed="false">
      <c r="A157" s="37" t="s">
        <v>184</v>
      </c>
      <c r="B157" s="37" t="s">
        <v>189</v>
      </c>
      <c r="C157" s="37" t="s">
        <v>180</v>
      </c>
      <c r="D157" s="37" t="s">
        <v>124</v>
      </c>
      <c r="E157" s="38" t="n">
        <f aca="false">'Matrice des notes'!AP10</f>
        <v>3</v>
      </c>
      <c r="F157" s="37" t="s">
        <v>682</v>
      </c>
      <c r="G157" s="39" t="s">
        <v>683</v>
      </c>
    </row>
    <row r="158" customFormat="false" ht="15" hidden="false" customHeight="false" outlineLevel="0" collapsed="false">
      <c r="A158" s="37" t="s">
        <v>184</v>
      </c>
      <c r="B158" s="37" t="s">
        <v>190</v>
      </c>
      <c r="C158" s="37" t="s">
        <v>178</v>
      </c>
      <c r="D158" s="37" t="s">
        <v>7</v>
      </c>
      <c r="E158" s="38" t="n">
        <f aca="false">'Matrice des notes'!D11</f>
        <v>3</v>
      </c>
      <c r="F158" s="37" t="s">
        <v>617</v>
      </c>
      <c r="G158" s="39" t="s">
        <v>618</v>
      </c>
    </row>
    <row r="159" customFormat="false" ht="15" hidden="false" customHeight="false" outlineLevel="0" collapsed="false">
      <c r="A159" s="37" t="s">
        <v>184</v>
      </c>
      <c r="B159" s="37" t="s">
        <v>190</v>
      </c>
      <c r="C159" s="37" t="s">
        <v>178</v>
      </c>
      <c r="D159" s="37" t="s">
        <v>11</v>
      </c>
      <c r="E159" s="38" t="n">
        <f aca="false">'Matrice des notes'!E11</f>
        <v>4</v>
      </c>
      <c r="F159" s="37" t="s">
        <v>619</v>
      </c>
      <c r="G159" s="39" t="s">
        <v>620</v>
      </c>
    </row>
    <row r="160" customFormat="false" ht="22.35" hidden="false" customHeight="false" outlineLevel="0" collapsed="false">
      <c r="A160" s="37" t="s">
        <v>184</v>
      </c>
      <c r="B160" s="37" t="s">
        <v>190</v>
      </c>
      <c r="C160" s="37" t="s">
        <v>178</v>
      </c>
      <c r="D160" s="37" t="s">
        <v>14</v>
      </c>
      <c r="E160" s="38" t="n">
        <f aca="false">'Matrice des notes'!F11</f>
        <v>4</v>
      </c>
      <c r="F160" s="37" t="s">
        <v>621</v>
      </c>
      <c r="G160" s="39" t="s">
        <v>622</v>
      </c>
    </row>
    <row r="161" customFormat="false" ht="15" hidden="false" customHeight="false" outlineLevel="0" collapsed="false">
      <c r="A161" s="37" t="s">
        <v>184</v>
      </c>
      <c r="B161" s="37" t="s">
        <v>190</v>
      </c>
      <c r="C161" s="37" t="s">
        <v>178</v>
      </c>
      <c r="D161" s="37" t="s">
        <v>17</v>
      </c>
      <c r="E161" s="38" t="n">
        <f aca="false">'Matrice des notes'!G11</f>
        <v>5</v>
      </c>
      <c r="F161" s="37" t="s">
        <v>666</v>
      </c>
      <c r="G161" s="39" t="s">
        <v>667</v>
      </c>
    </row>
    <row r="162" customFormat="false" ht="15" hidden="false" customHeight="false" outlineLevel="0" collapsed="false">
      <c r="A162" s="37" t="s">
        <v>184</v>
      </c>
      <c r="B162" s="37" t="s">
        <v>190</v>
      </c>
      <c r="C162" s="37" t="s">
        <v>178</v>
      </c>
      <c r="D162" s="37" t="s">
        <v>20</v>
      </c>
      <c r="E162" s="38" t="n">
        <f aca="false">'Matrice des notes'!H11</f>
        <v>4</v>
      </c>
      <c r="F162" s="37" t="s">
        <v>625</v>
      </c>
      <c r="G162" s="39" t="s">
        <v>626</v>
      </c>
    </row>
    <row r="163" customFormat="false" ht="15" hidden="false" customHeight="false" outlineLevel="0" collapsed="false">
      <c r="A163" s="37" t="s">
        <v>184</v>
      </c>
      <c r="B163" s="37" t="s">
        <v>190</v>
      </c>
      <c r="C163" s="37" t="s">
        <v>178</v>
      </c>
      <c r="D163" s="37" t="s">
        <v>23</v>
      </c>
      <c r="E163" s="38" t="n">
        <f aca="false">'Matrice des notes'!I11</f>
        <v>5</v>
      </c>
      <c r="F163" s="37" t="s">
        <v>627</v>
      </c>
      <c r="G163" s="39" t="s">
        <v>628</v>
      </c>
    </row>
    <row r="164" customFormat="false" ht="15" hidden="false" customHeight="false" outlineLevel="0" collapsed="false">
      <c r="A164" s="37" t="s">
        <v>184</v>
      </c>
      <c r="B164" s="37" t="s">
        <v>190</v>
      </c>
      <c r="C164" s="37" t="s">
        <v>178</v>
      </c>
      <c r="D164" s="37" t="s">
        <v>26</v>
      </c>
      <c r="E164" s="38" t="n">
        <f aca="false">'Matrice des notes'!J11</f>
        <v>4</v>
      </c>
      <c r="F164" s="37" t="s">
        <v>629</v>
      </c>
      <c r="G164" s="39" t="s">
        <v>630</v>
      </c>
    </row>
    <row r="165" customFormat="false" ht="15" hidden="false" customHeight="false" outlineLevel="0" collapsed="false">
      <c r="A165" s="37" t="s">
        <v>184</v>
      </c>
      <c r="B165" s="37" t="s">
        <v>190</v>
      </c>
      <c r="C165" s="37" t="s">
        <v>178</v>
      </c>
      <c r="D165" s="37" t="s">
        <v>30</v>
      </c>
      <c r="E165" s="38" t="n">
        <f aca="false">'Matrice des notes'!K11</f>
        <v>4</v>
      </c>
      <c r="F165" s="37" t="s">
        <v>629</v>
      </c>
      <c r="G165" s="39" t="s">
        <v>630</v>
      </c>
    </row>
    <row r="166" customFormat="false" ht="15" hidden="false" customHeight="false" outlineLevel="0" collapsed="false">
      <c r="A166" s="37" t="s">
        <v>184</v>
      </c>
      <c r="B166" s="37" t="s">
        <v>190</v>
      </c>
      <c r="C166" s="37" t="s">
        <v>178</v>
      </c>
      <c r="D166" s="37" t="s">
        <v>34</v>
      </c>
      <c r="E166" s="38" t="n">
        <f aca="false">'Matrice des notes'!L11</f>
        <v>5</v>
      </c>
      <c r="F166" s="37" t="s">
        <v>684</v>
      </c>
      <c r="G166" s="39" t="s">
        <v>685</v>
      </c>
    </row>
    <row r="167" customFormat="false" ht="15" hidden="false" customHeight="false" outlineLevel="0" collapsed="false">
      <c r="A167" s="37" t="s">
        <v>184</v>
      </c>
      <c r="B167" s="37" t="s">
        <v>190</v>
      </c>
      <c r="C167" s="37" t="s">
        <v>178</v>
      </c>
      <c r="D167" s="37" t="s">
        <v>37</v>
      </c>
      <c r="E167" s="38" t="n">
        <f aca="false">'Matrice des notes'!M11</f>
        <v>2</v>
      </c>
      <c r="F167" s="37" t="s">
        <v>631</v>
      </c>
      <c r="G167" s="39" t="s">
        <v>632</v>
      </c>
    </row>
    <row r="168" customFormat="false" ht="15" hidden="false" customHeight="false" outlineLevel="0" collapsed="false">
      <c r="A168" s="37" t="s">
        <v>184</v>
      </c>
      <c r="B168" s="37" t="s">
        <v>190</v>
      </c>
      <c r="C168" s="37" t="s">
        <v>178</v>
      </c>
      <c r="D168" s="37" t="s">
        <v>40</v>
      </c>
      <c r="E168" s="38" t="n">
        <f aca="false">'Matrice des notes'!N11</f>
        <v>4</v>
      </c>
      <c r="F168" s="37" t="s">
        <v>633</v>
      </c>
      <c r="G168" s="39" t="s">
        <v>634</v>
      </c>
    </row>
    <row r="169" customFormat="false" ht="15" hidden="false" customHeight="false" outlineLevel="0" collapsed="false">
      <c r="A169" s="37" t="s">
        <v>184</v>
      </c>
      <c r="B169" s="37" t="s">
        <v>190</v>
      </c>
      <c r="C169" s="37" t="s">
        <v>178</v>
      </c>
      <c r="D169" s="37" t="s">
        <v>43</v>
      </c>
      <c r="E169" s="38" t="n">
        <f aca="false">'Matrice des notes'!O11</f>
        <v>2</v>
      </c>
      <c r="F169" s="37" t="s">
        <v>635</v>
      </c>
      <c r="G169" s="39" t="s">
        <v>636</v>
      </c>
    </row>
    <row r="170" customFormat="false" ht="15" hidden="false" customHeight="false" outlineLevel="0" collapsed="false">
      <c r="A170" s="37" t="s">
        <v>184</v>
      </c>
      <c r="B170" s="37" t="s">
        <v>190</v>
      </c>
      <c r="C170" s="37" t="s">
        <v>178</v>
      </c>
      <c r="D170" s="37" t="s">
        <v>46</v>
      </c>
      <c r="E170" s="38" t="n">
        <f aca="false">'Matrice des notes'!P11</f>
        <v>4</v>
      </c>
      <c r="F170" s="37" t="s">
        <v>686</v>
      </c>
      <c r="G170" s="39" t="s">
        <v>687</v>
      </c>
    </row>
    <row r="171" customFormat="false" ht="22.35" hidden="false" customHeight="false" outlineLevel="0" collapsed="false">
      <c r="A171" s="37" t="s">
        <v>184</v>
      </c>
      <c r="B171" s="37" t="s">
        <v>190</v>
      </c>
      <c r="C171" s="37" t="s">
        <v>179</v>
      </c>
      <c r="D171" s="37" t="s">
        <v>49</v>
      </c>
      <c r="E171" s="38" t="n">
        <f aca="false">'Matrice des notes'!Q11</f>
        <v>4</v>
      </c>
      <c r="F171" s="37" t="s">
        <v>688</v>
      </c>
      <c r="G171" s="39" t="s">
        <v>689</v>
      </c>
    </row>
    <row r="172" customFormat="false" ht="15" hidden="false" customHeight="false" outlineLevel="0" collapsed="false">
      <c r="A172" s="37" t="s">
        <v>184</v>
      </c>
      <c r="B172" s="37" t="s">
        <v>190</v>
      </c>
      <c r="C172" s="37" t="s">
        <v>179</v>
      </c>
      <c r="D172" s="37" t="s">
        <v>53</v>
      </c>
      <c r="E172" s="38" t="n">
        <f aca="false">'Matrice des notes'!R11</f>
        <v>4</v>
      </c>
      <c r="F172" s="37" t="s">
        <v>641</v>
      </c>
      <c r="G172" s="39" t="s">
        <v>642</v>
      </c>
    </row>
    <row r="173" customFormat="false" ht="22.35" hidden="false" customHeight="false" outlineLevel="0" collapsed="false">
      <c r="A173" s="37" t="s">
        <v>184</v>
      </c>
      <c r="B173" s="37" t="s">
        <v>190</v>
      </c>
      <c r="C173" s="37" t="s">
        <v>179</v>
      </c>
      <c r="D173" s="37" t="s">
        <v>56</v>
      </c>
      <c r="E173" s="38" t="n">
        <f aca="false">'Matrice des notes'!S11</f>
        <v>4</v>
      </c>
      <c r="F173" s="37" t="s">
        <v>669</v>
      </c>
      <c r="G173" s="39" t="s">
        <v>670</v>
      </c>
    </row>
    <row r="174" customFormat="false" ht="15" hidden="false" customHeight="false" outlineLevel="0" collapsed="false">
      <c r="A174" s="37" t="s">
        <v>184</v>
      </c>
      <c r="B174" s="37" t="s">
        <v>190</v>
      </c>
      <c r="C174" s="37" t="s">
        <v>179</v>
      </c>
      <c r="D174" s="37" t="s">
        <v>59</v>
      </c>
      <c r="E174" s="38" t="n">
        <f aca="false">'Matrice des notes'!T11</f>
        <v>5</v>
      </c>
      <c r="F174" s="37" t="s">
        <v>645</v>
      </c>
      <c r="G174" s="39" t="s">
        <v>646</v>
      </c>
    </row>
    <row r="175" customFormat="false" ht="15" hidden="false" customHeight="false" outlineLevel="0" collapsed="false">
      <c r="A175" s="37" t="s">
        <v>184</v>
      </c>
      <c r="B175" s="37" t="s">
        <v>190</v>
      </c>
      <c r="C175" s="37" t="s">
        <v>179</v>
      </c>
      <c r="D175" s="37" t="s">
        <v>62</v>
      </c>
      <c r="E175" s="38" t="n">
        <f aca="false">'Matrice des notes'!U11</f>
        <v>4</v>
      </c>
      <c r="F175" s="37" t="s">
        <v>647</v>
      </c>
      <c r="G175" s="39" t="s">
        <v>648</v>
      </c>
    </row>
    <row r="176" customFormat="false" ht="15" hidden="false" customHeight="false" outlineLevel="0" collapsed="false">
      <c r="A176" s="37" t="s">
        <v>184</v>
      </c>
      <c r="B176" s="37" t="s">
        <v>190</v>
      </c>
      <c r="C176" s="37" t="s">
        <v>179</v>
      </c>
      <c r="D176" s="37" t="s">
        <v>65</v>
      </c>
      <c r="E176" s="38" t="n">
        <f aca="false">'Matrice des notes'!V11</f>
        <v>3</v>
      </c>
      <c r="F176" s="37" t="s">
        <v>637</v>
      </c>
      <c r="G176" s="39" t="s">
        <v>638</v>
      </c>
    </row>
    <row r="177" customFormat="false" ht="15" hidden="false" customHeight="false" outlineLevel="0" collapsed="false">
      <c r="A177" s="37" t="s">
        <v>184</v>
      </c>
      <c r="B177" s="37" t="s">
        <v>190</v>
      </c>
      <c r="C177" s="37" t="s">
        <v>179</v>
      </c>
      <c r="D177" s="37" t="s">
        <v>68</v>
      </c>
      <c r="E177" s="38" t="n">
        <f aca="false">'Matrice des notes'!W11</f>
        <v>2</v>
      </c>
      <c r="F177" s="37" t="s">
        <v>649</v>
      </c>
      <c r="G177" s="39" t="s">
        <v>650</v>
      </c>
    </row>
    <row r="178" customFormat="false" ht="22.35" hidden="false" customHeight="false" outlineLevel="0" collapsed="false">
      <c r="A178" s="37" t="s">
        <v>184</v>
      </c>
      <c r="B178" s="37" t="s">
        <v>190</v>
      </c>
      <c r="C178" s="37" t="s">
        <v>179</v>
      </c>
      <c r="D178" s="37" t="s">
        <v>71</v>
      </c>
      <c r="E178" s="38" t="n">
        <f aca="false">'Matrice des notes'!X11</f>
        <v>4</v>
      </c>
      <c r="F178" s="37" t="s">
        <v>688</v>
      </c>
      <c r="G178" s="39" t="s">
        <v>690</v>
      </c>
    </row>
    <row r="179" customFormat="false" ht="15" hidden="false" customHeight="false" outlineLevel="0" collapsed="false">
      <c r="A179" s="37" t="s">
        <v>184</v>
      </c>
      <c r="B179" s="37" t="s">
        <v>190</v>
      </c>
      <c r="C179" s="37" t="s">
        <v>179</v>
      </c>
      <c r="D179" s="37" t="s">
        <v>74</v>
      </c>
      <c r="E179" s="38" t="n">
        <f aca="false">'Matrice des notes'!Y11</f>
        <v>3</v>
      </c>
      <c r="F179" s="37" t="s">
        <v>637</v>
      </c>
      <c r="G179" s="39" t="s">
        <v>638</v>
      </c>
    </row>
    <row r="180" customFormat="false" ht="15" hidden="false" customHeight="false" outlineLevel="0" collapsed="false">
      <c r="A180" s="37" t="s">
        <v>184</v>
      </c>
      <c r="B180" s="37" t="s">
        <v>190</v>
      </c>
      <c r="C180" s="37" t="s">
        <v>179</v>
      </c>
      <c r="D180" s="37" t="s">
        <v>77</v>
      </c>
      <c r="E180" s="38" t="n">
        <f aca="false">'Matrice des notes'!Z11</f>
        <v>4</v>
      </c>
      <c r="F180" s="37" t="s">
        <v>691</v>
      </c>
      <c r="G180" s="39" t="s">
        <v>692</v>
      </c>
    </row>
    <row r="181" customFormat="false" ht="15" hidden="false" customHeight="false" outlineLevel="0" collapsed="false">
      <c r="A181" s="37" t="s">
        <v>184</v>
      </c>
      <c r="B181" s="37" t="s">
        <v>190</v>
      </c>
      <c r="C181" s="37" t="s">
        <v>179</v>
      </c>
      <c r="D181" s="37" t="s">
        <v>80</v>
      </c>
      <c r="E181" s="38" t="n">
        <f aca="false">'Matrice des notes'!AA11</f>
        <v>3</v>
      </c>
      <c r="F181" s="37" t="s">
        <v>637</v>
      </c>
      <c r="G181" s="39" t="s">
        <v>638</v>
      </c>
    </row>
    <row r="182" customFormat="false" ht="15" hidden="false" customHeight="false" outlineLevel="0" collapsed="false">
      <c r="A182" s="37" t="s">
        <v>184</v>
      </c>
      <c r="B182" s="37" t="s">
        <v>190</v>
      </c>
      <c r="C182" s="37" t="s">
        <v>179</v>
      </c>
      <c r="D182" s="37" t="s">
        <v>83</v>
      </c>
      <c r="E182" s="38" t="n">
        <f aca="false">'Matrice des notes'!AB11</f>
        <v>3</v>
      </c>
      <c r="F182" s="37" t="s">
        <v>652</v>
      </c>
      <c r="G182" s="39" t="s">
        <v>653</v>
      </c>
    </row>
    <row r="183" customFormat="false" ht="15" hidden="false" customHeight="false" outlineLevel="0" collapsed="false">
      <c r="A183" s="37" t="s">
        <v>184</v>
      </c>
      <c r="B183" s="37" t="s">
        <v>190</v>
      </c>
      <c r="C183" s="37" t="s">
        <v>179</v>
      </c>
      <c r="D183" s="37" t="s">
        <v>86</v>
      </c>
      <c r="E183" s="38" t="n">
        <f aca="false">'Matrice des notes'!AC11</f>
        <v>2</v>
      </c>
      <c r="F183" s="37" t="s">
        <v>637</v>
      </c>
      <c r="G183" s="39" t="s">
        <v>638</v>
      </c>
    </row>
    <row r="184" customFormat="false" ht="15" hidden="false" customHeight="false" outlineLevel="0" collapsed="false">
      <c r="A184" s="37" t="s">
        <v>184</v>
      </c>
      <c r="B184" s="37" t="s">
        <v>190</v>
      </c>
      <c r="C184" s="37" t="s">
        <v>179</v>
      </c>
      <c r="D184" s="37" t="s">
        <v>89</v>
      </c>
      <c r="E184" s="38" t="n">
        <f aca="false">'Matrice des notes'!AD11</f>
        <v>3</v>
      </c>
      <c r="F184" s="37" t="s">
        <v>637</v>
      </c>
      <c r="G184" s="39" t="s">
        <v>638</v>
      </c>
    </row>
    <row r="185" customFormat="false" ht="15" hidden="false" customHeight="false" outlineLevel="0" collapsed="false">
      <c r="A185" s="37" t="s">
        <v>184</v>
      </c>
      <c r="B185" s="37" t="s">
        <v>190</v>
      </c>
      <c r="C185" s="37" t="s">
        <v>179</v>
      </c>
      <c r="D185" s="37" t="s">
        <v>92</v>
      </c>
      <c r="E185" s="38" t="n">
        <f aca="false">'Matrice des notes'!AE11</f>
        <v>2</v>
      </c>
      <c r="F185" s="37" t="s">
        <v>637</v>
      </c>
      <c r="G185" s="39" t="s">
        <v>638</v>
      </c>
    </row>
    <row r="186" customFormat="false" ht="15" hidden="false" customHeight="false" outlineLevel="0" collapsed="false">
      <c r="A186" s="37" t="s">
        <v>184</v>
      </c>
      <c r="B186" s="37" t="s">
        <v>190</v>
      </c>
      <c r="C186" s="37" t="s">
        <v>180</v>
      </c>
      <c r="D186" s="37" t="s">
        <v>95</v>
      </c>
      <c r="E186" s="38" t="n">
        <f aca="false">'Matrice des notes'!AF11</f>
        <v>1</v>
      </c>
      <c r="F186" s="37" t="s">
        <v>631</v>
      </c>
      <c r="G186" s="39" t="s">
        <v>654</v>
      </c>
    </row>
    <row r="187" customFormat="false" ht="15" hidden="false" customHeight="false" outlineLevel="0" collapsed="false">
      <c r="A187" s="37" t="s">
        <v>184</v>
      </c>
      <c r="B187" s="37" t="s">
        <v>190</v>
      </c>
      <c r="C187" s="37" t="s">
        <v>180</v>
      </c>
      <c r="D187" s="37" t="s">
        <v>99</v>
      </c>
      <c r="E187" s="38" t="n">
        <f aca="false">'Matrice des notes'!AG11</f>
        <v>1</v>
      </c>
      <c r="F187" s="37" t="s">
        <v>655</v>
      </c>
      <c r="G187" s="39" t="s">
        <v>656</v>
      </c>
    </row>
    <row r="188" customFormat="false" ht="15" hidden="false" customHeight="false" outlineLevel="0" collapsed="false">
      <c r="A188" s="37" t="s">
        <v>184</v>
      </c>
      <c r="B188" s="37" t="s">
        <v>190</v>
      </c>
      <c r="C188" s="37" t="s">
        <v>180</v>
      </c>
      <c r="D188" s="37" t="s">
        <v>102</v>
      </c>
      <c r="E188" s="38" t="n">
        <f aca="false">'Matrice des notes'!AH11</f>
        <v>1</v>
      </c>
      <c r="F188" s="37" t="s">
        <v>655</v>
      </c>
      <c r="G188" s="39" t="s">
        <v>656</v>
      </c>
    </row>
    <row r="189" customFormat="false" ht="15" hidden="false" customHeight="false" outlineLevel="0" collapsed="false">
      <c r="A189" s="37" t="s">
        <v>184</v>
      </c>
      <c r="B189" s="37" t="s">
        <v>190</v>
      </c>
      <c r="C189" s="37" t="s">
        <v>180</v>
      </c>
      <c r="D189" s="37" t="s">
        <v>104</v>
      </c>
      <c r="E189" s="38" t="n">
        <f aca="false">'Matrice des notes'!AI11</f>
        <v>1</v>
      </c>
      <c r="F189" s="37" t="s">
        <v>631</v>
      </c>
      <c r="G189" s="39" t="s">
        <v>654</v>
      </c>
    </row>
    <row r="190" customFormat="false" ht="15" hidden="false" customHeight="false" outlineLevel="0" collapsed="false">
      <c r="A190" s="37" t="s">
        <v>184</v>
      </c>
      <c r="B190" s="37" t="s">
        <v>190</v>
      </c>
      <c r="C190" s="37" t="s">
        <v>180</v>
      </c>
      <c r="D190" s="37" t="s">
        <v>107</v>
      </c>
      <c r="E190" s="38" t="n">
        <f aca="false">'Matrice des notes'!AJ11</f>
        <v>1</v>
      </c>
      <c r="F190" s="37" t="s">
        <v>631</v>
      </c>
      <c r="G190" s="39" t="s">
        <v>654</v>
      </c>
    </row>
    <row r="191" customFormat="false" ht="15" hidden="false" customHeight="false" outlineLevel="0" collapsed="false">
      <c r="A191" s="37" t="s">
        <v>184</v>
      </c>
      <c r="B191" s="37" t="s">
        <v>190</v>
      </c>
      <c r="C191" s="37" t="s">
        <v>180</v>
      </c>
      <c r="D191" s="37" t="s">
        <v>110</v>
      </c>
      <c r="E191" s="38" t="n">
        <f aca="false">'Matrice des notes'!AK11</f>
        <v>1</v>
      </c>
      <c r="F191" s="37" t="s">
        <v>631</v>
      </c>
      <c r="G191" s="39" t="s">
        <v>654</v>
      </c>
    </row>
    <row r="192" customFormat="false" ht="15" hidden="false" customHeight="false" outlineLevel="0" collapsed="false">
      <c r="A192" s="37" t="s">
        <v>184</v>
      </c>
      <c r="B192" s="37" t="s">
        <v>190</v>
      </c>
      <c r="C192" s="37" t="s">
        <v>180</v>
      </c>
      <c r="D192" s="37" t="s">
        <v>113</v>
      </c>
      <c r="E192" s="38" t="n">
        <f aca="false">'Matrice des notes'!AL11</f>
        <v>1</v>
      </c>
      <c r="F192" s="37" t="s">
        <v>631</v>
      </c>
      <c r="G192" s="39" t="s">
        <v>654</v>
      </c>
    </row>
    <row r="193" customFormat="false" ht="15" hidden="false" customHeight="false" outlineLevel="0" collapsed="false">
      <c r="A193" s="37" t="s">
        <v>184</v>
      </c>
      <c r="B193" s="37" t="s">
        <v>190</v>
      </c>
      <c r="C193" s="37" t="s">
        <v>180</v>
      </c>
      <c r="D193" s="37" t="s">
        <v>116</v>
      </c>
      <c r="E193" s="38" t="n">
        <f aca="false">'Matrice des notes'!AM11</f>
        <v>1</v>
      </c>
      <c r="F193" s="37" t="s">
        <v>655</v>
      </c>
      <c r="G193" s="39" t="s">
        <v>656</v>
      </c>
    </row>
    <row r="194" customFormat="false" ht="15" hidden="false" customHeight="false" outlineLevel="0" collapsed="false">
      <c r="A194" s="37" t="s">
        <v>184</v>
      </c>
      <c r="B194" s="37" t="s">
        <v>190</v>
      </c>
      <c r="C194" s="37" t="s">
        <v>180</v>
      </c>
      <c r="D194" s="37" t="s">
        <v>119</v>
      </c>
      <c r="E194" s="38" t="n">
        <f aca="false">'Matrice des notes'!AN11</f>
        <v>1</v>
      </c>
      <c r="F194" s="37" t="s">
        <v>631</v>
      </c>
      <c r="G194" s="39" t="s">
        <v>654</v>
      </c>
    </row>
    <row r="195" customFormat="false" ht="15" hidden="false" customHeight="false" outlineLevel="0" collapsed="false">
      <c r="A195" s="37" t="s">
        <v>184</v>
      </c>
      <c r="B195" s="37" t="s">
        <v>190</v>
      </c>
      <c r="C195" s="37" t="s">
        <v>180</v>
      </c>
      <c r="D195" s="37" t="s">
        <v>121</v>
      </c>
      <c r="E195" s="38" t="n">
        <f aca="false">'Matrice des notes'!AO11</f>
        <v>1</v>
      </c>
      <c r="F195" s="37" t="s">
        <v>657</v>
      </c>
      <c r="G195" s="39" t="s">
        <v>658</v>
      </c>
    </row>
    <row r="196" customFormat="false" ht="15" hidden="false" customHeight="false" outlineLevel="0" collapsed="false">
      <c r="A196" s="37" t="s">
        <v>184</v>
      </c>
      <c r="B196" s="37" t="s">
        <v>190</v>
      </c>
      <c r="C196" s="37" t="s">
        <v>180</v>
      </c>
      <c r="D196" s="37" t="s">
        <v>124</v>
      </c>
      <c r="E196" s="38" t="n">
        <f aca="false">'Matrice des notes'!AP11</f>
        <v>3</v>
      </c>
      <c r="F196" s="37" t="s">
        <v>659</v>
      </c>
      <c r="G196" s="39" t="s">
        <v>660</v>
      </c>
    </row>
    <row r="197" customFormat="false" ht="15" hidden="false" customHeight="false" outlineLevel="0" collapsed="false">
      <c r="A197" s="37" t="s">
        <v>184</v>
      </c>
      <c r="B197" s="37" t="s">
        <v>191</v>
      </c>
      <c r="C197" s="37" t="s">
        <v>178</v>
      </c>
      <c r="D197" s="37" t="s">
        <v>7</v>
      </c>
      <c r="E197" s="38" t="n">
        <f aca="false">'Matrice des notes'!D12</f>
        <v>3</v>
      </c>
      <c r="F197" s="37" t="s">
        <v>617</v>
      </c>
      <c r="G197" s="39" t="s">
        <v>618</v>
      </c>
    </row>
    <row r="198" customFormat="false" ht="15" hidden="false" customHeight="false" outlineLevel="0" collapsed="false">
      <c r="A198" s="37" t="s">
        <v>184</v>
      </c>
      <c r="B198" s="37" t="s">
        <v>191</v>
      </c>
      <c r="C198" s="37" t="s">
        <v>178</v>
      </c>
      <c r="D198" s="37" t="s">
        <v>11</v>
      </c>
      <c r="E198" s="38" t="n">
        <f aca="false">'Matrice des notes'!E12</f>
        <v>2</v>
      </c>
      <c r="F198" s="37" t="s">
        <v>693</v>
      </c>
      <c r="G198" s="39" t="s">
        <v>694</v>
      </c>
    </row>
    <row r="199" customFormat="false" ht="15" hidden="false" customHeight="false" outlineLevel="0" collapsed="false">
      <c r="A199" s="37" t="s">
        <v>184</v>
      </c>
      <c r="B199" s="37" t="s">
        <v>191</v>
      </c>
      <c r="C199" s="37" t="s">
        <v>178</v>
      </c>
      <c r="D199" s="37" t="s">
        <v>14</v>
      </c>
      <c r="E199" s="38" t="n">
        <f aca="false">'Matrice des notes'!F12</f>
        <v>2</v>
      </c>
      <c r="F199" s="37" t="s">
        <v>695</v>
      </c>
      <c r="G199" s="39" t="s">
        <v>696</v>
      </c>
    </row>
    <row r="200" customFormat="false" ht="15" hidden="false" customHeight="false" outlineLevel="0" collapsed="false">
      <c r="A200" s="37" t="s">
        <v>184</v>
      </c>
      <c r="B200" s="37" t="s">
        <v>191</v>
      </c>
      <c r="C200" s="37" t="s">
        <v>178</v>
      </c>
      <c r="D200" s="37" t="s">
        <v>17</v>
      </c>
      <c r="E200" s="38" t="n">
        <f aca="false">'Matrice des notes'!G12</f>
        <v>2</v>
      </c>
      <c r="F200" s="37" t="s">
        <v>697</v>
      </c>
      <c r="G200" s="39" t="s">
        <v>698</v>
      </c>
    </row>
    <row r="201" customFormat="false" ht="15" hidden="false" customHeight="false" outlineLevel="0" collapsed="false">
      <c r="A201" s="37" t="s">
        <v>184</v>
      </c>
      <c r="B201" s="37" t="s">
        <v>191</v>
      </c>
      <c r="C201" s="37" t="s">
        <v>178</v>
      </c>
      <c r="D201" s="37" t="s">
        <v>20</v>
      </c>
      <c r="E201" s="38" t="n">
        <f aca="false">'Matrice des notes'!H12</f>
        <v>2</v>
      </c>
      <c r="F201" s="37" t="s">
        <v>699</v>
      </c>
      <c r="G201" s="39" t="s">
        <v>700</v>
      </c>
    </row>
    <row r="202" customFormat="false" ht="15" hidden="false" customHeight="false" outlineLevel="0" collapsed="false">
      <c r="A202" s="37" t="s">
        <v>184</v>
      </c>
      <c r="B202" s="37" t="s">
        <v>191</v>
      </c>
      <c r="C202" s="37" t="s">
        <v>178</v>
      </c>
      <c r="D202" s="37" t="s">
        <v>23</v>
      </c>
      <c r="E202" s="38" t="n">
        <f aca="false">'Matrice des notes'!I12</f>
        <v>2</v>
      </c>
      <c r="F202" s="37" t="s">
        <v>697</v>
      </c>
      <c r="G202" s="39" t="s">
        <v>701</v>
      </c>
    </row>
    <row r="203" customFormat="false" ht="15" hidden="false" customHeight="false" outlineLevel="0" collapsed="false">
      <c r="A203" s="37" t="s">
        <v>184</v>
      </c>
      <c r="B203" s="37" t="s">
        <v>191</v>
      </c>
      <c r="C203" s="37" t="s">
        <v>178</v>
      </c>
      <c r="D203" s="37" t="s">
        <v>26</v>
      </c>
      <c r="E203" s="38" t="n">
        <f aca="false">'Matrice des notes'!J12</f>
        <v>2</v>
      </c>
      <c r="F203" s="37" t="s">
        <v>677</v>
      </c>
      <c r="G203" s="39" t="s">
        <v>702</v>
      </c>
    </row>
    <row r="204" customFormat="false" ht="15" hidden="false" customHeight="false" outlineLevel="0" collapsed="false">
      <c r="A204" s="37" t="s">
        <v>184</v>
      </c>
      <c r="B204" s="37" t="s">
        <v>191</v>
      </c>
      <c r="C204" s="37" t="s">
        <v>178</v>
      </c>
      <c r="D204" s="37" t="s">
        <v>30</v>
      </c>
      <c r="E204" s="38" t="n">
        <f aca="false">'Matrice des notes'!K12</f>
        <v>2</v>
      </c>
      <c r="F204" s="37" t="s">
        <v>677</v>
      </c>
      <c r="G204" s="39" t="s">
        <v>703</v>
      </c>
    </row>
    <row r="205" customFormat="false" ht="15" hidden="false" customHeight="false" outlineLevel="0" collapsed="false">
      <c r="A205" s="37" t="s">
        <v>184</v>
      </c>
      <c r="B205" s="37" t="s">
        <v>191</v>
      </c>
      <c r="C205" s="37" t="s">
        <v>178</v>
      </c>
      <c r="D205" s="37" t="s">
        <v>34</v>
      </c>
      <c r="E205" s="38" t="n">
        <f aca="false">'Matrice des notes'!L12</f>
        <v>5</v>
      </c>
      <c r="F205" s="37" t="s">
        <v>684</v>
      </c>
      <c r="G205" s="39" t="s">
        <v>685</v>
      </c>
    </row>
    <row r="206" customFormat="false" ht="15" hidden="false" customHeight="false" outlineLevel="0" collapsed="false">
      <c r="A206" s="37" t="s">
        <v>184</v>
      </c>
      <c r="B206" s="37" t="s">
        <v>191</v>
      </c>
      <c r="C206" s="37" t="s">
        <v>178</v>
      </c>
      <c r="D206" s="37" t="s">
        <v>37</v>
      </c>
      <c r="E206" s="38" t="n">
        <f aca="false">'Matrice des notes'!M12</f>
        <v>2</v>
      </c>
      <c r="F206" s="37" t="s">
        <v>631</v>
      </c>
      <c r="G206" s="39" t="s">
        <v>632</v>
      </c>
    </row>
    <row r="207" customFormat="false" ht="15" hidden="false" customHeight="false" outlineLevel="0" collapsed="false">
      <c r="A207" s="37" t="s">
        <v>184</v>
      </c>
      <c r="B207" s="37" t="s">
        <v>191</v>
      </c>
      <c r="C207" s="37" t="s">
        <v>178</v>
      </c>
      <c r="D207" s="37" t="s">
        <v>40</v>
      </c>
      <c r="E207" s="38" t="n">
        <f aca="false">'Matrice des notes'!N12</f>
        <v>2</v>
      </c>
      <c r="F207" s="37" t="s">
        <v>693</v>
      </c>
      <c r="G207" s="39" t="s">
        <v>704</v>
      </c>
    </row>
    <row r="208" customFormat="false" ht="15" hidden="false" customHeight="false" outlineLevel="0" collapsed="false">
      <c r="A208" s="37" t="s">
        <v>184</v>
      </c>
      <c r="B208" s="37" t="s">
        <v>191</v>
      </c>
      <c r="C208" s="37" t="s">
        <v>178</v>
      </c>
      <c r="D208" s="37" t="s">
        <v>43</v>
      </c>
      <c r="E208" s="38" t="n">
        <f aca="false">'Matrice des notes'!O12</f>
        <v>2</v>
      </c>
      <c r="F208" s="37" t="s">
        <v>635</v>
      </c>
      <c r="G208" s="39" t="s">
        <v>636</v>
      </c>
    </row>
    <row r="209" customFormat="false" ht="15" hidden="false" customHeight="false" outlineLevel="0" collapsed="false">
      <c r="A209" s="37" t="s">
        <v>184</v>
      </c>
      <c r="B209" s="37" t="s">
        <v>191</v>
      </c>
      <c r="C209" s="37" t="s">
        <v>178</v>
      </c>
      <c r="D209" s="37" t="s">
        <v>46</v>
      </c>
      <c r="E209" s="38" t="n">
        <f aca="false">'Matrice des notes'!P12</f>
        <v>4</v>
      </c>
      <c r="F209" s="37" t="s">
        <v>623</v>
      </c>
      <c r="G209" s="39" t="s">
        <v>705</v>
      </c>
    </row>
    <row r="210" customFormat="false" ht="15" hidden="false" customHeight="false" outlineLevel="0" collapsed="false">
      <c r="A210" s="37" t="s">
        <v>184</v>
      </c>
      <c r="B210" s="37" t="s">
        <v>191</v>
      </c>
      <c r="C210" s="37" t="s">
        <v>179</v>
      </c>
      <c r="D210" s="37" t="s">
        <v>49</v>
      </c>
      <c r="E210" s="38" t="n">
        <f aca="false">'Matrice des notes'!Q12</f>
        <v>2</v>
      </c>
      <c r="F210" s="37" t="s">
        <v>693</v>
      </c>
      <c r="G210" s="39" t="s">
        <v>706</v>
      </c>
    </row>
    <row r="211" customFormat="false" ht="15" hidden="false" customHeight="false" outlineLevel="0" collapsed="false">
      <c r="A211" s="37" t="s">
        <v>184</v>
      </c>
      <c r="B211" s="37" t="s">
        <v>191</v>
      </c>
      <c r="C211" s="37" t="s">
        <v>179</v>
      </c>
      <c r="D211" s="37" t="s">
        <v>53</v>
      </c>
      <c r="E211" s="38" t="n">
        <f aca="false">'Matrice des notes'!R12</f>
        <v>4</v>
      </c>
      <c r="F211" s="37" t="s">
        <v>641</v>
      </c>
      <c r="G211" s="39" t="s">
        <v>707</v>
      </c>
    </row>
    <row r="212" customFormat="false" ht="15" hidden="false" customHeight="false" outlineLevel="0" collapsed="false">
      <c r="A212" s="37" t="s">
        <v>184</v>
      </c>
      <c r="B212" s="37" t="s">
        <v>191</v>
      </c>
      <c r="C212" s="37" t="s">
        <v>179</v>
      </c>
      <c r="D212" s="37" t="s">
        <v>56</v>
      </c>
      <c r="E212" s="38" t="n">
        <f aca="false">'Matrice des notes'!S12</f>
        <v>3</v>
      </c>
      <c r="F212" s="37" t="s">
        <v>708</v>
      </c>
      <c r="G212" s="39" t="s">
        <v>709</v>
      </c>
    </row>
    <row r="213" customFormat="false" ht="15" hidden="false" customHeight="false" outlineLevel="0" collapsed="false">
      <c r="A213" s="37" t="s">
        <v>184</v>
      </c>
      <c r="B213" s="37" t="s">
        <v>191</v>
      </c>
      <c r="C213" s="37" t="s">
        <v>179</v>
      </c>
      <c r="D213" s="37" t="s">
        <v>59</v>
      </c>
      <c r="E213" s="38" t="n">
        <f aca="false">'Matrice des notes'!T12</f>
        <v>2</v>
      </c>
      <c r="F213" s="37" t="s">
        <v>697</v>
      </c>
      <c r="G213" s="39" t="s">
        <v>698</v>
      </c>
    </row>
    <row r="214" customFormat="false" ht="15" hidden="false" customHeight="false" outlineLevel="0" collapsed="false">
      <c r="A214" s="37" t="s">
        <v>184</v>
      </c>
      <c r="B214" s="37" t="s">
        <v>191</v>
      </c>
      <c r="C214" s="37" t="s">
        <v>179</v>
      </c>
      <c r="D214" s="37" t="s">
        <v>62</v>
      </c>
      <c r="E214" s="38" t="n">
        <f aca="false">'Matrice des notes'!U12</f>
        <v>2</v>
      </c>
      <c r="F214" s="37" t="s">
        <v>693</v>
      </c>
      <c r="G214" s="39" t="s">
        <v>710</v>
      </c>
    </row>
    <row r="215" customFormat="false" ht="15" hidden="false" customHeight="false" outlineLevel="0" collapsed="false">
      <c r="A215" s="37" t="s">
        <v>184</v>
      </c>
      <c r="B215" s="37" t="s">
        <v>191</v>
      </c>
      <c r="C215" s="37" t="s">
        <v>179</v>
      </c>
      <c r="D215" s="37" t="s">
        <v>65</v>
      </c>
      <c r="E215" s="38" t="n">
        <f aca="false">'Matrice des notes'!V12</f>
        <v>4</v>
      </c>
      <c r="F215" s="37" t="s">
        <v>623</v>
      </c>
      <c r="G215" s="39" t="s">
        <v>705</v>
      </c>
    </row>
    <row r="216" customFormat="false" ht="15" hidden="false" customHeight="false" outlineLevel="0" collapsed="false">
      <c r="A216" s="37" t="s">
        <v>184</v>
      </c>
      <c r="B216" s="37" t="s">
        <v>191</v>
      </c>
      <c r="C216" s="37" t="s">
        <v>179</v>
      </c>
      <c r="D216" s="37" t="s">
        <v>68</v>
      </c>
      <c r="E216" s="38" t="n">
        <f aca="false">'Matrice des notes'!W12</f>
        <v>2</v>
      </c>
      <c r="F216" s="37" t="s">
        <v>649</v>
      </c>
      <c r="G216" s="39" t="s">
        <v>650</v>
      </c>
    </row>
    <row r="217" customFormat="false" ht="15" hidden="false" customHeight="false" outlineLevel="0" collapsed="false">
      <c r="A217" s="37" t="s">
        <v>184</v>
      </c>
      <c r="B217" s="37" t="s">
        <v>191</v>
      </c>
      <c r="C217" s="37" t="s">
        <v>179</v>
      </c>
      <c r="D217" s="37" t="s">
        <v>71</v>
      </c>
      <c r="E217" s="38" t="n">
        <f aca="false">'Matrice des notes'!X12</f>
        <v>2</v>
      </c>
      <c r="F217" s="37" t="s">
        <v>693</v>
      </c>
      <c r="G217" s="39" t="s">
        <v>711</v>
      </c>
    </row>
    <row r="218" customFormat="false" ht="15" hidden="false" customHeight="false" outlineLevel="0" collapsed="false">
      <c r="A218" s="37" t="s">
        <v>184</v>
      </c>
      <c r="B218" s="37" t="s">
        <v>191</v>
      </c>
      <c r="C218" s="37" t="s">
        <v>179</v>
      </c>
      <c r="D218" s="37" t="s">
        <v>74</v>
      </c>
      <c r="E218" s="38" t="n">
        <f aca="false">'Matrice des notes'!Y12</f>
        <v>4</v>
      </c>
      <c r="F218" s="37" t="s">
        <v>623</v>
      </c>
      <c r="G218" s="39" t="s">
        <v>705</v>
      </c>
    </row>
    <row r="219" customFormat="false" ht="15" hidden="false" customHeight="false" outlineLevel="0" collapsed="false">
      <c r="A219" s="37" t="s">
        <v>184</v>
      </c>
      <c r="B219" s="37" t="s">
        <v>191</v>
      </c>
      <c r="C219" s="37" t="s">
        <v>179</v>
      </c>
      <c r="D219" s="37" t="s">
        <v>77</v>
      </c>
      <c r="E219" s="38" t="n">
        <f aca="false">'Matrice des notes'!Z12</f>
        <v>4</v>
      </c>
      <c r="F219" s="37" t="s">
        <v>623</v>
      </c>
      <c r="G219" s="39" t="s">
        <v>705</v>
      </c>
    </row>
    <row r="220" customFormat="false" ht="15" hidden="false" customHeight="false" outlineLevel="0" collapsed="false">
      <c r="A220" s="37" t="s">
        <v>184</v>
      </c>
      <c r="B220" s="37" t="s">
        <v>191</v>
      </c>
      <c r="C220" s="37" t="s">
        <v>179</v>
      </c>
      <c r="D220" s="37" t="s">
        <v>80</v>
      </c>
      <c r="E220" s="38" t="n">
        <f aca="false">'Matrice des notes'!AA12</f>
        <v>4</v>
      </c>
      <c r="F220" s="37" t="s">
        <v>623</v>
      </c>
      <c r="G220" s="39" t="s">
        <v>705</v>
      </c>
    </row>
    <row r="221" customFormat="false" ht="15" hidden="false" customHeight="false" outlineLevel="0" collapsed="false">
      <c r="A221" s="37" t="s">
        <v>184</v>
      </c>
      <c r="B221" s="37" t="s">
        <v>191</v>
      </c>
      <c r="C221" s="37" t="s">
        <v>179</v>
      </c>
      <c r="D221" s="37" t="s">
        <v>83</v>
      </c>
      <c r="E221" s="38" t="n">
        <f aca="false">'Matrice des notes'!AB12</f>
        <v>3</v>
      </c>
      <c r="F221" s="37" t="s">
        <v>712</v>
      </c>
      <c r="G221" s="39" t="s">
        <v>713</v>
      </c>
    </row>
    <row r="222" customFormat="false" ht="15" hidden="false" customHeight="false" outlineLevel="0" collapsed="false">
      <c r="A222" s="37" t="s">
        <v>184</v>
      </c>
      <c r="B222" s="37" t="s">
        <v>191</v>
      </c>
      <c r="C222" s="37" t="s">
        <v>179</v>
      </c>
      <c r="D222" s="37" t="s">
        <v>86</v>
      </c>
      <c r="E222" s="38" t="n">
        <f aca="false">'Matrice des notes'!AC12</f>
        <v>2</v>
      </c>
      <c r="F222" s="37" t="s">
        <v>652</v>
      </c>
      <c r="G222" s="39" t="s">
        <v>653</v>
      </c>
    </row>
    <row r="223" customFormat="false" ht="15" hidden="false" customHeight="false" outlineLevel="0" collapsed="false">
      <c r="A223" s="37" t="s">
        <v>184</v>
      </c>
      <c r="B223" s="37" t="s">
        <v>191</v>
      </c>
      <c r="C223" s="37" t="s">
        <v>179</v>
      </c>
      <c r="D223" s="37" t="s">
        <v>89</v>
      </c>
      <c r="E223" s="38" t="n">
        <f aca="false">'Matrice des notes'!AD12</f>
        <v>3</v>
      </c>
      <c r="F223" s="37" t="s">
        <v>652</v>
      </c>
      <c r="G223" s="39" t="s">
        <v>653</v>
      </c>
    </row>
    <row r="224" customFormat="false" ht="15" hidden="false" customHeight="false" outlineLevel="0" collapsed="false">
      <c r="A224" s="37" t="s">
        <v>184</v>
      </c>
      <c r="B224" s="37" t="s">
        <v>191</v>
      </c>
      <c r="C224" s="37" t="s">
        <v>179</v>
      </c>
      <c r="D224" s="37" t="s">
        <v>92</v>
      </c>
      <c r="E224" s="38" t="n">
        <f aca="false">'Matrice des notes'!AE12</f>
        <v>2</v>
      </c>
      <c r="F224" s="37" t="s">
        <v>708</v>
      </c>
      <c r="G224" s="39" t="s">
        <v>714</v>
      </c>
    </row>
    <row r="225" customFormat="false" ht="15" hidden="false" customHeight="false" outlineLevel="0" collapsed="false">
      <c r="A225" s="37" t="s">
        <v>184</v>
      </c>
      <c r="B225" s="37" t="s">
        <v>191</v>
      </c>
      <c r="C225" s="37" t="s">
        <v>180</v>
      </c>
      <c r="D225" s="37" t="s">
        <v>95</v>
      </c>
      <c r="E225" s="38" t="n">
        <f aca="false">'Matrice des notes'!AF12</f>
        <v>1</v>
      </c>
      <c r="F225" s="37" t="s">
        <v>631</v>
      </c>
      <c r="G225" s="39" t="s">
        <v>654</v>
      </c>
    </row>
    <row r="226" customFormat="false" ht="15" hidden="false" customHeight="false" outlineLevel="0" collapsed="false">
      <c r="A226" s="37" t="s">
        <v>184</v>
      </c>
      <c r="B226" s="37" t="s">
        <v>191</v>
      </c>
      <c r="C226" s="37" t="s">
        <v>180</v>
      </c>
      <c r="D226" s="37" t="s">
        <v>99</v>
      </c>
      <c r="E226" s="38" t="n">
        <f aca="false">'Matrice des notes'!AG12</f>
        <v>1</v>
      </c>
      <c r="F226" s="37" t="s">
        <v>655</v>
      </c>
      <c r="G226" s="39" t="s">
        <v>656</v>
      </c>
    </row>
    <row r="227" customFormat="false" ht="15" hidden="false" customHeight="false" outlineLevel="0" collapsed="false">
      <c r="A227" s="37" t="s">
        <v>184</v>
      </c>
      <c r="B227" s="37" t="s">
        <v>191</v>
      </c>
      <c r="C227" s="37" t="s">
        <v>180</v>
      </c>
      <c r="D227" s="37" t="s">
        <v>102</v>
      </c>
      <c r="E227" s="38" t="n">
        <f aca="false">'Matrice des notes'!AH12</f>
        <v>1</v>
      </c>
      <c r="F227" s="37" t="s">
        <v>655</v>
      </c>
      <c r="G227" s="39" t="s">
        <v>656</v>
      </c>
    </row>
    <row r="228" customFormat="false" ht="15" hidden="false" customHeight="false" outlineLevel="0" collapsed="false">
      <c r="A228" s="37" t="s">
        <v>184</v>
      </c>
      <c r="B228" s="37" t="s">
        <v>191</v>
      </c>
      <c r="C228" s="37" t="s">
        <v>180</v>
      </c>
      <c r="D228" s="37" t="s">
        <v>104</v>
      </c>
      <c r="E228" s="38" t="n">
        <f aca="false">'Matrice des notes'!AI12</f>
        <v>1</v>
      </c>
      <c r="F228" s="37" t="s">
        <v>631</v>
      </c>
      <c r="G228" s="39" t="s">
        <v>654</v>
      </c>
    </row>
    <row r="229" customFormat="false" ht="15" hidden="false" customHeight="false" outlineLevel="0" collapsed="false">
      <c r="A229" s="37" t="s">
        <v>184</v>
      </c>
      <c r="B229" s="37" t="s">
        <v>191</v>
      </c>
      <c r="C229" s="37" t="s">
        <v>180</v>
      </c>
      <c r="D229" s="37" t="s">
        <v>107</v>
      </c>
      <c r="E229" s="38" t="n">
        <f aca="false">'Matrice des notes'!AJ12</f>
        <v>1</v>
      </c>
      <c r="F229" s="37" t="s">
        <v>631</v>
      </c>
      <c r="G229" s="39" t="s">
        <v>654</v>
      </c>
    </row>
    <row r="230" customFormat="false" ht="15" hidden="false" customHeight="false" outlineLevel="0" collapsed="false">
      <c r="A230" s="37" t="s">
        <v>184</v>
      </c>
      <c r="B230" s="37" t="s">
        <v>191</v>
      </c>
      <c r="C230" s="37" t="s">
        <v>180</v>
      </c>
      <c r="D230" s="37" t="s">
        <v>110</v>
      </c>
      <c r="E230" s="38" t="n">
        <f aca="false">'Matrice des notes'!AK12</f>
        <v>1</v>
      </c>
      <c r="F230" s="37" t="s">
        <v>631</v>
      </c>
      <c r="G230" s="39" t="s">
        <v>654</v>
      </c>
    </row>
    <row r="231" customFormat="false" ht="15" hidden="false" customHeight="false" outlineLevel="0" collapsed="false">
      <c r="A231" s="37" t="s">
        <v>184</v>
      </c>
      <c r="B231" s="37" t="s">
        <v>191</v>
      </c>
      <c r="C231" s="37" t="s">
        <v>180</v>
      </c>
      <c r="D231" s="37" t="s">
        <v>113</v>
      </c>
      <c r="E231" s="38" t="n">
        <f aca="false">'Matrice des notes'!AL12</f>
        <v>1</v>
      </c>
      <c r="F231" s="37" t="s">
        <v>631</v>
      </c>
      <c r="G231" s="39" t="s">
        <v>654</v>
      </c>
    </row>
    <row r="232" customFormat="false" ht="15" hidden="false" customHeight="false" outlineLevel="0" collapsed="false">
      <c r="A232" s="37" t="s">
        <v>184</v>
      </c>
      <c r="B232" s="37" t="s">
        <v>191</v>
      </c>
      <c r="C232" s="37" t="s">
        <v>180</v>
      </c>
      <c r="D232" s="37" t="s">
        <v>116</v>
      </c>
      <c r="E232" s="38" t="n">
        <f aca="false">'Matrice des notes'!AM12</f>
        <v>1</v>
      </c>
      <c r="F232" s="37" t="s">
        <v>655</v>
      </c>
      <c r="G232" s="39" t="s">
        <v>656</v>
      </c>
    </row>
    <row r="233" customFormat="false" ht="15" hidden="false" customHeight="false" outlineLevel="0" collapsed="false">
      <c r="A233" s="37" t="s">
        <v>184</v>
      </c>
      <c r="B233" s="37" t="s">
        <v>191</v>
      </c>
      <c r="C233" s="37" t="s">
        <v>180</v>
      </c>
      <c r="D233" s="37" t="s">
        <v>119</v>
      </c>
      <c r="E233" s="38" t="n">
        <f aca="false">'Matrice des notes'!AN12</f>
        <v>1</v>
      </c>
      <c r="F233" s="37" t="s">
        <v>631</v>
      </c>
      <c r="G233" s="39" t="s">
        <v>654</v>
      </c>
    </row>
    <row r="234" customFormat="false" ht="15" hidden="false" customHeight="false" outlineLevel="0" collapsed="false">
      <c r="A234" s="37" t="s">
        <v>184</v>
      </c>
      <c r="B234" s="37" t="s">
        <v>191</v>
      </c>
      <c r="C234" s="37" t="s">
        <v>180</v>
      </c>
      <c r="D234" s="37" t="s">
        <v>121</v>
      </c>
      <c r="E234" s="38" t="n">
        <f aca="false">'Matrice des notes'!AO12</f>
        <v>1</v>
      </c>
      <c r="F234" s="37" t="s">
        <v>657</v>
      </c>
      <c r="G234" s="39" t="s">
        <v>658</v>
      </c>
    </row>
    <row r="235" customFormat="false" ht="15" hidden="false" customHeight="false" outlineLevel="0" collapsed="false">
      <c r="A235" s="37" t="s">
        <v>184</v>
      </c>
      <c r="B235" s="37" t="s">
        <v>191</v>
      </c>
      <c r="C235" s="37" t="s">
        <v>180</v>
      </c>
      <c r="D235" s="37" t="s">
        <v>124</v>
      </c>
      <c r="E235" s="38" t="n">
        <f aca="false">'Matrice des notes'!AP12</f>
        <v>2</v>
      </c>
      <c r="F235" s="37" t="s">
        <v>715</v>
      </c>
      <c r="G235" s="39" t="s">
        <v>716</v>
      </c>
    </row>
    <row r="236" customFormat="false" ht="15" hidden="false" customHeight="false" outlineLevel="0" collapsed="false">
      <c r="A236" s="37" t="s">
        <v>184</v>
      </c>
      <c r="B236" s="37" t="s">
        <v>192</v>
      </c>
      <c r="C236" s="37" t="s">
        <v>178</v>
      </c>
      <c r="D236" s="37" t="s">
        <v>7</v>
      </c>
      <c r="E236" s="38" t="n">
        <f aca="false">'Matrice des notes'!D13</f>
        <v>3</v>
      </c>
      <c r="F236" s="37" t="s">
        <v>617</v>
      </c>
      <c r="G236" s="39" t="s">
        <v>618</v>
      </c>
    </row>
    <row r="237" customFormat="false" ht="15" hidden="false" customHeight="false" outlineLevel="0" collapsed="false">
      <c r="A237" s="37" t="s">
        <v>184</v>
      </c>
      <c r="B237" s="37" t="s">
        <v>192</v>
      </c>
      <c r="C237" s="37" t="s">
        <v>178</v>
      </c>
      <c r="D237" s="37" t="s">
        <v>11</v>
      </c>
      <c r="E237" s="38" t="n">
        <f aca="false">'Matrice des notes'!E13</f>
        <v>2</v>
      </c>
      <c r="F237" s="37" t="s">
        <v>693</v>
      </c>
      <c r="G237" s="39" t="s">
        <v>694</v>
      </c>
    </row>
    <row r="238" customFormat="false" ht="15" hidden="false" customHeight="false" outlineLevel="0" collapsed="false">
      <c r="A238" s="37" t="s">
        <v>184</v>
      </c>
      <c r="B238" s="37" t="s">
        <v>192</v>
      </c>
      <c r="C238" s="37" t="s">
        <v>178</v>
      </c>
      <c r="D238" s="37" t="s">
        <v>14</v>
      </c>
      <c r="E238" s="38" t="n">
        <f aca="false">'Matrice des notes'!F13</f>
        <v>2</v>
      </c>
      <c r="F238" s="37" t="s">
        <v>695</v>
      </c>
      <c r="G238" s="39" t="s">
        <v>696</v>
      </c>
    </row>
    <row r="239" customFormat="false" ht="15" hidden="false" customHeight="false" outlineLevel="0" collapsed="false">
      <c r="A239" s="37" t="s">
        <v>184</v>
      </c>
      <c r="B239" s="37" t="s">
        <v>192</v>
      </c>
      <c r="C239" s="37" t="s">
        <v>178</v>
      </c>
      <c r="D239" s="37" t="s">
        <v>17</v>
      </c>
      <c r="E239" s="38" t="n">
        <f aca="false">'Matrice des notes'!G13</f>
        <v>2</v>
      </c>
      <c r="F239" s="37" t="s">
        <v>697</v>
      </c>
      <c r="G239" s="39" t="s">
        <v>698</v>
      </c>
    </row>
    <row r="240" customFormat="false" ht="15" hidden="false" customHeight="false" outlineLevel="0" collapsed="false">
      <c r="A240" s="37" t="s">
        <v>184</v>
      </c>
      <c r="B240" s="37" t="s">
        <v>192</v>
      </c>
      <c r="C240" s="37" t="s">
        <v>178</v>
      </c>
      <c r="D240" s="37" t="s">
        <v>20</v>
      </c>
      <c r="E240" s="38" t="n">
        <f aca="false">'Matrice des notes'!H13</f>
        <v>2</v>
      </c>
      <c r="F240" s="37" t="s">
        <v>699</v>
      </c>
      <c r="G240" s="39" t="s">
        <v>700</v>
      </c>
    </row>
    <row r="241" customFormat="false" ht="15" hidden="false" customHeight="false" outlineLevel="0" collapsed="false">
      <c r="A241" s="37" t="s">
        <v>184</v>
      </c>
      <c r="B241" s="37" t="s">
        <v>192</v>
      </c>
      <c r="C241" s="37" t="s">
        <v>178</v>
      </c>
      <c r="D241" s="37" t="s">
        <v>23</v>
      </c>
      <c r="E241" s="38" t="n">
        <f aca="false">'Matrice des notes'!I13</f>
        <v>2</v>
      </c>
      <c r="F241" s="37" t="s">
        <v>697</v>
      </c>
      <c r="G241" s="39" t="s">
        <v>701</v>
      </c>
    </row>
    <row r="242" customFormat="false" ht="15" hidden="false" customHeight="false" outlineLevel="0" collapsed="false">
      <c r="A242" s="37" t="s">
        <v>184</v>
      </c>
      <c r="B242" s="37" t="s">
        <v>192</v>
      </c>
      <c r="C242" s="37" t="s">
        <v>178</v>
      </c>
      <c r="D242" s="37" t="s">
        <v>26</v>
      </c>
      <c r="E242" s="38" t="n">
        <f aca="false">'Matrice des notes'!J13</f>
        <v>2</v>
      </c>
      <c r="F242" s="37" t="s">
        <v>677</v>
      </c>
      <c r="G242" s="39" t="s">
        <v>702</v>
      </c>
    </row>
    <row r="243" customFormat="false" ht="15" hidden="false" customHeight="false" outlineLevel="0" collapsed="false">
      <c r="A243" s="37" t="s">
        <v>184</v>
      </c>
      <c r="B243" s="37" t="s">
        <v>192</v>
      </c>
      <c r="C243" s="37" t="s">
        <v>178</v>
      </c>
      <c r="D243" s="37" t="s">
        <v>30</v>
      </c>
      <c r="E243" s="38" t="n">
        <f aca="false">'Matrice des notes'!K13</f>
        <v>2</v>
      </c>
      <c r="F243" s="37" t="s">
        <v>677</v>
      </c>
      <c r="G243" s="39" t="s">
        <v>703</v>
      </c>
    </row>
    <row r="244" customFormat="false" ht="15" hidden="false" customHeight="false" outlineLevel="0" collapsed="false">
      <c r="A244" s="37" t="s">
        <v>184</v>
      </c>
      <c r="B244" s="37" t="s">
        <v>192</v>
      </c>
      <c r="C244" s="37" t="s">
        <v>178</v>
      </c>
      <c r="D244" s="37" t="s">
        <v>34</v>
      </c>
      <c r="E244" s="38" t="n">
        <f aca="false">'Matrice des notes'!L13</f>
        <v>5</v>
      </c>
      <c r="F244" s="37" t="s">
        <v>684</v>
      </c>
      <c r="G244" s="39" t="s">
        <v>685</v>
      </c>
    </row>
    <row r="245" customFormat="false" ht="15" hidden="false" customHeight="false" outlineLevel="0" collapsed="false">
      <c r="A245" s="37" t="s">
        <v>184</v>
      </c>
      <c r="B245" s="37" t="s">
        <v>192</v>
      </c>
      <c r="C245" s="37" t="s">
        <v>178</v>
      </c>
      <c r="D245" s="37" t="s">
        <v>37</v>
      </c>
      <c r="E245" s="38" t="n">
        <f aca="false">'Matrice des notes'!M13</f>
        <v>2</v>
      </c>
      <c r="F245" s="37" t="s">
        <v>631</v>
      </c>
      <c r="G245" s="39" t="s">
        <v>632</v>
      </c>
    </row>
    <row r="246" customFormat="false" ht="15" hidden="false" customHeight="false" outlineLevel="0" collapsed="false">
      <c r="A246" s="37" t="s">
        <v>184</v>
      </c>
      <c r="B246" s="37" t="s">
        <v>192</v>
      </c>
      <c r="C246" s="37" t="s">
        <v>178</v>
      </c>
      <c r="D246" s="37" t="s">
        <v>40</v>
      </c>
      <c r="E246" s="38" t="n">
        <f aca="false">'Matrice des notes'!N13</f>
        <v>2</v>
      </c>
      <c r="F246" s="37" t="s">
        <v>693</v>
      </c>
      <c r="G246" s="39" t="s">
        <v>704</v>
      </c>
    </row>
    <row r="247" customFormat="false" ht="15" hidden="false" customHeight="false" outlineLevel="0" collapsed="false">
      <c r="A247" s="37" t="s">
        <v>184</v>
      </c>
      <c r="B247" s="37" t="s">
        <v>192</v>
      </c>
      <c r="C247" s="37" t="s">
        <v>178</v>
      </c>
      <c r="D247" s="37" t="s">
        <v>43</v>
      </c>
      <c r="E247" s="38" t="n">
        <f aca="false">'Matrice des notes'!O13</f>
        <v>2</v>
      </c>
      <c r="F247" s="37" t="s">
        <v>635</v>
      </c>
      <c r="G247" s="39" t="s">
        <v>636</v>
      </c>
    </row>
    <row r="248" customFormat="false" ht="15" hidden="false" customHeight="false" outlineLevel="0" collapsed="false">
      <c r="A248" s="37" t="s">
        <v>184</v>
      </c>
      <c r="B248" s="37" t="s">
        <v>192</v>
      </c>
      <c r="C248" s="37" t="s">
        <v>178</v>
      </c>
      <c r="D248" s="37" t="s">
        <v>46</v>
      </c>
      <c r="E248" s="38" t="n">
        <f aca="false">'Matrice des notes'!P13</f>
        <v>3</v>
      </c>
      <c r="F248" s="37" t="s">
        <v>637</v>
      </c>
      <c r="G248" s="39" t="s">
        <v>638</v>
      </c>
    </row>
    <row r="249" customFormat="false" ht="15" hidden="false" customHeight="false" outlineLevel="0" collapsed="false">
      <c r="A249" s="37" t="s">
        <v>184</v>
      </c>
      <c r="B249" s="37" t="s">
        <v>192</v>
      </c>
      <c r="C249" s="37" t="s">
        <v>179</v>
      </c>
      <c r="D249" s="37" t="s">
        <v>49</v>
      </c>
      <c r="E249" s="38" t="n">
        <f aca="false">'Matrice des notes'!Q13</f>
        <v>2</v>
      </c>
      <c r="F249" s="37" t="s">
        <v>693</v>
      </c>
      <c r="G249" s="39" t="s">
        <v>706</v>
      </c>
    </row>
    <row r="250" customFormat="false" ht="15" hidden="false" customHeight="false" outlineLevel="0" collapsed="false">
      <c r="A250" s="37" t="s">
        <v>184</v>
      </c>
      <c r="B250" s="37" t="s">
        <v>192</v>
      </c>
      <c r="C250" s="37" t="s">
        <v>179</v>
      </c>
      <c r="D250" s="37" t="s">
        <v>53</v>
      </c>
      <c r="E250" s="38" t="n">
        <f aca="false">'Matrice des notes'!R13</f>
        <v>4</v>
      </c>
      <c r="F250" s="37" t="s">
        <v>641</v>
      </c>
      <c r="G250" s="39" t="s">
        <v>717</v>
      </c>
    </row>
    <row r="251" customFormat="false" ht="15" hidden="false" customHeight="false" outlineLevel="0" collapsed="false">
      <c r="A251" s="37" t="s">
        <v>184</v>
      </c>
      <c r="B251" s="37" t="s">
        <v>192</v>
      </c>
      <c r="C251" s="37" t="s">
        <v>179</v>
      </c>
      <c r="D251" s="37" t="s">
        <v>56</v>
      </c>
      <c r="E251" s="38" t="n">
        <f aca="false">'Matrice des notes'!S13</f>
        <v>3</v>
      </c>
      <c r="F251" s="37" t="s">
        <v>708</v>
      </c>
      <c r="G251" s="39" t="s">
        <v>709</v>
      </c>
    </row>
    <row r="252" customFormat="false" ht="15" hidden="false" customHeight="false" outlineLevel="0" collapsed="false">
      <c r="A252" s="37" t="s">
        <v>184</v>
      </c>
      <c r="B252" s="37" t="s">
        <v>192</v>
      </c>
      <c r="C252" s="37" t="s">
        <v>179</v>
      </c>
      <c r="D252" s="37" t="s">
        <v>59</v>
      </c>
      <c r="E252" s="38" t="n">
        <f aca="false">'Matrice des notes'!T13</f>
        <v>2</v>
      </c>
      <c r="F252" s="37" t="s">
        <v>697</v>
      </c>
      <c r="G252" s="39" t="s">
        <v>698</v>
      </c>
    </row>
    <row r="253" customFormat="false" ht="15" hidden="false" customHeight="false" outlineLevel="0" collapsed="false">
      <c r="A253" s="37" t="s">
        <v>184</v>
      </c>
      <c r="B253" s="37" t="s">
        <v>192</v>
      </c>
      <c r="C253" s="37" t="s">
        <v>179</v>
      </c>
      <c r="D253" s="37" t="s">
        <v>62</v>
      </c>
      <c r="E253" s="38" t="n">
        <f aca="false">'Matrice des notes'!U13</f>
        <v>2</v>
      </c>
      <c r="F253" s="37" t="s">
        <v>693</v>
      </c>
      <c r="G253" s="39" t="s">
        <v>710</v>
      </c>
    </row>
    <row r="254" customFormat="false" ht="15" hidden="false" customHeight="false" outlineLevel="0" collapsed="false">
      <c r="A254" s="37" t="s">
        <v>184</v>
      </c>
      <c r="B254" s="37" t="s">
        <v>192</v>
      </c>
      <c r="C254" s="37" t="s">
        <v>179</v>
      </c>
      <c r="D254" s="37" t="s">
        <v>65</v>
      </c>
      <c r="E254" s="38" t="n">
        <f aca="false">'Matrice des notes'!V13</f>
        <v>3</v>
      </c>
      <c r="F254" s="37" t="s">
        <v>637</v>
      </c>
      <c r="G254" s="39" t="s">
        <v>638</v>
      </c>
    </row>
    <row r="255" customFormat="false" ht="15" hidden="false" customHeight="false" outlineLevel="0" collapsed="false">
      <c r="A255" s="37" t="s">
        <v>184</v>
      </c>
      <c r="B255" s="37" t="s">
        <v>192</v>
      </c>
      <c r="C255" s="37" t="s">
        <v>179</v>
      </c>
      <c r="D255" s="37" t="s">
        <v>68</v>
      </c>
      <c r="E255" s="38" t="n">
        <f aca="false">'Matrice des notes'!W13</f>
        <v>2</v>
      </c>
      <c r="F255" s="37" t="s">
        <v>649</v>
      </c>
      <c r="G255" s="39" t="s">
        <v>650</v>
      </c>
    </row>
    <row r="256" customFormat="false" ht="15" hidden="false" customHeight="false" outlineLevel="0" collapsed="false">
      <c r="A256" s="37" t="s">
        <v>184</v>
      </c>
      <c r="B256" s="37" t="s">
        <v>192</v>
      </c>
      <c r="C256" s="37" t="s">
        <v>179</v>
      </c>
      <c r="D256" s="37" t="s">
        <v>71</v>
      </c>
      <c r="E256" s="38" t="n">
        <f aca="false">'Matrice des notes'!X13</f>
        <v>2</v>
      </c>
      <c r="F256" s="37" t="s">
        <v>693</v>
      </c>
      <c r="G256" s="39" t="s">
        <v>711</v>
      </c>
    </row>
    <row r="257" customFormat="false" ht="15" hidden="false" customHeight="false" outlineLevel="0" collapsed="false">
      <c r="A257" s="37" t="s">
        <v>184</v>
      </c>
      <c r="B257" s="37" t="s">
        <v>192</v>
      </c>
      <c r="C257" s="37" t="s">
        <v>179</v>
      </c>
      <c r="D257" s="37" t="s">
        <v>74</v>
      </c>
      <c r="E257" s="38" t="n">
        <f aca="false">'Matrice des notes'!Y13</f>
        <v>3</v>
      </c>
      <c r="F257" s="37" t="s">
        <v>637</v>
      </c>
      <c r="G257" s="39" t="s">
        <v>638</v>
      </c>
    </row>
    <row r="258" customFormat="false" ht="15" hidden="false" customHeight="false" outlineLevel="0" collapsed="false">
      <c r="A258" s="37" t="s">
        <v>184</v>
      </c>
      <c r="B258" s="37" t="s">
        <v>192</v>
      </c>
      <c r="C258" s="37" t="s">
        <v>179</v>
      </c>
      <c r="D258" s="37" t="s">
        <v>77</v>
      </c>
      <c r="E258" s="38" t="n">
        <f aca="false">'Matrice des notes'!Z13</f>
        <v>3</v>
      </c>
      <c r="F258" s="37" t="s">
        <v>637</v>
      </c>
      <c r="G258" s="39" t="s">
        <v>638</v>
      </c>
    </row>
    <row r="259" customFormat="false" ht="15" hidden="false" customHeight="false" outlineLevel="0" collapsed="false">
      <c r="A259" s="37" t="s">
        <v>184</v>
      </c>
      <c r="B259" s="37" t="s">
        <v>192</v>
      </c>
      <c r="C259" s="37" t="s">
        <v>179</v>
      </c>
      <c r="D259" s="37" t="s">
        <v>80</v>
      </c>
      <c r="E259" s="38" t="n">
        <f aca="false">'Matrice des notes'!AA13</f>
        <v>3</v>
      </c>
      <c r="F259" s="37" t="s">
        <v>637</v>
      </c>
      <c r="G259" s="39" t="s">
        <v>638</v>
      </c>
    </row>
    <row r="260" customFormat="false" ht="15" hidden="false" customHeight="false" outlineLevel="0" collapsed="false">
      <c r="A260" s="37" t="s">
        <v>184</v>
      </c>
      <c r="B260" s="37" t="s">
        <v>192</v>
      </c>
      <c r="C260" s="37" t="s">
        <v>179</v>
      </c>
      <c r="D260" s="37" t="s">
        <v>83</v>
      </c>
      <c r="E260" s="38" t="n">
        <f aca="false">'Matrice des notes'!AB13</f>
        <v>3</v>
      </c>
      <c r="F260" s="37" t="s">
        <v>712</v>
      </c>
      <c r="G260" s="39" t="s">
        <v>713</v>
      </c>
    </row>
    <row r="261" customFormat="false" ht="15" hidden="false" customHeight="false" outlineLevel="0" collapsed="false">
      <c r="A261" s="37" t="s">
        <v>184</v>
      </c>
      <c r="B261" s="37" t="s">
        <v>192</v>
      </c>
      <c r="C261" s="37" t="s">
        <v>179</v>
      </c>
      <c r="D261" s="37" t="s">
        <v>86</v>
      </c>
      <c r="E261" s="38" t="n">
        <f aca="false">'Matrice des notes'!AC13</f>
        <v>2</v>
      </c>
      <c r="F261" s="37" t="s">
        <v>637</v>
      </c>
      <c r="G261" s="39" t="s">
        <v>638</v>
      </c>
    </row>
    <row r="262" customFormat="false" ht="15" hidden="false" customHeight="false" outlineLevel="0" collapsed="false">
      <c r="A262" s="37" t="s">
        <v>184</v>
      </c>
      <c r="B262" s="37" t="s">
        <v>192</v>
      </c>
      <c r="C262" s="37" t="s">
        <v>179</v>
      </c>
      <c r="D262" s="37" t="s">
        <v>89</v>
      </c>
      <c r="E262" s="38" t="n">
        <f aca="false">'Matrice des notes'!AD13</f>
        <v>3</v>
      </c>
      <c r="F262" s="37" t="s">
        <v>637</v>
      </c>
      <c r="G262" s="39" t="s">
        <v>638</v>
      </c>
    </row>
    <row r="263" customFormat="false" ht="15" hidden="false" customHeight="false" outlineLevel="0" collapsed="false">
      <c r="A263" s="37" t="s">
        <v>184</v>
      </c>
      <c r="B263" s="37" t="s">
        <v>192</v>
      </c>
      <c r="C263" s="37" t="s">
        <v>179</v>
      </c>
      <c r="D263" s="37" t="s">
        <v>92</v>
      </c>
      <c r="E263" s="38" t="n">
        <f aca="false">'Matrice des notes'!AE13</f>
        <v>2</v>
      </c>
      <c r="F263" s="37" t="s">
        <v>718</v>
      </c>
      <c r="G263" s="39" t="s">
        <v>719</v>
      </c>
    </row>
    <row r="264" customFormat="false" ht="15" hidden="false" customHeight="false" outlineLevel="0" collapsed="false">
      <c r="A264" s="37" t="s">
        <v>184</v>
      </c>
      <c r="B264" s="37" t="s">
        <v>192</v>
      </c>
      <c r="C264" s="37" t="s">
        <v>180</v>
      </c>
      <c r="D264" s="37" t="s">
        <v>95</v>
      </c>
      <c r="E264" s="38" t="n">
        <f aca="false">'Matrice des notes'!AF13</f>
        <v>1</v>
      </c>
      <c r="F264" s="37" t="s">
        <v>631</v>
      </c>
      <c r="G264" s="39" t="s">
        <v>654</v>
      </c>
    </row>
    <row r="265" customFormat="false" ht="15" hidden="false" customHeight="false" outlineLevel="0" collapsed="false">
      <c r="A265" s="37" t="s">
        <v>184</v>
      </c>
      <c r="B265" s="37" t="s">
        <v>192</v>
      </c>
      <c r="C265" s="37" t="s">
        <v>180</v>
      </c>
      <c r="D265" s="37" t="s">
        <v>99</v>
      </c>
      <c r="E265" s="38" t="n">
        <f aca="false">'Matrice des notes'!AG13</f>
        <v>1</v>
      </c>
      <c r="F265" s="37" t="s">
        <v>655</v>
      </c>
      <c r="G265" s="39" t="s">
        <v>656</v>
      </c>
    </row>
    <row r="266" customFormat="false" ht="15" hidden="false" customHeight="false" outlineLevel="0" collapsed="false">
      <c r="A266" s="37" t="s">
        <v>184</v>
      </c>
      <c r="B266" s="37" t="s">
        <v>192</v>
      </c>
      <c r="C266" s="37" t="s">
        <v>180</v>
      </c>
      <c r="D266" s="37" t="s">
        <v>102</v>
      </c>
      <c r="E266" s="38" t="n">
        <f aca="false">'Matrice des notes'!AH13</f>
        <v>1</v>
      </c>
      <c r="F266" s="37" t="s">
        <v>655</v>
      </c>
      <c r="G266" s="39" t="s">
        <v>656</v>
      </c>
    </row>
    <row r="267" customFormat="false" ht="15" hidden="false" customHeight="false" outlineLevel="0" collapsed="false">
      <c r="A267" s="37" t="s">
        <v>184</v>
      </c>
      <c r="B267" s="37" t="s">
        <v>192</v>
      </c>
      <c r="C267" s="37" t="s">
        <v>180</v>
      </c>
      <c r="D267" s="37" t="s">
        <v>104</v>
      </c>
      <c r="E267" s="38" t="n">
        <f aca="false">'Matrice des notes'!AI13</f>
        <v>1</v>
      </c>
      <c r="F267" s="37" t="s">
        <v>631</v>
      </c>
      <c r="G267" s="39" t="s">
        <v>654</v>
      </c>
    </row>
    <row r="268" customFormat="false" ht="15" hidden="false" customHeight="false" outlineLevel="0" collapsed="false">
      <c r="A268" s="37" t="s">
        <v>184</v>
      </c>
      <c r="B268" s="37" t="s">
        <v>192</v>
      </c>
      <c r="C268" s="37" t="s">
        <v>180</v>
      </c>
      <c r="D268" s="37" t="s">
        <v>107</v>
      </c>
      <c r="E268" s="38" t="n">
        <f aca="false">'Matrice des notes'!AJ13</f>
        <v>1</v>
      </c>
      <c r="F268" s="37" t="s">
        <v>631</v>
      </c>
      <c r="G268" s="39" t="s">
        <v>654</v>
      </c>
    </row>
    <row r="269" customFormat="false" ht="15" hidden="false" customHeight="false" outlineLevel="0" collapsed="false">
      <c r="A269" s="37" t="s">
        <v>184</v>
      </c>
      <c r="B269" s="37" t="s">
        <v>192</v>
      </c>
      <c r="C269" s="37" t="s">
        <v>180</v>
      </c>
      <c r="D269" s="37" t="s">
        <v>110</v>
      </c>
      <c r="E269" s="38" t="n">
        <f aca="false">'Matrice des notes'!AK13</f>
        <v>1</v>
      </c>
      <c r="F269" s="37" t="s">
        <v>631</v>
      </c>
      <c r="G269" s="39" t="s">
        <v>654</v>
      </c>
    </row>
    <row r="270" customFormat="false" ht="15" hidden="false" customHeight="false" outlineLevel="0" collapsed="false">
      <c r="A270" s="37" t="s">
        <v>184</v>
      </c>
      <c r="B270" s="37" t="s">
        <v>192</v>
      </c>
      <c r="C270" s="37" t="s">
        <v>180</v>
      </c>
      <c r="D270" s="37" t="s">
        <v>113</v>
      </c>
      <c r="E270" s="38" t="n">
        <f aca="false">'Matrice des notes'!AL13</f>
        <v>1</v>
      </c>
      <c r="F270" s="37" t="s">
        <v>631</v>
      </c>
      <c r="G270" s="39" t="s">
        <v>654</v>
      </c>
    </row>
    <row r="271" customFormat="false" ht="15" hidden="false" customHeight="false" outlineLevel="0" collapsed="false">
      <c r="A271" s="37" t="s">
        <v>184</v>
      </c>
      <c r="B271" s="37" t="s">
        <v>192</v>
      </c>
      <c r="C271" s="37" t="s">
        <v>180</v>
      </c>
      <c r="D271" s="37" t="s">
        <v>116</v>
      </c>
      <c r="E271" s="38" t="n">
        <f aca="false">'Matrice des notes'!AM13</f>
        <v>1</v>
      </c>
      <c r="F271" s="37" t="s">
        <v>655</v>
      </c>
      <c r="G271" s="39" t="s">
        <v>656</v>
      </c>
    </row>
    <row r="272" customFormat="false" ht="15" hidden="false" customHeight="false" outlineLevel="0" collapsed="false">
      <c r="A272" s="37" t="s">
        <v>184</v>
      </c>
      <c r="B272" s="37" t="s">
        <v>192</v>
      </c>
      <c r="C272" s="37" t="s">
        <v>180</v>
      </c>
      <c r="D272" s="37" t="s">
        <v>119</v>
      </c>
      <c r="E272" s="38" t="n">
        <f aca="false">'Matrice des notes'!AN13</f>
        <v>1</v>
      </c>
      <c r="F272" s="37" t="s">
        <v>631</v>
      </c>
      <c r="G272" s="39" t="s">
        <v>654</v>
      </c>
    </row>
    <row r="273" customFormat="false" ht="15" hidden="false" customHeight="false" outlineLevel="0" collapsed="false">
      <c r="A273" s="37" t="s">
        <v>184</v>
      </c>
      <c r="B273" s="37" t="s">
        <v>192</v>
      </c>
      <c r="C273" s="37" t="s">
        <v>180</v>
      </c>
      <c r="D273" s="37" t="s">
        <v>121</v>
      </c>
      <c r="E273" s="38" t="n">
        <f aca="false">'Matrice des notes'!AO13</f>
        <v>1</v>
      </c>
      <c r="F273" s="37" t="s">
        <v>657</v>
      </c>
      <c r="G273" s="39" t="s">
        <v>658</v>
      </c>
    </row>
    <row r="274" customFormat="false" ht="15" hidden="false" customHeight="false" outlineLevel="0" collapsed="false">
      <c r="A274" s="37" t="s">
        <v>184</v>
      </c>
      <c r="B274" s="37" t="s">
        <v>192</v>
      </c>
      <c r="C274" s="37" t="s">
        <v>180</v>
      </c>
      <c r="D274" s="37" t="s">
        <v>124</v>
      </c>
      <c r="E274" s="38" t="n">
        <f aca="false">'Matrice des notes'!AP13</f>
        <v>2</v>
      </c>
      <c r="F274" s="37" t="s">
        <v>715</v>
      </c>
      <c r="G274" s="39" t="s">
        <v>716</v>
      </c>
    </row>
    <row r="275" customFormat="false" ht="15" hidden="false" customHeight="false" outlineLevel="0" collapsed="false">
      <c r="A275" s="37" t="s">
        <v>184</v>
      </c>
      <c r="B275" s="37" t="s">
        <v>193</v>
      </c>
      <c r="C275" s="37" t="s">
        <v>178</v>
      </c>
      <c r="D275" s="37" t="s">
        <v>7</v>
      </c>
      <c r="E275" s="38" t="n">
        <f aca="false">'Matrice des notes'!D14</f>
        <v>1</v>
      </c>
      <c r="F275" s="37" t="s">
        <v>720</v>
      </c>
      <c r="G275" s="39" t="s">
        <v>721</v>
      </c>
    </row>
    <row r="276" customFormat="false" ht="15" hidden="false" customHeight="false" outlineLevel="0" collapsed="false">
      <c r="A276" s="37" t="s">
        <v>184</v>
      </c>
      <c r="B276" s="37" t="s">
        <v>193</v>
      </c>
      <c r="C276" s="37" t="s">
        <v>178</v>
      </c>
      <c r="D276" s="37" t="s">
        <v>11</v>
      </c>
      <c r="E276" s="38" t="n">
        <f aca="false">'Matrice des notes'!E14</f>
        <v>1</v>
      </c>
      <c r="F276" s="37" t="s">
        <v>722</v>
      </c>
      <c r="G276" s="39" t="s">
        <v>723</v>
      </c>
    </row>
    <row r="277" customFormat="false" ht="15" hidden="false" customHeight="false" outlineLevel="0" collapsed="false">
      <c r="A277" s="37" t="s">
        <v>184</v>
      </c>
      <c r="B277" s="37" t="s">
        <v>193</v>
      </c>
      <c r="C277" s="37" t="s">
        <v>178</v>
      </c>
      <c r="D277" s="37" t="s">
        <v>14</v>
      </c>
      <c r="E277" s="38" t="n">
        <f aca="false">'Matrice des notes'!F14</f>
        <v>2</v>
      </c>
      <c r="F277" s="37" t="s">
        <v>677</v>
      </c>
      <c r="G277" s="39" t="s">
        <v>678</v>
      </c>
    </row>
    <row r="278" customFormat="false" ht="15" hidden="false" customHeight="false" outlineLevel="0" collapsed="false">
      <c r="A278" s="37" t="s">
        <v>184</v>
      </c>
      <c r="B278" s="37" t="s">
        <v>193</v>
      </c>
      <c r="C278" s="37" t="s">
        <v>178</v>
      </c>
      <c r="D278" s="37" t="s">
        <v>17</v>
      </c>
      <c r="E278" s="38" t="n">
        <f aca="false">'Matrice des notes'!G14</f>
        <v>2</v>
      </c>
      <c r="F278" s="37" t="s">
        <v>675</v>
      </c>
      <c r="G278" s="39" t="s">
        <v>676</v>
      </c>
    </row>
    <row r="279" customFormat="false" ht="15" hidden="false" customHeight="false" outlineLevel="0" collapsed="false">
      <c r="A279" s="37" t="s">
        <v>184</v>
      </c>
      <c r="B279" s="37" t="s">
        <v>193</v>
      </c>
      <c r="C279" s="37" t="s">
        <v>178</v>
      </c>
      <c r="D279" s="37" t="s">
        <v>20</v>
      </c>
      <c r="E279" s="38" t="n">
        <f aca="false">'Matrice des notes'!H14</f>
        <v>1</v>
      </c>
      <c r="F279" s="37" t="s">
        <v>722</v>
      </c>
      <c r="G279" s="39" t="s">
        <v>723</v>
      </c>
    </row>
    <row r="280" customFormat="false" ht="15" hidden="false" customHeight="false" outlineLevel="0" collapsed="false">
      <c r="A280" s="37" t="s">
        <v>184</v>
      </c>
      <c r="B280" s="37" t="s">
        <v>193</v>
      </c>
      <c r="C280" s="37" t="s">
        <v>178</v>
      </c>
      <c r="D280" s="37" t="s">
        <v>23</v>
      </c>
      <c r="E280" s="38" t="n">
        <f aca="false">'Matrice des notes'!I14</f>
        <v>2</v>
      </c>
      <c r="F280" s="37" t="s">
        <v>675</v>
      </c>
      <c r="G280" s="39" t="s">
        <v>676</v>
      </c>
    </row>
    <row r="281" customFormat="false" ht="15" hidden="false" customHeight="false" outlineLevel="0" collapsed="false">
      <c r="A281" s="37" t="s">
        <v>184</v>
      </c>
      <c r="B281" s="37" t="s">
        <v>193</v>
      </c>
      <c r="C281" s="37" t="s">
        <v>178</v>
      </c>
      <c r="D281" s="37" t="s">
        <v>26</v>
      </c>
      <c r="E281" s="38" t="n">
        <f aca="false">'Matrice des notes'!J14</f>
        <v>2</v>
      </c>
      <c r="F281" s="37" t="s">
        <v>677</v>
      </c>
      <c r="G281" s="39" t="s">
        <v>678</v>
      </c>
    </row>
    <row r="282" customFormat="false" ht="15" hidden="false" customHeight="false" outlineLevel="0" collapsed="false">
      <c r="A282" s="37" t="s">
        <v>184</v>
      </c>
      <c r="B282" s="37" t="s">
        <v>193</v>
      </c>
      <c r="C282" s="37" t="s">
        <v>178</v>
      </c>
      <c r="D282" s="37" t="s">
        <v>30</v>
      </c>
      <c r="E282" s="38" t="n">
        <f aca="false">'Matrice des notes'!K14</f>
        <v>2</v>
      </c>
      <c r="F282" s="37" t="s">
        <v>677</v>
      </c>
      <c r="G282" s="39" t="s">
        <v>678</v>
      </c>
    </row>
    <row r="283" customFormat="false" ht="15" hidden="false" customHeight="false" outlineLevel="0" collapsed="false">
      <c r="A283" s="37" t="s">
        <v>184</v>
      </c>
      <c r="B283" s="37" t="s">
        <v>193</v>
      </c>
      <c r="C283" s="37" t="s">
        <v>178</v>
      </c>
      <c r="D283" s="37" t="s">
        <v>34</v>
      </c>
      <c r="E283" s="38" t="n">
        <f aca="false">'Matrice des notes'!L14</f>
        <v>3</v>
      </c>
      <c r="F283" s="37" t="s">
        <v>675</v>
      </c>
      <c r="G283" s="39" t="s">
        <v>676</v>
      </c>
    </row>
    <row r="284" customFormat="false" ht="15" hidden="false" customHeight="false" outlineLevel="0" collapsed="false">
      <c r="A284" s="37" t="s">
        <v>184</v>
      </c>
      <c r="B284" s="37" t="s">
        <v>193</v>
      </c>
      <c r="C284" s="37" t="s">
        <v>178</v>
      </c>
      <c r="D284" s="37" t="s">
        <v>37</v>
      </c>
      <c r="E284" s="38" t="n">
        <f aca="false">'Matrice des notes'!M14</f>
        <v>1</v>
      </c>
      <c r="F284" s="37" t="s">
        <v>679</v>
      </c>
      <c r="G284" s="39" t="s">
        <v>680</v>
      </c>
    </row>
    <row r="285" customFormat="false" ht="15" hidden="false" customHeight="false" outlineLevel="0" collapsed="false">
      <c r="A285" s="37" t="s">
        <v>184</v>
      </c>
      <c r="B285" s="37" t="s">
        <v>193</v>
      </c>
      <c r="C285" s="37" t="s">
        <v>178</v>
      </c>
      <c r="D285" s="37" t="s">
        <v>40</v>
      </c>
      <c r="E285" s="38" t="n">
        <f aca="false">'Matrice des notes'!N14</f>
        <v>1</v>
      </c>
      <c r="F285" s="37" t="s">
        <v>722</v>
      </c>
      <c r="G285" s="39" t="s">
        <v>723</v>
      </c>
    </row>
    <row r="286" customFormat="false" ht="15" hidden="false" customHeight="false" outlineLevel="0" collapsed="false">
      <c r="A286" s="37" t="s">
        <v>184</v>
      </c>
      <c r="B286" s="37" t="s">
        <v>193</v>
      </c>
      <c r="C286" s="37" t="s">
        <v>178</v>
      </c>
      <c r="D286" s="37" t="s">
        <v>43</v>
      </c>
      <c r="E286" s="38" t="n">
        <f aca="false">'Matrice des notes'!O14</f>
        <v>3</v>
      </c>
      <c r="F286" s="37" t="s">
        <v>635</v>
      </c>
      <c r="G286" s="39" t="s">
        <v>724</v>
      </c>
    </row>
    <row r="287" customFormat="false" ht="15" hidden="false" customHeight="false" outlineLevel="0" collapsed="false">
      <c r="A287" s="37" t="s">
        <v>184</v>
      </c>
      <c r="B287" s="37" t="s">
        <v>193</v>
      </c>
      <c r="C287" s="37" t="s">
        <v>178</v>
      </c>
      <c r="D287" s="37" t="s">
        <v>46</v>
      </c>
      <c r="E287" s="38" t="n">
        <f aca="false">'Matrice des notes'!P14</f>
        <v>3</v>
      </c>
      <c r="F287" s="37" t="s">
        <v>675</v>
      </c>
      <c r="G287" s="39" t="s">
        <v>676</v>
      </c>
    </row>
    <row r="288" customFormat="false" ht="15" hidden="false" customHeight="false" outlineLevel="0" collapsed="false">
      <c r="A288" s="37" t="s">
        <v>184</v>
      </c>
      <c r="B288" s="37" t="s">
        <v>193</v>
      </c>
      <c r="C288" s="37" t="s">
        <v>179</v>
      </c>
      <c r="D288" s="37" t="s">
        <v>49</v>
      </c>
      <c r="E288" s="38" t="n">
        <f aca="false">'Matrice des notes'!Q14</f>
        <v>2</v>
      </c>
      <c r="F288" s="37" t="s">
        <v>675</v>
      </c>
      <c r="G288" s="39" t="s">
        <v>676</v>
      </c>
    </row>
    <row r="289" customFormat="false" ht="15" hidden="false" customHeight="false" outlineLevel="0" collapsed="false">
      <c r="A289" s="37" t="s">
        <v>184</v>
      </c>
      <c r="B289" s="37" t="s">
        <v>193</v>
      </c>
      <c r="C289" s="37" t="s">
        <v>179</v>
      </c>
      <c r="D289" s="37" t="s">
        <v>53</v>
      </c>
      <c r="E289" s="38" t="n">
        <f aca="false">'Matrice des notes'!R14</f>
        <v>3</v>
      </c>
      <c r="F289" s="37" t="s">
        <v>675</v>
      </c>
      <c r="G289" s="39" t="s">
        <v>676</v>
      </c>
    </row>
    <row r="290" customFormat="false" ht="15" hidden="false" customHeight="false" outlineLevel="0" collapsed="false">
      <c r="A290" s="37" t="s">
        <v>184</v>
      </c>
      <c r="B290" s="37" t="s">
        <v>193</v>
      </c>
      <c r="C290" s="37" t="s">
        <v>179</v>
      </c>
      <c r="D290" s="37" t="s">
        <v>56</v>
      </c>
      <c r="E290" s="38" t="n">
        <f aca="false">'Matrice des notes'!S14</f>
        <v>3</v>
      </c>
      <c r="F290" s="37" t="s">
        <v>675</v>
      </c>
      <c r="G290" s="39" t="s">
        <v>676</v>
      </c>
    </row>
    <row r="291" customFormat="false" ht="15" hidden="false" customHeight="false" outlineLevel="0" collapsed="false">
      <c r="A291" s="37" t="s">
        <v>184</v>
      </c>
      <c r="B291" s="37" t="s">
        <v>193</v>
      </c>
      <c r="C291" s="37" t="s">
        <v>179</v>
      </c>
      <c r="D291" s="37" t="s">
        <v>59</v>
      </c>
      <c r="E291" s="38" t="n">
        <f aca="false">'Matrice des notes'!T14</f>
        <v>2</v>
      </c>
      <c r="F291" s="37" t="s">
        <v>675</v>
      </c>
      <c r="G291" s="39" t="s">
        <v>676</v>
      </c>
    </row>
    <row r="292" customFormat="false" ht="15" hidden="false" customHeight="false" outlineLevel="0" collapsed="false">
      <c r="A292" s="37" t="s">
        <v>184</v>
      </c>
      <c r="B292" s="37" t="s">
        <v>193</v>
      </c>
      <c r="C292" s="37" t="s">
        <v>179</v>
      </c>
      <c r="D292" s="37" t="s">
        <v>62</v>
      </c>
      <c r="E292" s="38" t="n">
        <f aca="false">'Matrice des notes'!U14</f>
        <v>2</v>
      </c>
      <c r="F292" s="37" t="s">
        <v>675</v>
      </c>
      <c r="G292" s="39" t="s">
        <v>676</v>
      </c>
    </row>
    <row r="293" customFormat="false" ht="15" hidden="false" customHeight="false" outlineLevel="0" collapsed="false">
      <c r="A293" s="37" t="s">
        <v>184</v>
      </c>
      <c r="B293" s="37" t="s">
        <v>193</v>
      </c>
      <c r="C293" s="37" t="s">
        <v>179</v>
      </c>
      <c r="D293" s="37" t="s">
        <v>65</v>
      </c>
      <c r="E293" s="38" t="n">
        <f aca="false">'Matrice des notes'!V14</f>
        <v>5</v>
      </c>
      <c r="F293" s="37" t="s">
        <v>725</v>
      </c>
      <c r="G293" s="39" t="s">
        <v>726</v>
      </c>
    </row>
    <row r="294" customFormat="false" ht="15" hidden="false" customHeight="false" outlineLevel="0" collapsed="false">
      <c r="A294" s="37" t="s">
        <v>184</v>
      </c>
      <c r="B294" s="37" t="s">
        <v>193</v>
      </c>
      <c r="C294" s="37" t="s">
        <v>179</v>
      </c>
      <c r="D294" s="37" t="s">
        <v>68</v>
      </c>
      <c r="E294" s="38" t="n">
        <f aca="false">'Matrice des notes'!W14</f>
        <v>2</v>
      </c>
      <c r="F294" s="37" t="s">
        <v>649</v>
      </c>
      <c r="G294" s="39" t="s">
        <v>650</v>
      </c>
    </row>
    <row r="295" customFormat="false" ht="15" hidden="false" customHeight="false" outlineLevel="0" collapsed="false">
      <c r="A295" s="37" t="s">
        <v>184</v>
      </c>
      <c r="B295" s="37" t="s">
        <v>193</v>
      </c>
      <c r="C295" s="37" t="s">
        <v>179</v>
      </c>
      <c r="D295" s="37" t="s">
        <v>71</v>
      </c>
      <c r="E295" s="38" t="n">
        <f aca="false">'Matrice des notes'!X14</f>
        <v>2</v>
      </c>
      <c r="F295" s="37" t="s">
        <v>675</v>
      </c>
      <c r="G295" s="39" t="s">
        <v>676</v>
      </c>
    </row>
    <row r="296" customFormat="false" ht="15" hidden="false" customHeight="false" outlineLevel="0" collapsed="false">
      <c r="A296" s="37" t="s">
        <v>184</v>
      </c>
      <c r="B296" s="37" t="s">
        <v>193</v>
      </c>
      <c r="C296" s="37" t="s">
        <v>179</v>
      </c>
      <c r="D296" s="37" t="s">
        <v>74</v>
      </c>
      <c r="E296" s="38" t="n">
        <f aca="false">'Matrice des notes'!Y14</f>
        <v>5</v>
      </c>
      <c r="F296" s="37" t="s">
        <v>727</v>
      </c>
      <c r="G296" s="39" t="s">
        <v>728</v>
      </c>
    </row>
    <row r="297" customFormat="false" ht="15" hidden="false" customHeight="false" outlineLevel="0" collapsed="false">
      <c r="A297" s="37" t="s">
        <v>184</v>
      </c>
      <c r="B297" s="37" t="s">
        <v>193</v>
      </c>
      <c r="C297" s="37" t="s">
        <v>179</v>
      </c>
      <c r="D297" s="37" t="s">
        <v>77</v>
      </c>
      <c r="E297" s="38" t="n">
        <f aca="false">'Matrice des notes'!Z14</f>
        <v>3</v>
      </c>
      <c r="F297" s="37" t="s">
        <v>675</v>
      </c>
      <c r="G297" s="39" t="s">
        <v>676</v>
      </c>
    </row>
    <row r="298" customFormat="false" ht="15" hidden="false" customHeight="false" outlineLevel="0" collapsed="false">
      <c r="A298" s="37" t="s">
        <v>184</v>
      </c>
      <c r="B298" s="37" t="s">
        <v>193</v>
      </c>
      <c r="C298" s="37" t="s">
        <v>179</v>
      </c>
      <c r="D298" s="37" t="s">
        <v>80</v>
      </c>
      <c r="E298" s="38" t="n">
        <f aca="false">'Matrice des notes'!AA14</f>
        <v>4</v>
      </c>
      <c r="F298" s="37" t="s">
        <v>623</v>
      </c>
      <c r="G298" s="39" t="s">
        <v>729</v>
      </c>
    </row>
    <row r="299" customFormat="false" ht="15" hidden="false" customHeight="false" outlineLevel="0" collapsed="false">
      <c r="A299" s="37" t="s">
        <v>184</v>
      </c>
      <c r="B299" s="37" t="s">
        <v>193</v>
      </c>
      <c r="C299" s="37" t="s">
        <v>179</v>
      </c>
      <c r="D299" s="37" t="s">
        <v>83</v>
      </c>
      <c r="E299" s="38" t="n">
        <f aca="false">'Matrice des notes'!AB14</f>
        <v>3</v>
      </c>
      <c r="F299" s="37" t="s">
        <v>675</v>
      </c>
      <c r="G299" s="39" t="s">
        <v>676</v>
      </c>
    </row>
    <row r="300" customFormat="false" ht="15" hidden="false" customHeight="false" outlineLevel="0" collapsed="false">
      <c r="A300" s="37" t="s">
        <v>184</v>
      </c>
      <c r="B300" s="37" t="s">
        <v>193</v>
      </c>
      <c r="C300" s="37" t="s">
        <v>179</v>
      </c>
      <c r="D300" s="37" t="s">
        <v>86</v>
      </c>
      <c r="E300" s="38" t="n">
        <f aca="false">'Matrice des notes'!AC14</f>
        <v>2</v>
      </c>
      <c r="F300" s="37" t="s">
        <v>652</v>
      </c>
      <c r="G300" s="39" t="s">
        <v>653</v>
      </c>
    </row>
    <row r="301" customFormat="false" ht="15" hidden="false" customHeight="false" outlineLevel="0" collapsed="false">
      <c r="A301" s="37" t="s">
        <v>184</v>
      </c>
      <c r="B301" s="37" t="s">
        <v>193</v>
      </c>
      <c r="C301" s="37" t="s">
        <v>179</v>
      </c>
      <c r="D301" s="37" t="s">
        <v>89</v>
      </c>
      <c r="E301" s="38" t="n">
        <f aca="false">'Matrice des notes'!AD14</f>
        <v>3</v>
      </c>
      <c r="F301" s="37" t="s">
        <v>652</v>
      </c>
      <c r="G301" s="39" t="s">
        <v>653</v>
      </c>
    </row>
    <row r="302" customFormat="false" ht="15" hidden="false" customHeight="false" outlineLevel="0" collapsed="false">
      <c r="A302" s="37" t="s">
        <v>184</v>
      </c>
      <c r="B302" s="37" t="s">
        <v>193</v>
      </c>
      <c r="C302" s="37" t="s">
        <v>179</v>
      </c>
      <c r="D302" s="37" t="s">
        <v>92</v>
      </c>
      <c r="E302" s="38" t="n">
        <f aca="false">'Matrice des notes'!AE14</f>
        <v>2</v>
      </c>
      <c r="F302" s="37" t="s">
        <v>652</v>
      </c>
      <c r="G302" s="39" t="s">
        <v>653</v>
      </c>
    </row>
    <row r="303" customFormat="false" ht="15" hidden="false" customHeight="false" outlineLevel="0" collapsed="false">
      <c r="A303" s="37" t="s">
        <v>184</v>
      </c>
      <c r="B303" s="37" t="s">
        <v>193</v>
      </c>
      <c r="C303" s="37" t="s">
        <v>180</v>
      </c>
      <c r="D303" s="37" t="s">
        <v>95</v>
      </c>
      <c r="E303" s="38" t="n">
        <f aca="false">'Matrice des notes'!AF14</f>
        <v>1</v>
      </c>
      <c r="F303" s="37" t="s">
        <v>631</v>
      </c>
      <c r="G303" s="39" t="s">
        <v>654</v>
      </c>
    </row>
    <row r="304" customFormat="false" ht="15" hidden="false" customHeight="false" outlineLevel="0" collapsed="false">
      <c r="A304" s="37" t="s">
        <v>184</v>
      </c>
      <c r="B304" s="37" t="s">
        <v>193</v>
      </c>
      <c r="C304" s="37" t="s">
        <v>180</v>
      </c>
      <c r="D304" s="37" t="s">
        <v>99</v>
      </c>
      <c r="E304" s="38" t="n">
        <f aca="false">'Matrice des notes'!AG14</f>
        <v>1</v>
      </c>
      <c r="F304" s="37" t="s">
        <v>655</v>
      </c>
      <c r="G304" s="39" t="s">
        <v>656</v>
      </c>
    </row>
    <row r="305" customFormat="false" ht="15" hidden="false" customHeight="false" outlineLevel="0" collapsed="false">
      <c r="A305" s="37" t="s">
        <v>184</v>
      </c>
      <c r="B305" s="37" t="s">
        <v>193</v>
      </c>
      <c r="C305" s="37" t="s">
        <v>180</v>
      </c>
      <c r="D305" s="37" t="s">
        <v>102</v>
      </c>
      <c r="E305" s="38" t="n">
        <f aca="false">'Matrice des notes'!AH14</f>
        <v>1</v>
      </c>
      <c r="F305" s="37" t="s">
        <v>655</v>
      </c>
      <c r="G305" s="39" t="s">
        <v>656</v>
      </c>
    </row>
    <row r="306" customFormat="false" ht="15" hidden="false" customHeight="false" outlineLevel="0" collapsed="false">
      <c r="A306" s="37" t="s">
        <v>184</v>
      </c>
      <c r="B306" s="37" t="s">
        <v>193</v>
      </c>
      <c r="C306" s="37" t="s">
        <v>180</v>
      </c>
      <c r="D306" s="37" t="s">
        <v>104</v>
      </c>
      <c r="E306" s="38" t="n">
        <f aca="false">'Matrice des notes'!AI14</f>
        <v>1</v>
      </c>
      <c r="F306" s="37" t="s">
        <v>631</v>
      </c>
      <c r="G306" s="39" t="s">
        <v>654</v>
      </c>
    </row>
    <row r="307" customFormat="false" ht="15" hidden="false" customHeight="false" outlineLevel="0" collapsed="false">
      <c r="A307" s="37" t="s">
        <v>184</v>
      </c>
      <c r="B307" s="37" t="s">
        <v>193</v>
      </c>
      <c r="C307" s="37" t="s">
        <v>180</v>
      </c>
      <c r="D307" s="37" t="s">
        <v>107</v>
      </c>
      <c r="E307" s="38" t="n">
        <f aca="false">'Matrice des notes'!AJ14</f>
        <v>1</v>
      </c>
      <c r="F307" s="37" t="s">
        <v>631</v>
      </c>
      <c r="G307" s="39" t="s">
        <v>654</v>
      </c>
    </row>
    <row r="308" customFormat="false" ht="15" hidden="false" customHeight="false" outlineLevel="0" collapsed="false">
      <c r="A308" s="37" t="s">
        <v>184</v>
      </c>
      <c r="B308" s="37" t="s">
        <v>193</v>
      </c>
      <c r="C308" s="37" t="s">
        <v>180</v>
      </c>
      <c r="D308" s="37" t="s">
        <v>110</v>
      </c>
      <c r="E308" s="38" t="n">
        <f aca="false">'Matrice des notes'!AK14</f>
        <v>1</v>
      </c>
      <c r="F308" s="37" t="s">
        <v>631</v>
      </c>
      <c r="G308" s="39" t="s">
        <v>654</v>
      </c>
    </row>
    <row r="309" customFormat="false" ht="15" hidden="false" customHeight="false" outlineLevel="0" collapsed="false">
      <c r="A309" s="37" t="s">
        <v>184</v>
      </c>
      <c r="B309" s="37" t="s">
        <v>193</v>
      </c>
      <c r="C309" s="37" t="s">
        <v>180</v>
      </c>
      <c r="D309" s="37" t="s">
        <v>113</v>
      </c>
      <c r="E309" s="38" t="n">
        <f aca="false">'Matrice des notes'!AL14</f>
        <v>1</v>
      </c>
      <c r="F309" s="37" t="s">
        <v>631</v>
      </c>
      <c r="G309" s="39" t="s">
        <v>654</v>
      </c>
    </row>
    <row r="310" customFormat="false" ht="15" hidden="false" customHeight="false" outlineLevel="0" collapsed="false">
      <c r="A310" s="37" t="s">
        <v>184</v>
      </c>
      <c r="B310" s="37" t="s">
        <v>193</v>
      </c>
      <c r="C310" s="37" t="s">
        <v>180</v>
      </c>
      <c r="D310" s="37" t="s">
        <v>116</v>
      </c>
      <c r="E310" s="38" t="n">
        <f aca="false">'Matrice des notes'!AM14</f>
        <v>1</v>
      </c>
      <c r="F310" s="37" t="s">
        <v>655</v>
      </c>
      <c r="G310" s="39" t="s">
        <v>656</v>
      </c>
    </row>
    <row r="311" customFormat="false" ht="15" hidden="false" customHeight="false" outlineLevel="0" collapsed="false">
      <c r="A311" s="37" t="s">
        <v>184</v>
      </c>
      <c r="B311" s="37" t="s">
        <v>193</v>
      </c>
      <c r="C311" s="37" t="s">
        <v>180</v>
      </c>
      <c r="D311" s="37" t="s">
        <v>119</v>
      </c>
      <c r="E311" s="38" t="n">
        <f aca="false">'Matrice des notes'!AN14</f>
        <v>1</v>
      </c>
      <c r="F311" s="37" t="s">
        <v>631</v>
      </c>
      <c r="G311" s="39" t="s">
        <v>654</v>
      </c>
    </row>
    <row r="312" customFormat="false" ht="15" hidden="false" customHeight="false" outlineLevel="0" collapsed="false">
      <c r="A312" s="37" t="s">
        <v>184</v>
      </c>
      <c r="B312" s="37" t="s">
        <v>193</v>
      </c>
      <c r="C312" s="37" t="s">
        <v>180</v>
      </c>
      <c r="D312" s="37" t="s">
        <v>121</v>
      </c>
      <c r="E312" s="38" t="n">
        <f aca="false">'Matrice des notes'!AO14</f>
        <v>1</v>
      </c>
      <c r="F312" s="37" t="s">
        <v>657</v>
      </c>
      <c r="G312" s="39" t="s">
        <v>658</v>
      </c>
    </row>
    <row r="313" customFormat="false" ht="15" hidden="false" customHeight="false" outlineLevel="0" collapsed="false">
      <c r="A313" s="37" t="s">
        <v>184</v>
      </c>
      <c r="B313" s="37" t="s">
        <v>193</v>
      </c>
      <c r="C313" s="37" t="s">
        <v>180</v>
      </c>
      <c r="D313" s="37" t="s">
        <v>124</v>
      </c>
      <c r="E313" s="38" t="n">
        <f aca="false">'Matrice des notes'!AP14</f>
        <v>3</v>
      </c>
      <c r="F313" s="37" t="s">
        <v>682</v>
      </c>
      <c r="G313" s="39" t="s">
        <v>683</v>
      </c>
    </row>
    <row r="314" customFormat="false" ht="15" hidden="false" customHeight="false" outlineLevel="0" collapsed="false">
      <c r="A314" s="37" t="s">
        <v>184</v>
      </c>
      <c r="B314" s="37" t="s">
        <v>194</v>
      </c>
      <c r="C314" s="37" t="s">
        <v>178</v>
      </c>
      <c r="D314" s="37" t="s">
        <v>7</v>
      </c>
      <c r="E314" s="38" t="n">
        <f aca="false">'Matrice des notes'!D15</f>
        <v>1</v>
      </c>
      <c r="F314" s="37" t="s">
        <v>720</v>
      </c>
      <c r="G314" s="39" t="s">
        <v>721</v>
      </c>
    </row>
    <row r="315" customFormat="false" ht="15" hidden="false" customHeight="false" outlineLevel="0" collapsed="false">
      <c r="A315" s="37" t="s">
        <v>184</v>
      </c>
      <c r="B315" s="37" t="s">
        <v>194</v>
      </c>
      <c r="C315" s="37" t="s">
        <v>178</v>
      </c>
      <c r="D315" s="37" t="s">
        <v>11</v>
      </c>
      <c r="E315" s="38" t="n">
        <f aca="false">'Matrice des notes'!E15</f>
        <v>1</v>
      </c>
      <c r="F315" s="37" t="s">
        <v>722</v>
      </c>
      <c r="G315" s="39" t="s">
        <v>723</v>
      </c>
    </row>
    <row r="316" customFormat="false" ht="15" hidden="false" customHeight="false" outlineLevel="0" collapsed="false">
      <c r="A316" s="37" t="s">
        <v>184</v>
      </c>
      <c r="B316" s="37" t="s">
        <v>194</v>
      </c>
      <c r="C316" s="37" t="s">
        <v>178</v>
      </c>
      <c r="D316" s="37" t="s">
        <v>14</v>
      </c>
      <c r="E316" s="38" t="n">
        <f aca="false">'Matrice des notes'!F15</f>
        <v>2</v>
      </c>
      <c r="F316" s="37" t="s">
        <v>677</v>
      </c>
      <c r="G316" s="39" t="s">
        <v>678</v>
      </c>
    </row>
    <row r="317" customFormat="false" ht="15" hidden="false" customHeight="false" outlineLevel="0" collapsed="false">
      <c r="A317" s="37" t="s">
        <v>184</v>
      </c>
      <c r="B317" s="37" t="s">
        <v>194</v>
      </c>
      <c r="C317" s="37" t="s">
        <v>178</v>
      </c>
      <c r="D317" s="37" t="s">
        <v>17</v>
      </c>
      <c r="E317" s="38" t="n">
        <f aca="false">'Matrice des notes'!G15</f>
        <v>2</v>
      </c>
      <c r="F317" s="37" t="s">
        <v>675</v>
      </c>
      <c r="G317" s="39" t="s">
        <v>676</v>
      </c>
    </row>
    <row r="318" customFormat="false" ht="15" hidden="false" customHeight="false" outlineLevel="0" collapsed="false">
      <c r="A318" s="37" t="s">
        <v>184</v>
      </c>
      <c r="B318" s="37" t="s">
        <v>194</v>
      </c>
      <c r="C318" s="37" t="s">
        <v>178</v>
      </c>
      <c r="D318" s="37" t="s">
        <v>20</v>
      </c>
      <c r="E318" s="38" t="n">
        <f aca="false">'Matrice des notes'!H15</f>
        <v>1</v>
      </c>
      <c r="F318" s="37" t="s">
        <v>722</v>
      </c>
      <c r="G318" s="39" t="s">
        <v>723</v>
      </c>
    </row>
    <row r="319" customFormat="false" ht="15" hidden="false" customHeight="false" outlineLevel="0" collapsed="false">
      <c r="A319" s="37" t="s">
        <v>184</v>
      </c>
      <c r="B319" s="37" t="s">
        <v>194</v>
      </c>
      <c r="C319" s="37" t="s">
        <v>178</v>
      </c>
      <c r="D319" s="37" t="s">
        <v>23</v>
      </c>
      <c r="E319" s="38" t="n">
        <f aca="false">'Matrice des notes'!I15</f>
        <v>2</v>
      </c>
      <c r="F319" s="37" t="s">
        <v>675</v>
      </c>
      <c r="G319" s="39" t="s">
        <v>676</v>
      </c>
    </row>
    <row r="320" customFormat="false" ht="15" hidden="false" customHeight="false" outlineLevel="0" collapsed="false">
      <c r="A320" s="37" t="s">
        <v>184</v>
      </c>
      <c r="B320" s="37" t="s">
        <v>194</v>
      </c>
      <c r="C320" s="37" t="s">
        <v>178</v>
      </c>
      <c r="D320" s="37" t="s">
        <v>26</v>
      </c>
      <c r="E320" s="38" t="n">
        <f aca="false">'Matrice des notes'!J15</f>
        <v>2</v>
      </c>
      <c r="F320" s="37" t="s">
        <v>677</v>
      </c>
      <c r="G320" s="39" t="s">
        <v>678</v>
      </c>
    </row>
    <row r="321" customFormat="false" ht="15" hidden="false" customHeight="false" outlineLevel="0" collapsed="false">
      <c r="A321" s="37" t="s">
        <v>184</v>
      </c>
      <c r="B321" s="37" t="s">
        <v>194</v>
      </c>
      <c r="C321" s="37" t="s">
        <v>178</v>
      </c>
      <c r="D321" s="37" t="s">
        <v>30</v>
      </c>
      <c r="E321" s="38" t="n">
        <f aca="false">'Matrice des notes'!K15</f>
        <v>2</v>
      </c>
      <c r="F321" s="37" t="s">
        <v>677</v>
      </c>
      <c r="G321" s="39" t="s">
        <v>678</v>
      </c>
    </row>
    <row r="322" customFormat="false" ht="15" hidden="false" customHeight="false" outlineLevel="0" collapsed="false">
      <c r="A322" s="37" t="s">
        <v>184</v>
      </c>
      <c r="B322" s="37" t="s">
        <v>194</v>
      </c>
      <c r="C322" s="37" t="s">
        <v>178</v>
      </c>
      <c r="D322" s="37" t="s">
        <v>34</v>
      </c>
      <c r="E322" s="38" t="n">
        <f aca="false">'Matrice des notes'!L15</f>
        <v>3</v>
      </c>
      <c r="F322" s="37" t="s">
        <v>675</v>
      </c>
      <c r="G322" s="39" t="s">
        <v>676</v>
      </c>
    </row>
    <row r="323" customFormat="false" ht="15" hidden="false" customHeight="false" outlineLevel="0" collapsed="false">
      <c r="A323" s="37" t="s">
        <v>184</v>
      </c>
      <c r="B323" s="37" t="s">
        <v>194</v>
      </c>
      <c r="C323" s="37" t="s">
        <v>178</v>
      </c>
      <c r="D323" s="37" t="s">
        <v>37</v>
      </c>
      <c r="E323" s="38" t="n">
        <f aca="false">'Matrice des notes'!M15</f>
        <v>1</v>
      </c>
      <c r="F323" s="37" t="s">
        <v>679</v>
      </c>
      <c r="G323" s="39" t="s">
        <v>680</v>
      </c>
    </row>
    <row r="324" customFormat="false" ht="15" hidden="false" customHeight="false" outlineLevel="0" collapsed="false">
      <c r="A324" s="37" t="s">
        <v>184</v>
      </c>
      <c r="B324" s="37" t="s">
        <v>194</v>
      </c>
      <c r="C324" s="37" t="s">
        <v>178</v>
      </c>
      <c r="D324" s="37" t="s">
        <v>40</v>
      </c>
      <c r="E324" s="38" t="n">
        <f aca="false">'Matrice des notes'!N15</f>
        <v>1</v>
      </c>
      <c r="F324" s="37" t="s">
        <v>722</v>
      </c>
      <c r="G324" s="39" t="s">
        <v>723</v>
      </c>
    </row>
    <row r="325" customFormat="false" ht="15" hidden="false" customHeight="false" outlineLevel="0" collapsed="false">
      <c r="A325" s="37" t="s">
        <v>184</v>
      </c>
      <c r="B325" s="37" t="s">
        <v>194</v>
      </c>
      <c r="C325" s="37" t="s">
        <v>178</v>
      </c>
      <c r="D325" s="37" t="s">
        <v>43</v>
      </c>
      <c r="E325" s="38" t="n">
        <f aca="false">'Matrice des notes'!O15</f>
        <v>3</v>
      </c>
      <c r="F325" s="37" t="s">
        <v>635</v>
      </c>
      <c r="G325" s="39" t="s">
        <v>724</v>
      </c>
    </row>
    <row r="326" customFormat="false" ht="15" hidden="false" customHeight="false" outlineLevel="0" collapsed="false">
      <c r="A326" s="37" t="s">
        <v>184</v>
      </c>
      <c r="B326" s="37" t="s">
        <v>194</v>
      </c>
      <c r="C326" s="37" t="s">
        <v>178</v>
      </c>
      <c r="D326" s="37" t="s">
        <v>46</v>
      </c>
      <c r="E326" s="38" t="n">
        <f aca="false">'Matrice des notes'!P15</f>
        <v>3</v>
      </c>
      <c r="F326" s="37" t="s">
        <v>675</v>
      </c>
      <c r="G326" s="39" t="s">
        <v>676</v>
      </c>
    </row>
    <row r="327" customFormat="false" ht="15" hidden="false" customHeight="false" outlineLevel="0" collapsed="false">
      <c r="A327" s="37" t="s">
        <v>184</v>
      </c>
      <c r="B327" s="37" t="s">
        <v>194</v>
      </c>
      <c r="C327" s="37" t="s">
        <v>179</v>
      </c>
      <c r="D327" s="37" t="s">
        <v>49</v>
      </c>
      <c r="E327" s="38" t="n">
        <f aca="false">'Matrice des notes'!Q15</f>
        <v>2</v>
      </c>
      <c r="F327" s="37" t="s">
        <v>675</v>
      </c>
      <c r="G327" s="39" t="s">
        <v>676</v>
      </c>
    </row>
    <row r="328" customFormat="false" ht="15" hidden="false" customHeight="false" outlineLevel="0" collapsed="false">
      <c r="A328" s="37" t="s">
        <v>184</v>
      </c>
      <c r="B328" s="37" t="s">
        <v>194</v>
      </c>
      <c r="C328" s="37" t="s">
        <v>179</v>
      </c>
      <c r="D328" s="37" t="s">
        <v>53</v>
      </c>
      <c r="E328" s="38" t="n">
        <f aca="false">'Matrice des notes'!R15</f>
        <v>3</v>
      </c>
      <c r="F328" s="37" t="s">
        <v>675</v>
      </c>
      <c r="G328" s="39" t="s">
        <v>676</v>
      </c>
    </row>
    <row r="329" customFormat="false" ht="15" hidden="false" customHeight="false" outlineLevel="0" collapsed="false">
      <c r="A329" s="37" t="s">
        <v>184</v>
      </c>
      <c r="B329" s="37" t="s">
        <v>194</v>
      </c>
      <c r="C329" s="37" t="s">
        <v>179</v>
      </c>
      <c r="D329" s="37" t="s">
        <v>56</v>
      </c>
      <c r="E329" s="38" t="n">
        <f aca="false">'Matrice des notes'!S15</f>
        <v>3</v>
      </c>
      <c r="F329" s="37" t="s">
        <v>675</v>
      </c>
      <c r="G329" s="39" t="s">
        <v>676</v>
      </c>
    </row>
    <row r="330" customFormat="false" ht="15" hidden="false" customHeight="false" outlineLevel="0" collapsed="false">
      <c r="A330" s="37" t="s">
        <v>184</v>
      </c>
      <c r="B330" s="37" t="s">
        <v>194</v>
      </c>
      <c r="C330" s="37" t="s">
        <v>179</v>
      </c>
      <c r="D330" s="37" t="s">
        <v>59</v>
      </c>
      <c r="E330" s="38" t="n">
        <f aca="false">'Matrice des notes'!T15</f>
        <v>2</v>
      </c>
      <c r="F330" s="37" t="s">
        <v>675</v>
      </c>
      <c r="G330" s="39" t="s">
        <v>676</v>
      </c>
    </row>
    <row r="331" customFormat="false" ht="15" hidden="false" customHeight="false" outlineLevel="0" collapsed="false">
      <c r="A331" s="37" t="s">
        <v>184</v>
      </c>
      <c r="B331" s="37" t="s">
        <v>194</v>
      </c>
      <c r="C331" s="37" t="s">
        <v>179</v>
      </c>
      <c r="D331" s="37" t="s">
        <v>62</v>
      </c>
      <c r="E331" s="38" t="n">
        <f aca="false">'Matrice des notes'!U15</f>
        <v>2</v>
      </c>
      <c r="F331" s="37" t="s">
        <v>675</v>
      </c>
      <c r="G331" s="39" t="s">
        <v>676</v>
      </c>
    </row>
    <row r="332" customFormat="false" ht="15" hidden="false" customHeight="false" outlineLevel="0" collapsed="false">
      <c r="A332" s="37" t="s">
        <v>184</v>
      </c>
      <c r="B332" s="37" t="s">
        <v>194</v>
      </c>
      <c r="C332" s="37" t="s">
        <v>179</v>
      </c>
      <c r="D332" s="37" t="s">
        <v>65</v>
      </c>
      <c r="E332" s="38" t="n">
        <f aca="false">'Matrice des notes'!V15</f>
        <v>4</v>
      </c>
      <c r="F332" s="37" t="s">
        <v>623</v>
      </c>
      <c r="G332" s="39" t="s">
        <v>729</v>
      </c>
    </row>
    <row r="333" customFormat="false" ht="15" hidden="false" customHeight="false" outlineLevel="0" collapsed="false">
      <c r="A333" s="37" t="s">
        <v>184</v>
      </c>
      <c r="B333" s="37" t="s">
        <v>194</v>
      </c>
      <c r="C333" s="37" t="s">
        <v>179</v>
      </c>
      <c r="D333" s="37" t="s">
        <v>68</v>
      </c>
      <c r="E333" s="38" t="n">
        <f aca="false">'Matrice des notes'!W15</f>
        <v>2</v>
      </c>
      <c r="F333" s="37" t="s">
        <v>649</v>
      </c>
      <c r="G333" s="39" t="s">
        <v>650</v>
      </c>
    </row>
    <row r="334" customFormat="false" ht="15" hidden="false" customHeight="false" outlineLevel="0" collapsed="false">
      <c r="A334" s="37" t="s">
        <v>184</v>
      </c>
      <c r="B334" s="37" t="s">
        <v>194</v>
      </c>
      <c r="C334" s="37" t="s">
        <v>179</v>
      </c>
      <c r="D334" s="37" t="s">
        <v>71</v>
      </c>
      <c r="E334" s="38" t="n">
        <f aca="false">'Matrice des notes'!X15</f>
        <v>2</v>
      </c>
      <c r="F334" s="37" t="s">
        <v>675</v>
      </c>
      <c r="G334" s="39" t="s">
        <v>676</v>
      </c>
    </row>
    <row r="335" customFormat="false" ht="15" hidden="false" customHeight="false" outlineLevel="0" collapsed="false">
      <c r="A335" s="37" t="s">
        <v>184</v>
      </c>
      <c r="B335" s="37" t="s">
        <v>194</v>
      </c>
      <c r="C335" s="37" t="s">
        <v>179</v>
      </c>
      <c r="D335" s="37" t="s">
        <v>74</v>
      </c>
      <c r="E335" s="38" t="n">
        <f aca="false">'Matrice des notes'!Y15</f>
        <v>4</v>
      </c>
      <c r="F335" s="37" t="s">
        <v>623</v>
      </c>
      <c r="G335" s="39" t="s">
        <v>729</v>
      </c>
    </row>
    <row r="336" customFormat="false" ht="15" hidden="false" customHeight="false" outlineLevel="0" collapsed="false">
      <c r="A336" s="37" t="s">
        <v>184</v>
      </c>
      <c r="B336" s="37" t="s">
        <v>194</v>
      </c>
      <c r="C336" s="37" t="s">
        <v>179</v>
      </c>
      <c r="D336" s="37" t="s">
        <v>77</v>
      </c>
      <c r="E336" s="38" t="n">
        <f aca="false">'Matrice des notes'!Z15</f>
        <v>3</v>
      </c>
      <c r="F336" s="37" t="s">
        <v>675</v>
      </c>
      <c r="G336" s="39" t="s">
        <v>676</v>
      </c>
    </row>
    <row r="337" customFormat="false" ht="15" hidden="false" customHeight="false" outlineLevel="0" collapsed="false">
      <c r="A337" s="37" t="s">
        <v>184</v>
      </c>
      <c r="B337" s="37" t="s">
        <v>194</v>
      </c>
      <c r="C337" s="37" t="s">
        <v>179</v>
      </c>
      <c r="D337" s="37" t="s">
        <v>80</v>
      </c>
      <c r="E337" s="38" t="n">
        <f aca="false">'Matrice des notes'!AA15</f>
        <v>4</v>
      </c>
      <c r="F337" s="37" t="s">
        <v>623</v>
      </c>
      <c r="G337" s="39" t="s">
        <v>729</v>
      </c>
    </row>
    <row r="338" customFormat="false" ht="15" hidden="false" customHeight="false" outlineLevel="0" collapsed="false">
      <c r="A338" s="37" t="s">
        <v>184</v>
      </c>
      <c r="B338" s="37" t="s">
        <v>194</v>
      </c>
      <c r="C338" s="37" t="s">
        <v>179</v>
      </c>
      <c r="D338" s="37" t="s">
        <v>83</v>
      </c>
      <c r="E338" s="38" t="n">
        <f aca="false">'Matrice des notes'!AB15</f>
        <v>3</v>
      </c>
      <c r="F338" s="37" t="s">
        <v>675</v>
      </c>
      <c r="G338" s="39" t="s">
        <v>676</v>
      </c>
    </row>
    <row r="339" customFormat="false" ht="15" hidden="false" customHeight="false" outlineLevel="0" collapsed="false">
      <c r="A339" s="37" t="s">
        <v>184</v>
      </c>
      <c r="B339" s="37" t="s">
        <v>194</v>
      </c>
      <c r="C339" s="37" t="s">
        <v>179</v>
      </c>
      <c r="D339" s="37" t="s">
        <v>86</v>
      </c>
      <c r="E339" s="38" t="n">
        <f aca="false">'Matrice des notes'!AC15</f>
        <v>2</v>
      </c>
      <c r="F339" s="37" t="s">
        <v>652</v>
      </c>
      <c r="G339" s="39" t="s">
        <v>653</v>
      </c>
    </row>
    <row r="340" customFormat="false" ht="15" hidden="false" customHeight="false" outlineLevel="0" collapsed="false">
      <c r="A340" s="37" t="s">
        <v>184</v>
      </c>
      <c r="B340" s="37" t="s">
        <v>194</v>
      </c>
      <c r="C340" s="37" t="s">
        <v>179</v>
      </c>
      <c r="D340" s="37" t="s">
        <v>89</v>
      </c>
      <c r="E340" s="38" t="n">
        <f aca="false">'Matrice des notes'!AD15</f>
        <v>3</v>
      </c>
      <c r="F340" s="37" t="s">
        <v>652</v>
      </c>
      <c r="G340" s="39" t="s">
        <v>653</v>
      </c>
    </row>
    <row r="341" customFormat="false" ht="15" hidden="false" customHeight="false" outlineLevel="0" collapsed="false">
      <c r="A341" s="37" t="s">
        <v>184</v>
      </c>
      <c r="B341" s="37" t="s">
        <v>194</v>
      </c>
      <c r="C341" s="37" t="s">
        <v>179</v>
      </c>
      <c r="D341" s="37" t="s">
        <v>92</v>
      </c>
      <c r="E341" s="38" t="n">
        <f aca="false">'Matrice des notes'!AE15</f>
        <v>2</v>
      </c>
      <c r="F341" s="37" t="s">
        <v>652</v>
      </c>
      <c r="G341" s="39" t="s">
        <v>653</v>
      </c>
    </row>
    <row r="342" customFormat="false" ht="15" hidden="false" customHeight="false" outlineLevel="0" collapsed="false">
      <c r="A342" s="37" t="s">
        <v>184</v>
      </c>
      <c r="B342" s="37" t="s">
        <v>194</v>
      </c>
      <c r="C342" s="37" t="s">
        <v>180</v>
      </c>
      <c r="D342" s="37" t="s">
        <v>95</v>
      </c>
      <c r="E342" s="38" t="n">
        <f aca="false">'Matrice des notes'!AF15</f>
        <v>1</v>
      </c>
      <c r="F342" s="37" t="s">
        <v>631</v>
      </c>
      <c r="G342" s="39" t="s">
        <v>654</v>
      </c>
    </row>
    <row r="343" customFormat="false" ht="15" hidden="false" customHeight="false" outlineLevel="0" collapsed="false">
      <c r="A343" s="37" t="s">
        <v>184</v>
      </c>
      <c r="B343" s="37" t="s">
        <v>194</v>
      </c>
      <c r="C343" s="37" t="s">
        <v>180</v>
      </c>
      <c r="D343" s="37" t="s">
        <v>99</v>
      </c>
      <c r="E343" s="38" t="n">
        <f aca="false">'Matrice des notes'!AG15</f>
        <v>1</v>
      </c>
      <c r="F343" s="37" t="s">
        <v>655</v>
      </c>
      <c r="G343" s="39" t="s">
        <v>656</v>
      </c>
    </row>
    <row r="344" customFormat="false" ht="15" hidden="false" customHeight="false" outlineLevel="0" collapsed="false">
      <c r="A344" s="37" t="s">
        <v>184</v>
      </c>
      <c r="B344" s="37" t="s">
        <v>194</v>
      </c>
      <c r="C344" s="37" t="s">
        <v>180</v>
      </c>
      <c r="D344" s="37" t="s">
        <v>102</v>
      </c>
      <c r="E344" s="38" t="n">
        <f aca="false">'Matrice des notes'!AH15</f>
        <v>1</v>
      </c>
      <c r="F344" s="37" t="s">
        <v>655</v>
      </c>
      <c r="G344" s="39" t="s">
        <v>656</v>
      </c>
    </row>
    <row r="345" customFormat="false" ht="15" hidden="false" customHeight="false" outlineLevel="0" collapsed="false">
      <c r="A345" s="37" t="s">
        <v>184</v>
      </c>
      <c r="B345" s="37" t="s">
        <v>194</v>
      </c>
      <c r="C345" s="37" t="s">
        <v>180</v>
      </c>
      <c r="D345" s="37" t="s">
        <v>104</v>
      </c>
      <c r="E345" s="38" t="n">
        <f aca="false">'Matrice des notes'!AI15</f>
        <v>1</v>
      </c>
      <c r="F345" s="37" t="s">
        <v>631</v>
      </c>
      <c r="G345" s="39" t="s">
        <v>654</v>
      </c>
    </row>
    <row r="346" customFormat="false" ht="15" hidden="false" customHeight="false" outlineLevel="0" collapsed="false">
      <c r="A346" s="37" t="s">
        <v>184</v>
      </c>
      <c r="B346" s="37" t="s">
        <v>194</v>
      </c>
      <c r="C346" s="37" t="s">
        <v>180</v>
      </c>
      <c r="D346" s="37" t="s">
        <v>107</v>
      </c>
      <c r="E346" s="38" t="n">
        <f aca="false">'Matrice des notes'!AJ15</f>
        <v>1</v>
      </c>
      <c r="F346" s="37" t="s">
        <v>631</v>
      </c>
      <c r="G346" s="39" t="s">
        <v>654</v>
      </c>
    </row>
    <row r="347" customFormat="false" ht="15" hidden="false" customHeight="false" outlineLevel="0" collapsed="false">
      <c r="A347" s="37" t="s">
        <v>184</v>
      </c>
      <c r="B347" s="37" t="s">
        <v>194</v>
      </c>
      <c r="C347" s="37" t="s">
        <v>180</v>
      </c>
      <c r="D347" s="37" t="s">
        <v>110</v>
      </c>
      <c r="E347" s="38" t="n">
        <f aca="false">'Matrice des notes'!AK15</f>
        <v>1</v>
      </c>
      <c r="F347" s="37" t="s">
        <v>631</v>
      </c>
      <c r="G347" s="39" t="s">
        <v>654</v>
      </c>
    </row>
    <row r="348" customFormat="false" ht="15" hidden="false" customHeight="false" outlineLevel="0" collapsed="false">
      <c r="A348" s="37" t="s">
        <v>184</v>
      </c>
      <c r="B348" s="37" t="s">
        <v>194</v>
      </c>
      <c r="C348" s="37" t="s">
        <v>180</v>
      </c>
      <c r="D348" s="37" t="s">
        <v>113</v>
      </c>
      <c r="E348" s="38" t="n">
        <f aca="false">'Matrice des notes'!AL15</f>
        <v>1</v>
      </c>
      <c r="F348" s="37" t="s">
        <v>631</v>
      </c>
      <c r="G348" s="39" t="s">
        <v>654</v>
      </c>
    </row>
    <row r="349" customFormat="false" ht="15" hidden="false" customHeight="false" outlineLevel="0" collapsed="false">
      <c r="A349" s="37" t="s">
        <v>184</v>
      </c>
      <c r="B349" s="37" t="s">
        <v>194</v>
      </c>
      <c r="C349" s="37" t="s">
        <v>180</v>
      </c>
      <c r="D349" s="37" t="s">
        <v>116</v>
      </c>
      <c r="E349" s="38" t="n">
        <f aca="false">'Matrice des notes'!AM15</f>
        <v>1</v>
      </c>
      <c r="F349" s="37" t="s">
        <v>655</v>
      </c>
      <c r="G349" s="39" t="s">
        <v>656</v>
      </c>
    </row>
    <row r="350" customFormat="false" ht="15" hidden="false" customHeight="false" outlineLevel="0" collapsed="false">
      <c r="A350" s="37" t="s">
        <v>184</v>
      </c>
      <c r="B350" s="37" t="s">
        <v>194</v>
      </c>
      <c r="C350" s="37" t="s">
        <v>180</v>
      </c>
      <c r="D350" s="37" t="s">
        <v>119</v>
      </c>
      <c r="E350" s="38" t="n">
        <f aca="false">'Matrice des notes'!AN15</f>
        <v>1</v>
      </c>
      <c r="F350" s="37" t="s">
        <v>631</v>
      </c>
      <c r="G350" s="39" t="s">
        <v>654</v>
      </c>
    </row>
    <row r="351" customFormat="false" ht="15" hidden="false" customHeight="false" outlineLevel="0" collapsed="false">
      <c r="A351" s="37" t="s">
        <v>184</v>
      </c>
      <c r="B351" s="37" t="s">
        <v>194</v>
      </c>
      <c r="C351" s="37" t="s">
        <v>180</v>
      </c>
      <c r="D351" s="37" t="s">
        <v>121</v>
      </c>
      <c r="E351" s="38" t="n">
        <f aca="false">'Matrice des notes'!AO15</f>
        <v>1</v>
      </c>
      <c r="F351" s="37" t="s">
        <v>657</v>
      </c>
      <c r="G351" s="39" t="s">
        <v>658</v>
      </c>
    </row>
    <row r="352" customFormat="false" ht="15" hidden="false" customHeight="false" outlineLevel="0" collapsed="false">
      <c r="A352" s="37" t="s">
        <v>184</v>
      </c>
      <c r="B352" s="37" t="s">
        <v>194</v>
      </c>
      <c r="C352" s="37" t="s">
        <v>180</v>
      </c>
      <c r="D352" s="37" t="s">
        <v>124</v>
      </c>
      <c r="E352" s="38" t="n">
        <f aca="false">'Matrice des notes'!AP15</f>
        <v>3</v>
      </c>
      <c r="F352" s="37" t="s">
        <v>682</v>
      </c>
      <c r="G352" s="39" t="s">
        <v>683</v>
      </c>
    </row>
    <row r="353" customFormat="false" ht="15" hidden="false" customHeight="false" outlineLevel="0" collapsed="false">
      <c r="A353" s="37" t="s">
        <v>184</v>
      </c>
      <c r="B353" s="37" t="s">
        <v>195</v>
      </c>
      <c r="C353" s="37" t="s">
        <v>178</v>
      </c>
      <c r="D353" s="37" t="s">
        <v>7</v>
      </c>
      <c r="E353" s="38" t="n">
        <f aca="false">'Matrice des notes'!D16</f>
        <v>1</v>
      </c>
      <c r="F353" s="37" t="s">
        <v>720</v>
      </c>
      <c r="G353" s="39" t="s">
        <v>721</v>
      </c>
    </row>
    <row r="354" customFormat="false" ht="22.35" hidden="false" customHeight="false" outlineLevel="0" collapsed="false">
      <c r="A354" s="37" t="s">
        <v>184</v>
      </c>
      <c r="B354" s="37" t="s">
        <v>195</v>
      </c>
      <c r="C354" s="37" t="s">
        <v>178</v>
      </c>
      <c r="D354" s="37" t="s">
        <v>11</v>
      </c>
      <c r="E354" s="38" t="n">
        <f aca="false">'Matrice des notes'!E16</f>
        <v>1</v>
      </c>
      <c r="F354" s="37" t="s">
        <v>730</v>
      </c>
      <c r="G354" s="39" t="s">
        <v>731</v>
      </c>
    </row>
    <row r="355" customFormat="false" ht="15" hidden="false" customHeight="false" outlineLevel="0" collapsed="false">
      <c r="A355" s="37" t="s">
        <v>184</v>
      </c>
      <c r="B355" s="37" t="s">
        <v>195</v>
      </c>
      <c r="C355" s="37" t="s">
        <v>178</v>
      </c>
      <c r="D355" s="37" t="s">
        <v>14</v>
      </c>
      <c r="E355" s="38" t="n">
        <f aca="false">'Matrice des notes'!F16</f>
        <v>1</v>
      </c>
      <c r="F355" s="37" t="s">
        <v>695</v>
      </c>
      <c r="G355" s="39" t="s">
        <v>696</v>
      </c>
    </row>
    <row r="356" customFormat="false" ht="15" hidden="false" customHeight="false" outlineLevel="0" collapsed="false">
      <c r="A356" s="37" t="s">
        <v>184</v>
      </c>
      <c r="B356" s="37" t="s">
        <v>195</v>
      </c>
      <c r="C356" s="37" t="s">
        <v>178</v>
      </c>
      <c r="D356" s="37" t="s">
        <v>17</v>
      </c>
      <c r="E356" s="38" t="n">
        <f aca="false">'Matrice des notes'!G16</f>
        <v>1</v>
      </c>
      <c r="F356" s="37" t="s">
        <v>697</v>
      </c>
      <c r="G356" s="39" t="s">
        <v>698</v>
      </c>
    </row>
    <row r="357" customFormat="false" ht="22.35" hidden="false" customHeight="false" outlineLevel="0" collapsed="false">
      <c r="A357" s="37" t="s">
        <v>184</v>
      </c>
      <c r="B357" s="37" t="s">
        <v>195</v>
      </c>
      <c r="C357" s="37" t="s">
        <v>178</v>
      </c>
      <c r="D357" s="37" t="s">
        <v>20</v>
      </c>
      <c r="E357" s="38" t="n">
        <f aca="false">'Matrice des notes'!H16</f>
        <v>1</v>
      </c>
      <c r="F357" s="37" t="s">
        <v>732</v>
      </c>
      <c r="G357" s="39" t="s">
        <v>733</v>
      </c>
    </row>
    <row r="358" customFormat="false" ht="15" hidden="false" customHeight="false" outlineLevel="0" collapsed="false">
      <c r="A358" s="37" t="s">
        <v>184</v>
      </c>
      <c r="B358" s="37" t="s">
        <v>195</v>
      </c>
      <c r="C358" s="37" t="s">
        <v>178</v>
      </c>
      <c r="D358" s="37" t="s">
        <v>23</v>
      </c>
      <c r="E358" s="38" t="n">
        <f aca="false">'Matrice des notes'!I16</f>
        <v>1</v>
      </c>
      <c r="F358" s="37" t="s">
        <v>697</v>
      </c>
      <c r="G358" s="39" t="s">
        <v>701</v>
      </c>
    </row>
    <row r="359" customFormat="false" ht="15" hidden="false" customHeight="false" outlineLevel="0" collapsed="false">
      <c r="A359" s="37" t="s">
        <v>184</v>
      </c>
      <c r="B359" s="37" t="s">
        <v>195</v>
      </c>
      <c r="C359" s="37" t="s">
        <v>178</v>
      </c>
      <c r="D359" s="37" t="s">
        <v>26</v>
      </c>
      <c r="E359" s="38" t="n">
        <f aca="false">'Matrice des notes'!J16</f>
        <v>1</v>
      </c>
      <c r="F359" s="37" t="s">
        <v>677</v>
      </c>
      <c r="G359" s="39" t="s">
        <v>702</v>
      </c>
    </row>
    <row r="360" customFormat="false" ht="15" hidden="false" customHeight="false" outlineLevel="0" collapsed="false">
      <c r="A360" s="37" t="s">
        <v>184</v>
      </c>
      <c r="B360" s="37" t="s">
        <v>195</v>
      </c>
      <c r="C360" s="37" t="s">
        <v>178</v>
      </c>
      <c r="D360" s="37" t="s">
        <v>30</v>
      </c>
      <c r="E360" s="38" t="n">
        <f aca="false">'Matrice des notes'!K16</f>
        <v>1</v>
      </c>
      <c r="F360" s="37" t="s">
        <v>677</v>
      </c>
      <c r="G360" s="39" t="s">
        <v>703</v>
      </c>
    </row>
    <row r="361" customFormat="false" ht="15" hidden="false" customHeight="false" outlineLevel="0" collapsed="false">
      <c r="A361" s="37" t="s">
        <v>184</v>
      </c>
      <c r="B361" s="37" t="s">
        <v>195</v>
      </c>
      <c r="C361" s="37" t="s">
        <v>178</v>
      </c>
      <c r="D361" s="37" t="s">
        <v>34</v>
      </c>
      <c r="E361" s="38" t="n">
        <f aca="false">'Matrice des notes'!L16</f>
        <v>3</v>
      </c>
      <c r="F361" s="37" t="s">
        <v>675</v>
      </c>
      <c r="G361" s="39" t="s">
        <v>676</v>
      </c>
    </row>
    <row r="362" customFormat="false" ht="15" hidden="false" customHeight="false" outlineLevel="0" collapsed="false">
      <c r="A362" s="37" t="s">
        <v>184</v>
      </c>
      <c r="B362" s="37" t="s">
        <v>195</v>
      </c>
      <c r="C362" s="37" t="s">
        <v>178</v>
      </c>
      <c r="D362" s="37" t="s">
        <v>37</v>
      </c>
      <c r="E362" s="38" t="n">
        <f aca="false">'Matrice des notes'!M16</f>
        <v>1</v>
      </c>
      <c r="F362" s="37" t="s">
        <v>679</v>
      </c>
      <c r="G362" s="39" t="s">
        <v>680</v>
      </c>
    </row>
    <row r="363" customFormat="false" ht="22.35" hidden="false" customHeight="false" outlineLevel="0" collapsed="false">
      <c r="A363" s="37" t="s">
        <v>184</v>
      </c>
      <c r="B363" s="37" t="s">
        <v>195</v>
      </c>
      <c r="C363" s="37" t="s">
        <v>178</v>
      </c>
      <c r="D363" s="37" t="s">
        <v>40</v>
      </c>
      <c r="E363" s="38" t="n">
        <f aca="false">'Matrice des notes'!N16</f>
        <v>1</v>
      </c>
      <c r="F363" s="37" t="s">
        <v>730</v>
      </c>
      <c r="G363" s="39" t="s">
        <v>734</v>
      </c>
    </row>
    <row r="364" customFormat="false" ht="15" hidden="false" customHeight="false" outlineLevel="0" collapsed="false">
      <c r="A364" s="37" t="s">
        <v>184</v>
      </c>
      <c r="B364" s="37" t="s">
        <v>195</v>
      </c>
      <c r="C364" s="37" t="s">
        <v>178</v>
      </c>
      <c r="D364" s="37" t="s">
        <v>43</v>
      </c>
      <c r="E364" s="38" t="n">
        <f aca="false">'Matrice des notes'!O16</f>
        <v>3</v>
      </c>
      <c r="F364" s="37" t="s">
        <v>635</v>
      </c>
      <c r="G364" s="39" t="s">
        <v>724</v>
      </c>
    </row>
    <row r="365" customFormat="false" ht="15" hidden="false" customHeight="false" outlineLevel="0" collapsed="false">
      <c r="A365" s="37" t="s">
        <v>184</v>
      </c>
      <c r="B365" s="37" t="s">
        <v>195</v>
      </c>
      <c r="C365" s="37" t="s">
        <v>178</v>
      </c>
      <c r="D365" s="37" t="s">
        <v>46</v>
      </c>
      <c r="E365" s="38" t="n">
        <f aca="false">'Matrice des notes'!P16</f>
        <v>3</v>
      </c>
      <c r="F365" s="37" t="s">
        <v>675</v>
      </c>
      <c r="G365" s="39" t="s">
        <v>676</v>
      </c>
    </row>
    <row r="366" customFormat="false" ht="15" hidden="false" customHeight="false" outlineLevel="0" collapsed="false">
      <c r="A366" s="37" t="s">
        <v>184</v>
      </c>
      <c r="B366" s="37" t="s">
        <v>195</v>
      </c>
      <c r="C366" s="37" t="s">
        <v>179</v>
      </c>
      <c r="D366" s="37" t="s">
        <v>49</v>
      </c>
      <c r="E366" s="38" t="n">
        <f aca="false">'Matrice des notes'!Q16</f>
        <v>1</v>
      </c>
      <c r="F366" s="37" t="s">
        <v>693</v>
      </c>
      <c r="G366" s="39" t="s">
        <v>706</v>
      </c>
    </row>
    <row r="367" customFormat="false" ht="15" hidden="false" customHeight="false" outlineLevel="0" collapsed="false">
      <c r="A367" s="37" t="s">
        <v>184</v>
      </c>
      <c r="B367" s="37" t="s">
        <v>195</v>
      </c>
      <c r="C367" s="37" t="s">
        <v>179</v>
      </c>
      <c r="D367" s="37" t="s">
        <v>53</v>
      </c>
      <c r="E367" s="38" t="n">
        <f aca="false">'Matrice des notes'!R16</f>
        <v>3</v>
      </c>
      <c r="F367" s="37" t="s">
        <v>675</v>
      </c>
      <c r="G367" s="39" t="s">
        <v>676</v>
      </c>
    </row>
    <row r="368" customFormat="false" ht="15" hidden="false" customHeight="false" outlineLevel="0" collapsed="false">
      <c r="A368" s="37" t="s">
        <v>184</v>
      </c>
      <c r="B368" s="37" t="s">
        <v>195</v>
      </c>
      <c r="C368" s="37" t="s">
        <v>179</v>
      </c>
      <c r="D368" s="37" t="s">
        <v>56</v>
      </c>
      <c r="E368" s="38" t="n">
        <f aca="false">'Matrice des notes'!S16</f>
        <v>2</v>
      </c>
      <c r="F368" s="37" t="s">
        <v>697</v>
      </c>
      <c r="G368" s="39" t="s">
        <v>735</v>
      </c>
    </row>
    <row r="369" customFormat="false" ht="15" hidden="false" customHeight="false" outlineLevel="0" collapsed="false">
      <c r="A369" s="37" t="s">
        <v>184</v>
      </c>
      <c r="B369" s="37" t="s">
        <v>195</v>
      </c>
      <c r="C369" s="37" t="s">
        <v>179</v>
      </c>
      <c r="D369" s="37" t="s">
        <v>59</v>
      </c>
      <c r="E369" s="38" t="n">
        <f aca="false">'Matrice des notes'!T16</f>
        <v>1</v>
      </c>
      <c r="F369" s="37" t="s">
        <v>697</v>
      </c>
      <c r="G369" s="39" t="s">
        <v>698</v>
      </c>
    </row>
    <row r="370" customFormat="false" ht="15" hidden="false" customHeight="false" outlineLevel="0" collapsed="false">
      <c r="A370" s="37" t="s">
        <v>184</v>
      </c>
      <c r="B370" s="37" t="s">
        <v>195</v>
      </c>
      <c r="C370" s="37" t="s">
        <v>179</v>
      </c>
      <c r="D370" s="37" t="s">
        <v>62</v>
      </c>
      <c r="E370" s="38" t="n">
        <f aca="false">'Matrice des notes'!U16</f>
        <v>1</v>
      </c>
      <c r="F370" s="37" t="s">
        <v>693</v>
      </c>
      <c r="G370" s="39" t="s">
        <v>710</v>
      </c>
    </row>
    <row r="371" customFormat="false" ht="15" hidden="false" customHeight="false" outlineLevel="0" collapsed="false">
      <c r="A371" s="37" t="s">
        <v>184</v>
      </c>
      <c r="B371" s="37" t="s">
        <v>195</v>
      </c>
      <c r="C371" s="37" t="s">
        <v>179</v>
      </c>
      <c r="D371" s="37" t="s">
        <v>65</v>
      </c>
      <c r="E371" s="38" t="n">
        <f aca="false">'Matrice des notes'!V16</f>
        <v>4</v>
      </c>
      <c r="F371" s="37" t="s">
        <v>623</v>
      </c>
      <c r="G371" s="39" t="s">
        <v>736</v>
      </c>
    </row>
    <row r="372" customFormat="false" ht="15" hidden="false" customHeight="false" outlineLevel="0" collapsed="false">
      <c r="A372" s="37" t="s">
        <v>184</v>
      </c>
      <c r="B372" s="37" t="s">
        <v>195</v>
      </c>
      <c r="C372" s="37" t="s">
        <v>179</v>
      </c>
      <c r="D372" s="37" t="s">
        <v>68</v>
      </c>
      <c r="E372" s="38" t="n">
        <f aca="false">'Matrice des notes'!W16</f>
        <v>2</v>
      </c>
      <c r="F372" s="37" t="s">
        <v>649</v>
      </c>
      <c r="G372" s="39" t="s">
        <v>650</v>
      </c>
    </row>
    <row r="373" customFormat="false" ht="15" hidden="false" customHeight="false" outlineLevel="0" collapsed="false">
      <c r="A373" s="37" t="s">
        <v>184</v>
      </c>
      <c r="B373" s="37" t="s">
        <v>195</v>
      </c>
      <c r="C373" s="37" t="s">
        <v>179</v>
      </c>
      <c r="D373" s="37" t="s">
        <v>71</v>
      </c>
      <c r="E373" s="38" t="n">
        <f aca="false">'Matrice des notes'!X16</f>
        <v>1</v>
      </c>
      <c r="F373" s="37" t="s">
        <v>693</v>
      </c>
      <c r="G373" s="39" t="s">
        <v>711</v>
      </c>
    </row>
    <row r="374" customFormat="false" ht="15" hidden="false" customHeight="false" outlineLevel="0" collapsed="false">
      <c r="A374" s="37" t="s">
        <v>184</v>
      </c>
      <c r="B374" s="37" t="s">
        <v>195</v>
      </c>
      <c r="C374" s="37" t="s">
        <v>179</v>
      </c>
      <c r="D374" s="37" t="s">
        <v>74</v>
      </c>
      <c r="E374" s="38" t="n">
        <f aca="false">'Matrice des notes'!Y16</f>
        <v>4</v>
      </c>
      <c r="F374" s="37" t="s">
        <v>623</v>
      </c>
      <c r="G374" s="39" t="s">
        <v>736</v>
      </c>
    </row>
    <row r="375" customFormat="false" ht="15" hidden="false" customHeight="false" outlineLevel="0" collapsed="false">
      <c r="A375" s="37" t="s">
        <v>184</v>
      </c>
      <c r="B375" s="37" t="s">
        <v>195</v>
      </c>
      <c r="C375" s="37" t="s">
        <v>179</v>
      </c>
      <c r="D375" s="37" t="s">
        <v>77</v>
      </c>
      <c r="E375" s="38" t="n">
        <f aca="false">'Matrice des notes'!Z16</f>
        <v>3</v>
      </c>
      <c r="F375" s="37" t="s">
        <v>675</v>
      </c>
      <c r="G375" s="39" t="s">
        <v>676</v>
      </c>
    </row>
    <row r="376" customFormat="false" ht="15" hidden="false" customHeight="false" outlineLevel="0" collapsed="false">
      <c r="A376" s="37" t="s">
        <v>184</v>
      </c>
      <c r="B376" s="37" t="s">
        <v>195</v>
      </c>
      <c r="C376" s="37" t="s">
        <v>179</v>
      </c>
      <c r="D376" s="37" t="s">
        <v>80</v>
      </c>
      <c r="E376" s="38" t="n">
        <f aca="false">'Matrice des notes'!AA16</f>
        <v>4</v>
      </c>
      <c r="F376" s="37" t="s">
        <v>623</v>
      </c>
      <c r="G376" s="39" t="s">
        <v>736</v>
      </c>
    </row>
    <row r="377" customFormat="false" ht="15" hidden="false" customHeight="false" outlineLevel="0" collapsed="false">
      <c r="A377" s="37" t="s">
        <v>184</v>
      </c>
      <c r="B377" s="37" t="s">
        <v>195</v>
      </c>
      <c r="C377" s="37" t="s">
        <v>179</v>
      </c>
      <c r="D377" s="37" t="s">
        <v>83</v>
      </c>
      <c r="E377" s="38" t="n">
        <f aca="false">'Matrice des notes'!AB16</f>
        <v>2</v>
      </c>
      <c r="F377" s="37" t="s">
        <v>693</v>
      </c>
      <c r="G377" s="39" t="s">
        <v>737</v>
      </c>
    </row>
    <row r="378" customFormat="false" ht="15" hidden="false" customHeight="false" outlineLevel="0" collapsed="false">
      <c r="A378" s="37" t="s">
        <v>184</v>
      </c>
      <c r="B378" s="37" t="s">
        <v>195</v>
      </c>
      <c r="C378" s="37" t="s">
        <v>179</v>
      </c>
      <c r="D378" s="37" t="s">
        <v>86</v>
      </c>
      <c r="E378" s="38" t="n">
        <f aca="false">'Matrice des notes'!AC16</f>
        <v>2</v>
      </c>
      <c r="F378" s="37" t="s">
        <v>652</v>
      </c>
      <c r="G378" s="39" t="s">
        <v>653</v>
      </c>
    </row>
    <row r="379" customFormat="false" ht="15" hidden="false" customHeight="false" outlineLevel="0" collapsed="false">
      <c r="A379" s="37" t="s">
        <v>184</v>
      </c>
      <c r="B379" s="37" t="s">
        <v>195</v>
      </c>
      <c r="C379" s="37" t="s">
        <v>179</v>
      </c>
      <c r="D379" s="37" t="s">
        <v>89</v>
      </c>
      <c r="E379" s="38" t="n">
        <f aca="false">'Matrice des notes'!AD16</f>
        <v>3</v>
      </c>
      <c r="F379" s="37" t="s">
        <v>652</v>
      </c>
      <c r="G379" s="39" t="s">
        <v>653</v>
      </c>
    </row>
    <row r="380" customFormat="false" ht="15" hidden="false" customHeight="false" outlineLevel="0" collapsed="false">
      <c r="A380" s="37" t="s">
        <v>184</v>
      </c>
      <c r="B380" s="37" t="s">
        <v>195</v>
      </c>
      <c r="C380" s="37" t="s">
        <v>179</v>
      </c>
      <c r="D380" s="37" t="s">
        <v>92</v>
      </c>
      <c r="E380" s="38" t="n">
        <f aca="false">'Matrice des notes'!AE16</f>
        <v>2</v>
      </c>
      <c r="F380" s="37" t="s">
        <v>708</v>
      </c>
      <c r="G380" s="39" t="s">
        <v>714</v>
      </c>
    </row>
    <row r="381" customFormat="false" ht="15" hidden="false" customHeight="false" outlineLevel="0" collapsed="false">
      <c r="A381" s="37" t="s">
        <v>184</v>
      </c>
      <c r="B381" s="37" t="s">
        <v>195</v>
      </c>
      <c r="C381" s="37" t="s">
        <v>180</v>
      </c>
      <c r="D381" s="37" t="s">
        <v>95</v>
      </c>
      <c r="E381" s="38" t="n">
        <f aca="false">'Matrice des notes'!AF16</f>
        <v>1</v>
      </c>
      <c r="F381" s="37" t="s">
        <v>631</v>
      </c>
      <c r="G381" s="39" t="s">
        <v>654</v>
      </c>
    </row>
    <row r="382" customFormat="false" ht="15" hidden="false" customHeight="false" outlineLevel="0" collapsed="false">
      <c r="A382" s="37" t="s">
        <v>184</v>
      </c>
      <c r="B382" s="37" t="s">
        <v>195</v>
      </c>
      <c r="C382" s="37" t="s">
        <v>180</v>
      </c>
      <c r="D382" s="37" t="s">
        <v>99</v>
      </c>
      <c r="E382" s="38" t="n">
        <f aca="false">'Matrice des notes'!AG16</f>
        <v>1</v>
      </c>
      <c r="F382" s="37" t="s">
        <v>655</v>
      </c>
      <c r="G382" s="39" t="s">
        <v>656</v>
      </c>
    </row>
    <row r="383" customFormat="false" ht="15" hidden="false" customHeight="false" outlineLevel="0" collapsed="false">
      <c r="A383" s="37" t="s">
        <v>184</v>
      </c>
      <c r="B383" s="37" t="s">
        <v>195</v>
      </c>
      <c r="C383" s="37" t="s">
        <v>180</v>
      </c>
      <c r="D383" s="37" t="s">
        <v>102</v>
      </c>
      <c r="E383" s="38" t="n">
        <f aca="false">'Matrice des notes'!AH16</f>
        <v>1</v>
      </c>
      <c r="F383" s="37" t="s">
        <v>655</v>
      </c>
      <c r="G383" s="39" t="s">
        <v>656</v>
      </c>
    </row>
    <row r="384" customFormat="false" ht="15" hidden="false" customHeight="false" outlineLevel="0" collapsed="false">
      <c r="A384" s="37" t="s">
        <v>184</v>
      </c>
      <c r="B384" s="37" t="s">
        <v>195</v>
      </c>
      <c r="C384" s="37" t="s">
        <v>180</v>
      </c>
      <c r="D384" s="37" t="s">
        <v>104</v>
      </c>
      <c r="E384" s="38" t="n">
        <f aca="false">'Matrice des notes'!AI16</f>
        <v>1</v>
      </c>
      <c r="F384" s="37" t="s">
        <v>631</v>
      </c>
      <c r="G384" s="39" t="s">
        <v>654</v>
      </c>
    </row>
    <row r="385" customFormat="false" ht="15" hidden="false" customHeight="false" outlineLevel="0" collapsed="false">
      <c r="A385" s="37" t="s">
        <v>184</v>
      </c>
      <c r="B385" s="37" t="s">
        <v>195</v>
      </c>
      <c r="C385" s="37" t="s">
        <v>180</v>
      </c>
      <c r="D385" s="37" t="s">
        <v>107</v>
      </c>
      <c r="E385" s="38" t="n">
        <f aca="false">'Matrice des notes'!AJ16</f>
        <v>1</v>
      </c>
      <c r="F385" s="37" t="s">
        <v>631</v>
      </c>
      <c r="G385" s="39" t="s">
        <v>654</v>
      </c>
    </row>
    <row r="386" customFormat="false" ht="15" hidden="false" customHeight="false" outlineLevel="0" collapsed="false">
      <c r="A386" s="37" t="s">
        <v>184</v>
      </c>
      <c r="B386" s="37" t="s">
        <v>195</v>
      </c>
      <c r="C386" s="37" t="s">
        <v>180</v>
      </c>
      <c r="D386" s="37" t="s">
        <v>110</v>
      </c>
      <c r="E386" s="38" t="n">
        <f aca="false">'Matrice des notes'!AK16</f>
        <v>1</v>
      </c>
      <c r="F386" s="37" t="s">
        <v>631</v>
      </c>
      <c r="G386" s="39" t="s">
        <v>654</v>
      </c>
    </row>
    <row r="387" customFormat="false" ht="15" hidden="false" customHeight="false" outlineLevel="0" collapsed="false">
      <c r="A387" s="37" t="s">
        <v>184</v>
      </c>
      <c r="B387" s="37" t="s">
        <v>195</v>
      </c>
      <c r="C387" s="37" t="s">
        <v>180</v>
      </c>
      <c r="D387" s="37" t="s">
        <v>113</v>
      </c>
      <c r="E387" s="38" t="n">
        <f aca="false">'Matrice des notes'!AL16</f>
        <v>1</v>
      </c>
      <c r="F387" s="37" t="s">
        <v>631</v>
      </c>
      <c r="G387" s="39" t="s">
        <v>654</v>
      </c>
    </row>
    <row r="388" customFormat="false" ht="15" hidden="false" customHeight="false" outlineLevel="0" collapsed="false">
      <c r="A388" s="37" t="s">
        <v>184</v>
      </c>
      <c r="B388" s="37" t="s">
        <v>195</v>
      </c>
      <c r="C388" s="37" t="s">
        <v>180</v>
      </c>
      <c r="D388" s="37" t="s">
        <v>116</v>
      </c>
      <c r="E388" s="38" t="n">
        <f aca="false">'Matrice des notes'!AM16</f>
        <v>1</v>
      </c>
      <c r="F388" s="37" t="s">
        <v>655</v>
      </c>
      <c r="G388" s="39" t="s">
        <v>656</v>
      </c>
    </row>
    <row r="389" customFormat="false" ht="15" hidden="false" customHeight="false" outlineLevel="0" collapsed="false">
      <c r="A389" s="37" t="s">
        <v>184</v>
      </c>
      <c r="B389" s="37" t="s">
        <v>195</v>
      </c>
      <c r="C389" s="37" t="s">
        <v>180</v>
      </c>
      <c r="D389" s="37" t="s">
        <v>119</v>
      </c>
      <c r="E389" s="38" t="n">
        <f aca="false">'Matrice des notes'!AN16</f>
        <v>1</v>
      </c>
      <c r="F389" s="37" t="s">
        <v>631</v>
      </c>
      <c r="G389" s="39" t="s">
        <v>654</v>
      </c>
    </row>
    <row r="390" customFormat="false" ht="15" hidden="false" customHeight="false" outlineLevel="0" collapsed="false">
      <c r="A390" s="37" t="s">
        <v>184</v>
      </c>
      <c r="B390" s="37" t="s">
        <v>195</v>
      </c>
      <c r="C390" s="37" t="s">
        <v>180</v>
      </c>
      <c r="D390" s="37" t="s">
        <v>121</v>
      </c>
      <c r="E390" s="38" t="n">
        <f aca="false">'Matrice des notes'!AO16</f>
        <v>1</v>
      </c>
      <c r="F390" s="37" t="s">
        <v>657</v>
      </c>
      <c r="G390" s="39" t="s">
        <v>658</v>
      </c>
    </row>
    <row r="391" customFormat="false" ht="15" hidden="false" customHeight="false" outlineLevel="0" collapsed="false">
      <c r="A391" s="37" t="s">
        <v>184</v>
      </c>
      <c r="B391" s="37" t="s">
        <v>195</v>
      </c>
      <c r="C391" s="37" t="s">
        <v>180</v>
      </c>
      <c r="D391" s="37" t="s">
        <v>124</v>
      </c>
      <c r="E391" s="38" t="n">
        <f aca="false">'Matrice des notes'!AP16</f>
        <v>2</v>
      </c>
      <c r="F391" s="37" t="s">
        <v>715</v>
      </c>
      <c r="G391" s="39" t="s">
        <v>716</v>
      </c>
    </row>
    <row r="392" customFormat="false" ht="15" hidden="false" customHeight="false" outlineLevel="0" collapsed="false">
      <c r="A392" s="37" t="s">
        <v>184</v>
      </c>
      <c r="B392" s="37" t="s">
        <v>196</v>
      </c>
      <c r="C392" s="37" t="s">
        <v>178</v>
      </c>
      <c r="D392" s="37" t="s">
        <v>7</v>
      </c>
      <c r="E392" s="38" t="n">
        <f aca="false">'Matrice des notes'!D17</f>
        <v>1</v>
      </c>
      <c r="F392" s="37" t="s">
        <v>720</v>
      </c>
      <c r="G392" s="39" t="s">
        <v>721</v>
      </c>
    </row>
    <row r="393" customFormat="false" ht="22.35" hidden="false" customHeight="false" outlineLevel="0" collapsed="false">
      <c r="A393" s="37" t="s">
        <v>184</v>
      </c>
      <c r="B393" s="37" t="s">
        <v>196</v>
      </c>
      <c r="C393" s="37" t="s">
        <v>178</v>
      </c>
      <c r="D393" s="37" t="s">
        <v>11</v>
      </c>
      <c r="E393" s="38" t="n">
        <f aca="false">'Matrice des notes'!E17</f>
        <v>1</v>
      </c>
      <c r="F393" s="37" t="s">
        <v>730</v>
      </c>
      <c r="G393" s="39" t="s">
        <v>731</v>
      </c>
    </row>
    <row r="394" customFormat="false" ht="15" hidden="false" customHeight="false" outlineLevel="0" collapsed="false">
      <c r="A394" s="37" t="s">
        <v>184</v>
      </c>
      <c r="B394" s="37" t="s">
        <v>196</v>
      </c>
      <c r="C394" s="37" t="s">
        <v>178</v>
      </c>
      <c r="D394" s="37" t="s">
        <v>14</v>
      </c>
      <c r="E394" s="38" t="n">
        <f aca="false">'Matrice des notes'!F17</f>
        <v>1</v>
      </c>
      <c r="F394" s="37" t="s">
        <v>695</v>
      </c>
      <c r="G394" s="39" t="s">
        <v>696</v>
      </c>
    </row>
    <row r="395" customFormat="false" ht="15" hidden="false" customHeight="false" outlineLevel="0" collapsed="false">
      <c r="A395" s="37" t="s">
        <v>184</v>
      </c>
      <c r="B395" s="37" t="s">
        <v>196</v>
      </c>
      <c r="C395" s="37" t="s">
        <v>178</v>
      </c>
      <c r="D395" s="37" t="s">
        <v>17</v>
      </c>
      <c r="E395" s="38" t="n">
        <f aca="false">'Matrice des notes'!G17</f>
        <v>1</v>
      </c>
      <c r="F395" s="37" t="s">
        <v>697</v>
      </c>
      <c r="G395" s="39" t="s">
        <v>698</v>
      </c>
    </row>
    <row r="396" customFormat="false" ht="22.35" hidden="false" customHeight="false" outlineLevel="0" collapsed="false">
      <c r="A396" s="37" t="s">
        <v>184</v>
      </c>
      <c r="B396" s="37" t="s">
        <v>196</v>
      </c>
      <c r="C396" s="37" t="s">
        <v>178</v>
      </c>
      <c r="D396" s="37" t="s">
        <v>20</v>
      </c>
      <c r="E396" s="38" t="n">
        <f aca="false">'Matrice des notes'!H17</f>
        <v>1</v>
      </c>
      <c r="F396" s="37" t="s">
        <v>732</v>
      </c>
      <c r="G396" s="39" t="s">
        <v>733</v>
      </c>
    </row>
    <row r="397" customFormat="false" ht="15" hidden="false" customHeight="false" outlineLevel="0" collapsed="false">
      <c r="A397" s="37" t="s">
        <v>184</v>
      </c>
      <c r="B397" s="37" t="s">
        <v>196</v>
      </c>
      <c r="C397" s="37" t="s">
        <v>178</v>
      </c>
      <c r="D397" s="37" t="s">
        <v>23</v>
      </c>
      <c r="E397" s="38" t="n">
        <f aca="false">'Matrice des notes'!I17</f>
        <v>1</v>
      </c>
      <c r="F397" s="37" t="s">
        <v>697</v>
      </c>
      <c r="G397" s="39" t="s">
        <v>701</v>
      </c>
    </row>
    <row r="398" customFormat="false" ht="15" hidden="false" customHeight="false" outlineLevel="0" collapsed="false">
      <c r="A398" s="37" t="s">
        <v>184</v>
      </c>
      <c r="B398" s="37" t="s">
        <v>196</v>
      </c>
      <c r="C398" s="37" t="s">
        <v>178</v>
      </c>
      <c r="D398" s="37" t="s">
        <v>26</v>
      </c>
      <c r="E398" s="38" t="n">
        <f aca="false">'Matrice des notes'!J17</f>
        <v>1</v>
      </c>
      <c r="F398" s="37" t="s">
        <v>677</v>
      </c>
      <c r="G398" s="39" t="s">
        <v>702</v>
      </c>
    </row>
    <row r="399" customFormat="false" ht="15" hidden="false" customHeight="false" outlineLevel="0" collapsed="false">
      <c r="A399" s="37" t="s">
        <v>184</v>
      </c>
      <c r="B399" s="37" t="s">
        <v>196</v>
      </c>
      <c r="C399" s="37" t="s">
        <v>178</v>
      </c>
      <c r="D399" s="37" t="s">
        <v>30</v>
      </c>
      <c r="E399" s="38" t="n">
        <f aca="false">'Matrice des notes'!K17</f>
        <v>1</v>
      </c>
      <c r="F399" s="37" t="s">
        <v>677</v>
      </c>
      <c r="G399" s="39" t="s">
        <v>703</v>
      </c>
    </row>
    <row r="400" customFormat="false" ht="15" hidden="false" customHeight="false" outlineLevel="0" collapsed="false">
      <c r="A400" s="37" t="s">
        <v>184</v>
      </c>
      <c r="B400" s="37" t="s">
        <v>196</v>
      </c>
      <c r="C400" s="37" t="s">
        <v>178</v>
      </c>
      <c r="D400" s="37" t="s">
        <v>34</v>
      </c>
      <c r="E400" s="38" t="n">
        <f aca="false">'Matrice des notes'!L17</f>
        <v>3</v>
      </c>
      <c r="F400" s="37" t="s">
        <v>675</v>
      </c>
      <c r="G400" s="39" t="s">
        <v>676</v>
      </c>
    </row>
    <row r="401" customFormat="false" ht="15" hidden="false" customHeight="false" outlineLevel="0" collapsed="false">
      <c r="A401" s="37" t="s">
        <v>184</v>
      </c>
      <c r="B401" s="37" t="s">
        <v>196</v>
      </c>
      <c r="C401" s="37" t="s">
        <v>178</v>
      </c>
      <c r="D401" s="37" t="s">
        <v>37</v>
      </c>
      <c r="E401" s="38" t="n">
        <f aca="false">'Matrice des notes'!M17</f>
        <v>1</v>
      </c>
      <c r="F401" s="37" t="s">
        <v>679</v>
      </c>
      <c r="G401" s="39" t="s">
        <v>680</v>
      </c>
    </row>
    <row r="402" customFormat="false" ht="22.35" hidden="false" customHeight="false" outlineLevel="0" collapsed="false">
      <c r="A402" s="37" t="s">
        <v>184</v>
      </c>
      <c r="B402" s="37" t="s">
        <v>196</v>
      </c>
      <c r="C402" s="37" t="s">
        <v>178</v>
      </c>
      <c r="D402" s="37" t="s">
        <v>40</v>
      </c>
      <c r="E402" s="38" t="n">
        <f aca="false">'Matrice des notes'!N17</f>
        <v>1</v>
      </c>
      <c r="F402" s="37" t="s">
        <v>730</v>
      </c>
      <c r="G402" s="39" t="s">
        <v>734</v>
      </c>
    </row>
    <row r="403" customFormat="false" ht="15" hidden="false" customHeight="false" outlineLevel="0" collapsed="false">
      <c r="A403" s="37" t="s">
        <v>184</v>
      </c>
      <c r="B403" s="37" t="s">
        <v>196</v>
      </c>
      <c r="C403" s="37" t="s">
        <v>178</v>
      </c>
      <c r="D403" s="37" t="s">
        <v>43</v>
      </c>
      <c r="E403" s="38" t="n">
        <f aca="false">'Matrice des notes'!O17</f>
        <v>3</v>
      </c>
      <c r="F403" s="37" t="s">
        <v>635</v>
      </c>
      <c r="G403" s="39" t="s">
        <v>724</v>
      </c>
    </row>
    <row r="404" customFormat="false" ht="15" hidden="false" customHeight="false" outlineLevel="0" collapsed="false">
      <c r="A404" s="37" t="s">
        <v>184</v>
      </c>
      <c r="B404" s="37" t="s">
        <v>196</v>
      </c>
      <c r="C404" s="37" t="s">
        <v>178</v>
      </c>
      <c r="D404" s="37" t="s">
        <v>46</v>
      </c>
      <c r="E404" s="38" t="n">
        <f aca="false">'Matrice des notes'!P17</f>
        <v>3</v>
      </c>
      <c r="F404" s="37" t="s">
        <v>675</v>
      </c>
      <c r="G404" s="39" t="s">
        <v>676</v>
      </c>
    </row>
    <row r="405" customFormat="false" ht="15" hidden="false" customHeight="false" outlineLevel="0" collapsed="false">
      <c r="A405" s="37" t="s">
        <v>184</v>
      </c>
      <c r="B405" s="37" t="s">
        <v>196</v>
      </c>
      <c r="C405" s="37" t="s">
        <v>179</v>
      </c>
      <c r="D405" s="37" t="s">
        <v>49</v>
      </c>
      <c r="E405" s="38" t="n">
        <f aca="false">'Matrice des notes'!Q17</f>
        <v>1</v>
      </c>
      <c r="F405" s="37" t="s">
        <v>693</v>
      </c>
      <c r="G405" s="39" t="s">
        <v>706</v>
      </c>
    </row>
    <row r="406" customFormat="false" ht="15" hidden="false" customHeight="false" outlineLevel="0" collapsed="false">
      <c r="A406" s="37" t="s">
        <v>184</v>
      </c>
      <c r="B406" s="37" t="s">
        <v>196</v>
      </c>
      <c r="C406" s="37" t="s">
        <v>179</v>
      </c>
      <c r="D406" s="37" t="s">
        <v>53</v>
      </c>
      <c r="E406" s="38" t="n">
        <f aca="false">'Matrice des notes'!R17</f>
        <v>3</v>
      </c>
      <c r="F406" s="37" t="s">
        <v>675</v>
      </c>
      <c r="G406" s="39" t="s">
        <v>676</v>
      </c>
    </row>
    <row r="407" customFormat="false" ht="15" hidden="false" customHeight="false" outlineLevel="0" collapsed="false">
      <c r="A407" s="37" t="s">
        <v>184</v>
      </c>
      <c r="B407" s="37" t="s">
        <v>196</v>
      </c>
      <c r="C407" s="37" t="s">
        <v>179</v>
      </c>
      <c r="D407" s="37" t="s">
        <v>56</v>
      </c>
      <c r="E407" s="38" t="n">
        <f aca="false">'Matrice des notes'!S17</f>
        <v>2</v>
      </c>
      <c r="F407" s="37" t="s">
        <v>697</v>
      </c>
      <c r="G407" s="39" t="s">
        <v>735</v>
      </c>
    </row>
    <row r="408" customFormat="false" ht="15" hidden="false" customHeight="false" outlineLevel="0" collapsed="false">
      <c r="A408" s="37" t="s">
        <v>184</v>
      </c>
      <c r="B408" s="37" t="s">
        <v>196</v>
      </c>
      <c r="C408" s="37" t="s">
        <v>179</v>
      </c>
      <c r="D408" s="37" t="s">
        <v>59</v>
      </c>
      <c r="E408" s="38" t="n">
        <f aca="false">'Matrice des notes'!T17</f>
        <v>1</v>
      </c>
      <c r="F408" s="37" t="s">
        <v>697</v>
      </c>
      <c r="G408" s="39" t="s">
        <v>698</v>
      </c>
    </row>
    <row r="409" customFormat="false" ht="15" hidden="false" customHeight="false" outlineLevel="0" collapsed="false">
      <c r="A409" s="37" t="s">
        <v>184</v>
      </c>
      <c r="B409" s="37" t="s">
        <v>196</v>
      </c>
      <c r="C409" s="37" t="s">
        <v>179</v>
      </c>
      <c r="D409" s="37" t="s">
        <v>62</v>
      </c>
      <c r="E409" s="38" t="n">
        <f aca="false">'Matrice des notes'!U17</f>
        <v>1</v>
      </c>
      <c r="F409" s="37" t="s">
        <v>693</v>
      </c>
      <c r="G409" s="39" t="s">
        <v>710</v>
      </c>
    </row>
    <row r="410" customFormat="false" ht="15" hidden="false" customHeight="false" outlineLevel="0" collapsed="false">
      <c r="A410" s="37" t="s">
        <v>184</v>
      </c>
      <c r="B410" s="37" t="s">
        <v>196</v>
      </c>
      <c r="C410" s="37" t="s">
        <v>179</v>
      </c>
      <c r="D410" s="37" t="s">
        <v>65</v>
      </c>
      <c r="E410" s="38" t="n">
        <f aca="false">'Matrice des notes'!V17</f>
        <v>5</v>
      </c>
      <c r="F410" s="37" t="s">
        <v>725</v>
      </c>
      <c r="G410" s="39" t="s">
        <v>726</v>
      </c>
    </row>
    <row r="411" customFormat="false" ht="15" hidden="false" customHeight="false" outlineLevel="0" collapsed="false">
      <c r="A411" s="37" t="s">
        <v>184</v>
      </c>
      <c r="B411" s="37" t="s">
        <v>196</v>
      </c>
      <c r="C411" s="37" t="s">
        <v>179</v>
      </c>
      <c r="D411" s="37" t="s">
        <v>68</v>
      </c>
      <c r="E411" s="38" t="n">
        <f aca="false">'Matrice des notes'!W17</f>
        <v>2</v>
      </c>
      <c r="F411" s="37" t="s">
        <v>649</v>
      </c>
      <c r="G411" s="39" t="s">
        <v>650</v>
      </c>
    </row>
    <row r="412" customFormat="false" ht="15" hidden="false" customHeight="false" outlineLevel="0" collapsed="false">
      <c r="A412" s="37" t="s">
        <v>184</v>
      </c>
      <c r="B412" s="37" t="s">
        <v>196</v>
      </c>
      <c r="C412" s="37" t="s">
        <v>179</v>
      </c>
      <c r="D412" s="37" t="s">
        <v>71</v>
      </c>
      <c r="E412" s="38" t="n">
        <f aca="false">'Matrice des notes'!X17</f>
        <v>1</v>
      </c>
      <c r="F412" s="37" t="s">
        <v>693</v>
      </c>
      <c r="G412" s="39" t="s">
        <v>711</v>
      </c>
    </row>
    <row r="413" customFormat="false" ht="15" hidden="false" customHeight="false" outlineLevel="0" collapsed="false">
      <c r="A413" s="37" t="s">
        <v>184</v>
      </c>
      <c r="B413" s="37" t="s">
        <v>196</v>
      </c>
      <c r="C413" s="37" t="s">
        <v>179</v>
      </c>
      <c r="D413" s="37" t="s">
        <v>74</v>
      </c>
      <c r="E413" s="38" t="n">
        <f aca="false">'Matrice des notes'!Y17</f>
        <v>5</v>
      </c>
      <c r="F413" s="37" t="s">
        <v>727</v>
      </c>
      <c r="G413" s="39" t="s">
        <v>728</v>
      </c>
    </row>
    <row r="414" customFormat="false" ht="15" hidden="false" customHeight="false" outlineLevel="0" collapsed="false">
      <c r="A414" s="37" t="s">
        <v>184</v>
      </c>
      <c r="B414" s="37" t="s">
        <v>196</v>
      </c>
      <c r="C414" s="37" t="s">
        <v>179</v>
      </c>
      <c r="D414" s="37" t="s">
        <v>77</v>
      </c>
      <c r="E414" s="38" t="n">
        <f aca="false">'Matrice des notes'!Z17</f>
        <v>3</v>
      </c>
      <c r="F414" s="37" t="s">
        <v>675</v>
      </c>
      <c r="G414" s="39" t="s">
        <v>676</v>
      </c>
    </row>
    <row r="415" customFormat="false" ht="15" hidden="false" customHeight="false" outlineLevel="0" collapsed="false">
      <c r="A415" s="37" t="s">
        <v>184</v>
      </c>
      <c r="B415" s="37" t="s">
        <v>196</v>
      </c>
      <c r="C415" s="37" t="s">
        <v>179</v>
      </c>
      <c r="D415" s="37" t="s">
        <v>80</v>
      </c>
      <c r="E415" s="38" t="n">
        <f aca="false">'Matrice des notes'!AA17</f>
        <v>4</v>
      </c>
      <c r="F415" s="37" t="s">
        <v>623</v>
      </c>
      <c r="G415" s="39" t="s">
        <v>738</v>
      </c>
    </row>
    <row r="416" customFormat="false" ht="15" hidden="false" customHeight="false" outlineLevel="0" collapsed="false">
      <c r="A416" s="37" t="s">
        <v>184</v>
      </c>
      <c r="B416" s="37" t="s">
        <v>196</v>
      </c>
      <c r="C416" s="37" t="s">
        <v>179</v>
      </c>
      <c r="D416" s="37" t="s">
        <v>83</v>
      </c>
      <c r="E416" s="38" t="n">
        <f aca="false">'Matrice des notes'!AB17</f>
        <v>2</v>
      </c>
      <c r="F416" s="37" t="s">
        <v>693</v>
      </c>
      <c r="G416" s="39" t="s">
        <v>737</v>
      </c>
    </row>
    <row r="417" customFormat="false" ht="15" hidden="false" customHeight="false" outlineLevel="0" collapsed="false">
      <c r="A417" s="37" t="s">
        <v>184</v>
      </c>
      <c r="B417" s="37" t="s">
        <v>196</v>
      </c>
      <c r="C417" s="37" t="s">
        <v>179</v>
      </c>
      <c r="D417" s="37" t="s">
        <v>86</v>
      </c>
      <c r="E417" s="38" t="n">
        <f aca="false">'Matrice des notes'!AC17</f>
        <v>2</v>
      </c>
      <c r="F417" s="37" t="s">
        <v>652</v>
      </c>
      <c r="G417" s="39" t="s">
        <v>653</v>
      </c>
    </row>
    <row r="418" customFormat="false" ht="15" hidden="false" customHeight="false" outlineLevel="0" collapsed="false">
      <c r="A418" s="37" t="s">
        <v>184</v>
      </c>
      <c r="B418" s="37" t="s">
        <v>196</v>
      </c>
      <c r="C418" s="37" t="s">
        <v>179</v>
      </c>
      <c r="D418" s="37" t="s">
        <v>89</v>
      </c>
      <c r="E418" s="38" t="n">
        <f aca="false">'Matrice des notes'!AD17</f>
        <v>3</v>
      </c>
      <c r="F418" s="37" t="s">
        <v>652</v>
      </c>
      <c r="G418" s="39" t="s">
        <v>653</v>
      </c>
    </row>
    <row r="419" customFormat="false" ht="15" hidden="false" customHeight="false" outlineLevel="0" collapsed="false">
      <c r="A419" s="37" t="s">
        <v>184</v>
      </c>
      <c r="B419" s="37" t="s">
        <v>196</v>
      </c>
      <c r="C419" s="37" t="s">
        <v>179</v>
      </c>
      <c r="D419" s="37" t="s">
        <v>92</v>
      </c>
      <c r="E419" s="38" t="n">
        <f aca="false">'Matrice des notes'!AE17</f>
        <v>2</v>
      </c>
      <c r="F419" s="37" t="s">
        <v>708</v>
      </c>
      <c r="G419" s="39" t="s">
        <v>714</v>
      </c>
    </row>
    <row r="420" customFormat="false" ht="15" hidden="false" customHeight="false" outlineLevel="0" collapsed="false">
      <c r="A420" s="37" t="s">
        <v>184</v>
      </c>
      <c r="B420" s="37" t="s">
        <v>196</v>
      </c>
      <c r="C420" s="37" t="s">
        <v>180</v>
      </c>
      <c r="D420" s="37" t="s">
        <v>95</v>
      </c>
      <c r="E420" s="38" t="n">
        <f aca="false">'Matrice des notes'!AF17</f>
        <v>1</v>
      </c>
      <c r="F420" s="37" t="s">
        <v>631</v>
      </c>
      <c r="G420" s="39" t="s">
        <v>654</v>
      </c>
    </row>
    <row r="421" customFormat="false" ht="15" hidden="false" customHeight="false" outlineLevel="0" collapsed="false">
      <c r="A421" s="37" t="s">
        <v>184</v>
      </c>
      <c r="B421" s="37" t="s">
        <v>196</v>
      </c>
      <c r="C421" s="37" t="s">
        <v>180</v>
      </c>
      <c r="D421" s="37" t="s">
        <v>99</v>
      </c>
      <c r="E421" s="38" t="n">
        <f aca="false">'Matrice des notes'!AG17</f>
        <v>1</v>
      </c>
      <c r="F421" s="37" t="s">
        <v>655</v>
      </c>
      <c r="G421" s="39" t="s">
        <v>656</v>
      </c>
    </row>
    <row r="422" customFormat="false" ht="15" hidden="false" customHeight="false" outlineLevel="0" collapsed="false">
      <c r="A422" s="37" t="s">
        <v>184</v>
      </c>
      <c r="B422" s="37" t="s">
        <v>196</v>
      </c>
      <c r="C422" s="37" t="s">
        <v>180</v>
      </c>
      <c r="D422" s="37" t="s">
        <v>102</v>
      </c>
      <c r="E422" s="38" t="n">
        <f aca="false">'Matrice des notes'!AH17</f>
        <v>1</v>
      </c>
      <c r="F422" s="37" t="s">
        <v>655</v>
      </c>
      <c r="G422" s="39" t="s">
        <v>656</v>
      </c>
    </row>
    <row r="423" customFormat="false" ht="15" hidden="false" customHeight="false" outlineLevel="0" collapsed="false">
      <c r="A423" s="37" t="s">
        <v>184</v>
      </c>
      <c r="B423" s="37" t="s">
        <v>196</v>
      </c>
      <c r="C423" s="37" t="s">
        <v>180</v>
      </c>
      <c r="D423" s="37" t="s">
        <v>104</v>
      </c>
      <c r="E423" s="38" t="n">
        <f aca="false">'Matrice des notes'!AI17</f>
        <v>1</v>
      </c>
      <c r="F423" s="37" t="s">
        <v>631</v>
      </c>
      <c r="G423" s="39" t="s">
        <v>654</v>
      </c>
    </row>
    <row r="424" customFormat="false" ht="15" hidden="false" customHeight="false" outlineLevel="0" collapsed="false">
      <c r="A424" s="37" t="s">
        <v>184</v>
      </c>
      <c r="B424" s="37" t="s">
        <v>196</v>
      </c>
      <c r="C424" s="37" t="s">
        <v>180</v>
      </c>
      <c r="D424" s="37" t="s">
        <v>107</v>
      </c>
      <c r="E424" s="38" t="n">
        <f aca="false">'Matrice des notes'!AJ17</f>
        <v>1</v>
      </c>
      <c r="F424" s="37" t="s">
        <v>631</v>
      </c>
      <c r="G424" s="39" t="s">
        <v>654</v>
      </c>
    </row>
    <row r="425" customFormat="false" ht="15" hidden="false" customHeight="false" outlineLevel="0" collapsed="false">
      <c r="A425" s="37" t="s">
        <v>184</v>
      </c>
      <c r="B425" s="37" t="s">
        <v>196</v>
      </c>
      <c r="C425" s="37" t="s">
        <v>180</v>
      </c>
      <c r="D425" s="37" t="s">
        <v>110</v>
      </c>
      <c r="E425" s="38" t="n">
        <f aca="false">'Matrice des notes'!AK17</f>
        <v>1</v>
      </c>
      <c r="F425" s="37" t="s">
        <v>631</v>
      </c>
      <c r="G425" s="39" t="s">
        <v>654</v>
      </c>
    </row>
    <row r="426" customFormat="false" ht="15" hidden="false" customHeight="false" outlineLevel="0" collapsed="false">
      <c r="A426" s="37" t="s">
        <v>184</v>
      </c>
      <c r="B426" s="37" t="s">
        <v>196</v>
      </c>
      <c r="C426" s="37" t="s">
        <v>180</v>
      </c>
      <c r="D426" s="37" t="s">
        <v>113</v>
      </c>
      <c r="E426" s="38" t="n">
        <f aca="false">'Matrice des notes'!AL17</f>
        <v>1</v>
      </c>
      <c r="F426" s="37" t="s">
        <v>631</v>
      </c>
      <c r="G426" s="39" t="s">
        <v>654</v>
      </c>
    </row>
    <row r="427" customFormat="false" ht="15" hidden="false" customHeight="false" outlineLevel="0" collapsed="false">
      <c r="A427" s="37" t="s">
        <v>184</v>
      </c>
      <c r="B427" s="37" t="s">
        <v>196</v>
      </c>
      <c r="C427" s="37" t="s">
        <v>180</v>
      </c>
      <c r="D427" s="37" t="s">
        <v>116</v>
      </c>
      <c r="E427" s="38" t="n">
        <f aca="false">'Matrice des notes'!AM17</f>
        <v>1</v>
      </c>
      <c r="F427" s="37" t="s">
        <v>655</v>
      </c>
      <c r="G427" s="39" t="s">
        <v>656</v>
      </c>
    </row>
    <row r="428" customFormat="false" ht="15" hidden="false" customHeight="false" outlineLevel="0" collapsed="false">
      <c r="A428" s="37" t="s">
        <v>184</v>
      </c>
      <c r="B428" s="37" t="s">
        <v>196</v>
      </c>
      <c r="C428" s="37" t="s">
        <v>180</v>
      </c>
      <c r="D428" s="37" t="s">
        <v>119</v>
      </c>
      <c r="E428" s="38" t="n">
        <f aca="false">'Matrice des notes'!AN17</f>
        <v>1</v>
      </c>
      <c r="F428" s="37" t="s">
        <v>631</v>
      </c>
      <c r="G428" s="39" t="s">
        <v>654</v>
      </c>
    </row>
    <row r="429" customFormat="false" ht="15" hidden="false" customHeight="false" outlineLevel="0" collapsed="false">
      <c r="A429" s="37" t="s">
        <v>184</v>
      </c>
      <c r="B429" s="37" t="s">
        <v>196</v>
      </c>
      <c r="C429" s="37" t="s">
        <v>180</v>
      </c>
      <c r="D429" s="37" t="s">
        <v>121</v>
      </c>
      <c r="E429" s="38" t="n">
        <f aca="false">'Matrice des notes'!AO17</f>
        <v>1</v>
      </c>
      <c r="F429" s="37" t="s">
        <v>657</v>
      </c>
      <c r="G429" s="39" t="s">
        <v>658</v>
      </c>
    </row>
    <row r="430" customFormat="false" ht="15" hidden="false" customHeight="false" outlineLevel="0" collapsed="false">
      <c r="A430" s="37" t="s">
        <v>184</v>
      </c>
      <c r="B430" s="37" t="s">
        <v>196</v>
      </c>
      <c r="C430" s="37" t="s">
        <v>180</v>
      </c>
      <c r="D430" s="37" t="s">
        <v>124</v>
      </c>
      <c r="E430" s="38" t="n">
        <f aca="false">'Matrice des notes'!AP17</f>
        <v>3</v>
      </c>
      <c r="F430" s="37" t="s">
        <v>659</v>
      </c>
      <c r="G430" s="39" t="s">
        <v>739</v>
      </c>
    </row>
    <row r="431" customFormat="false" ht="15" hidden="false" customHeight="false" outlineLevel="0" collapsed="false">
      <c r="A431" s="37" t="s">
        <v>184</v>
      </c>
      <c r="B431" s="37" t="s">
        <v>197</v>
      </c>
      <c r="C431" s="37" t="s">
        <v>178</v>
      </c>
      <c r="D431" s="37" t="s">
        <v>7</v>
      </c>
      <c r="E431" s="38" t="n">
        <f aca="false">'Matrice des notes'!D18</f>
        <v>1</v>
      </c>
      <c r="F431" s="37" t="s">
        <v>720</v>
      </c>
      <c r="G431" s="39" t="s">
        <v>721</v>
      </c>
    </row>
    <row r="432" customFormat="false" ht="22.35" hidden="false" customHeight="false" outlineLevel="0" collapsed="false">
      <c r="A432" s="37" t="s">
        <v>184</v>
      </c>
      <c r="B432" s="37" t="s">
        <v>197</v>
      </c>
      <c r="C432" s="37" t="s">
        <v>178</v>
      </c>
      <c r="D432" s="37" t="s">
        <v>11</v>
      </c>
      <c r="E432" s="38" t="n">
        <f aca="false">'Matrice des notes'!E18</f>
        <v>1</v>
      </c>
      <c r="F432" s="37" t="s">
        <v>730</v>
      </c>
      <c r="G432" s="39" t="s">
        <v>731</v>
      </c>
    </row>
    <row r="433" customFormat="false" ht="15" hidden="false" customHeight="false" outlineLevel="0" collapsed="false">
      <c r="A433" s="37" t="s">
        <v>184</v>
      </c>
      <c r="B433" s="37" t="s">
        <v>197</v>
      </c>
      <c r="C433" s="37" t="s">
        <v>178</v>
      </c>
      <c r="D433" s="37" t="s">
        <v>14</v>
      </c>
      <c r="E433" s="38" t="n">
        <f aca="false">'Matrice des notes'!F18</f>
        <v>1</v>
      </c>
      <c r="F433" s="37" t="s">
        <v>695</v>
      </c>
      <c r="G433" s="39" t="s">
        <v>696</v>
      </c>
    </row>
    <row r="434" customFormat="false" ht="15" hidden="false" customHeight="false" outlineLevel="0" collapsed="false">
      <c r="A434" s="37" t="s">
        <v>184</v>
      </c>
      <c r="B434" s="37" t="s">
        <v>197</v>
      </c>
      <c r="C434" s="37" t="s">
        <v>178</v>
      </c>
      <c r="D434" s="37" t="s">
        <v>17</v>
      </c>
      <c r="E434" s="38" t="n">
        <f aca="false">'Matrice des notes'!G18</f>
        <v>1</v>
      </c>
      <c r="F434" s="37" t="s">
        <v>697</v>
      </c>
      <c r="G434" s="39" t="s">
        <v>698</v>
      </c>
    </row>
    <row r="435" customFormat="false" ht="22.35" hidden="false" customHeight="false" outlineLevel="0" collapsed="false">
      <c r="A435" s="37" t="s">
        <v>184</v>
      </c>
      <c r="B435" s="37" t="s">
        <v>197</v>
      </c>
      <c r="C435" s="37" t="s">
        <v>178</v>
      </c>
      <c r="D435" s="37" t="s">
        <v>20</v>
      </c>
      <c r="E435" s="38" t="n">
        <f aca="false">'Matrice des notes'!H18</f>
        <v>1</v>
      </c>
      <c r="F435" s="37" t="s">
        <v>732</v>
      </c>
      <c r="G435" s="39" t="s">
        <v>733</v>
      </c>
    </row>
    <row r="436" customFormat="false" ht="15" hidden="false" customHeight="false" outlineLevel="0" collapsed="false">
      <c r="A436" s="37" t="s">
        <v>184</v>
      </c>
      <c r="B436" s="37" t="s">
        <v>197</v>
      </c>
      <c r="C436" s="37" t="s">
        <v>178</v>
      </c>
      <c r="D436" s="37" t="s">
        <v>23</v>
      </c>
      <c r="E436" s="38" t="n">
        <f aca="false">'Matrice des notes'!I18</f>
        <v>1</v>
      </c>
      <c r="F436" s="37" t="s">
        <v>697</v>
      </c>
      <c r="G436" s="39" t="s">
        <v>701</v>
      </c>
    </row>
    <row r="437" customFormat="false" ht="15" hidden="false" customHeight="false" outlineLevel="0" collapsed="false">
      <c r="A437" s="37" t="s">
        <v>184</v>
      </c>
      <c r="B437" s="37" t="s">
        <v>197</v>
      </c>
      <c r="C437" s="37" t="s">
        <v>178</v>
      </c>
      <c r="D437" s="37" t="s">
        <v>26</v>
      </c>
      <c r="E437" s="38" t="n">
        <f aca="false">'Matrice des notes'!J18</f>
        <v>1</v>
      </c>
      <c r="F437" s="37" t="s">
        <v>677</v>
      </c>
      <c r="G437" s="39" t="s">
        <v>702</v>
      </c>
    </row>
    <row r="438" customFormat="false" ht="15" hidden="false" customHeight="false" outlineLevel="0" collapsed="false">
      <c r="A438" s="37" t="s">
        <v>184</v>
      </c>
      <c r="B438" s="37" t="s">
        <v>197</v>
      </c>
      <c r="C438" s="37" t="s">
        <v>178</v>
      </c>
      <c r="D438" s="37" t="s">
        <v>30</v>
      </c>
      <c r="E438" s="38" t="n">
        <f aca="false">'Matrice des notes'!K18</f>
        <v>1</v>
      </c>
      <c r="F438" s="37" t="s">
        <v>677</v>
      </c>
      <c r="G438" s="39" t="s">
        <v>703</v>
      </c>
    </row>
    <row r="439" customFormat="false" ht="15" hidden="false" customHeight="false" outlineLevel="0" collapsed="false">
      <c r="A439" s="37" t="s">
        <v>184</v>
      </c>
      <c r="B439" s="37" t="s">
        <v>197</v>
      </c>
      <c r="C439" s="37" t="s">
        <v>178</v>
      </c>
      <c r="D439" s="37" t="s">
        <v>34</v>
      </c>
      <c r="E439" s="38" t="n">
        <f aca="false">'Matrice des notes'!L18</f>
        <v>3</v>
      </c>
      <c r="F439" s="37" t="s">
        <v>675</v>
      </c>
      <c r="G439" s="39" t="s">
        <v>676</v>
      </c>
    </row>
    <row r="440" customFormat="false" ht="15" hidden="false" customHeight="false" outlineLevel="0" collapsed="false">
      <c r="A440" s="37" t="s">
        <v>184</v>
      </c>
      <c r="B440" s="37" t="s">
        <v>197</v>
      </c>
      <c r="C440" s="37" t="s">
        <v>178</v>
      </c>
      <c r="D440" s="37" t="s">
        <v>37</v>
      </c>
      <c r="E440" s="38" t="n">
        <f aca="false">'Matrice des notes'!M18</f>
        <v>1</v>
      </c>
      <c r="F440" s="37" t="s">
        <v>679</v>
      </c>
      <c r="G440" s="39" t="s">
        <v>680</v>
      </c>
    </row>
    <row r="441" customFormat="false" ht="22.35" hidden="false" customHeight="false" outlineLevel="0" collapsed="false">
      <c r="A441" s="37" t="s">
        <v>184</v>
      </c>
      <c r="B441" s="37" t="s">
        <v>197</v>
      </c>
      <c r="C441" s="37" t="s">
        <v>178</v>
      </c>
      <c r="D441" s="37" t="s">
        <v>40</v>
      </c>
      <c r="E441" s="38" t="n">
        <f aca="false">'Matrice des notes'!N18</f>
        <v>1</v>
      </c>
      <c r="F441" s="37" t="s">
        <v>730</v>
      </c>
      <c r="G441" s="39" t="s">
        <v>734</v>
      </c>
    </row>
    <row r="442" customFormat="false" ht="15" hidden="false" customHeight="false" outlineLevel="0" collapsed="false">
      <c r="A442" s="37" t="s">
        <v>184</v>
      </c>
      <c r="B442" s="37" t="s">
        <v>197</v>
      </c>
      <c r="C442" s="37" t="s">
        <v>178</v>
      </c>
      <c r="D442" s="37" t="s">
        <v>43</v>
      </c>
      <c r="E442" s="38" t="n">
        <f aca="false">'Matrice des notes'!O18</f>
        <v>3</v>
      </c>
      <c r="F442" s="37" t="s">
        <v>635</v>
      </c>
      <c r="G442" s="39" t="s">
        <v>724</v>
      </c>
    </row>
    <row r="443" customFormat="false" ht="15" hidden="false" customHeight="false" outlineLevel="0" collapsed="false">
      <c r="A443" s="37" t="s">
        <v>184</v>
      </c>
      <c r="B443" s="37" t="s">
        <v>197</v>
      </c>
      <c r="C443" s="37" t="s">
        <v>178</v>
      </c>
      <c r="D443" s="37" t="s">
        <v>46</v>
      </c>
      <c r="E443" s="38" t="n">
        <f aca="false">'Matrice des notes'!P18</f>
        <v>3</v>
      </c>
      <c r="F443" s="37" t="s">
        <v>675</v>
      </c>
      <c r="G443" s="39" t="s">
        <v>676</v>
      </c>
    </row>
    <row r="444" customFormat="false" ht="15" hidden="false" customHeight="false" outlineLevel="0" collapsed="false">
      <c r="A444" s="37" t="s">
        <v>184</v>
      </c>
      <c r="B444" s="37" t="s">
        <v>197</v>
      </c>
      <c r="C444" s="37" t="s">
        <v>179</v>
      </c>
      <c r="D444" s="37" t="s">
        <v>49</v>
      </c>
      <c r="E444" s="38" t="n">
        <f aca="false">'Matrice des notes'!Q18</f>
        <v>1</v>
      </c>
      <c r="F444" s="37" t="s">
        <v>693</v>
      </c>
      <c r="G444" s="39" t="s">
        <v>706</v>
      </c>
    </row>
    <row r="445" customFormat="false" ht="15" hidden="false" customHeight="false" outlineLevel="0" collapsed="false">
      <c r="A445" s="37" t="s">
        <v>184</v>
      </c>
      <c r="B445" s="37" t="s">
        <v>197</v>
      </c>
      <c r="C445" s="37" t="s">
        <v>179</v>
      </c>
      <c r="D445" s="37" t="s">
        <v>53</v>
      </c>
      <c r="E445" s="38" t="n">
        <f aca="false">'Matrice des notes'!R18</f>
        <v>3</v>
      </c>
      <c r="F445" s="37" t="s">
        <v>675</v>
      </c>
      <c r="G445" s="39" t="s">
        <v>676</v>
      </c>
    </row>
    <row r="446" customFormat="false" ht="15" hidden="false" customHeight="false" outlineLevel="0" collapsed="false">
      <c r="A446" s="37" t="s">
        <v>184</v>
      </c>
      <c r="B446" s="37" t="s">
        <v>197</v>
      </c>
      <c r="C446" s="37" t="s">
        <v>179</v>
      </c>
      <c r="D446" s="37" t="s">
        <v>56</v>
      </c>
      <c r="E446" s="38" t="n">
        <f aca="false">'Matrice des notes'!S18</f>
        <v>2</v>
      </c>
      <c r="F446" s="37" t="s">
        <v>697</v>
      </c>
      <c r="G446" s="39" t="s">
        <v>735</v>
      </c>
    </row>
    <row r="447" customFormat="false" ht="15" hidden="false" customHeight="false" outlineLevel="0" collapsed="false">
      <c r="A447" s="37" t="s">
        <v>184</v>
      </c>
      <c r="B447" s="37" t="s">
        <v>197</v>
      </c>
      <c r="C447" s="37" t="s">
        <v>179</v>
      </c>
      <c r="D447" s="37" t="s">
        <v>59</v>
      </c>
      <c r="E447" s="38" t="n">
        <f aca="false">'Matrice des notes'!T18</f>
        <v>1</v>
      </c>
      <c r="F447" s="37" t="s">
        <v>697</v>
      </c>
      <c r="G447" s="39" t="s">
        <v>698</v>
      </c>
    </row>
    <row r="448" customFormat="false" ht="15" hidden="false" customHeight="false" outlineLevel="0" collapsed="false">
      <c r="A448" s="37" t="s">
        <v>184</v>
      </c>
      <c r="B448" s="37" t="s">
        <v>197</v>
      </c>
      <c r="C448" s="37" t="s">
        <v>179</v>
      </c>
      <c r="D448" s="37" t="s">
        <v>62</v>
      </c>
      <c r="E448" s="38" t="n">
        <f aca="false">'Matrice des notes'!U18</f>
        <v>1</v>
      </c>
      <c r="F448" s="37" t="s">
        <v>693</v>
      </c>
      <c r="G448" s="39" t="s">
        <v>710</v>
      </c>
    </row>
    <row r="449" customFormat="false" ht="15" hidden="false" customHeight="false" outlineLevel="0" collapsed="false">
      <c r="A449" s="37" t="s">
        <v>184</v>
      </c>
      <c r="B449" s="37" t="s">
        <v>197</v>
      </c>
      <c r="C449" s="37" t="s">
        <v>179</v>
      </c>
      <c r="D449" s="37" t="s">
        <v>65</v>
      </c>
      <c r="E449" s="38" t="n">
        <f aca="false">'Matrice des notes'!V18</f>
        <v>5</v>
      </c>
      <c r="F449" s="37" t="s">
        <v>725</v>
      </c>
      <c r="G449" s="39" t="s">
        <v>726</v>
      </c>
    </row>
    <row r="450" customFormat="false" ht="15" hidden="false" customHeight="false" outlineLevel="0" collapsed="false">
      <c r="A450" s="37" t="s">
        <v>184</v>
      </c>
      <c r="B450" s="37" t="s">
        <v>197</v>
      </c>
      <c r="C450" s="37" t="s">
        <v>179</v>
      </c>
      <c r="D450" s="37" t="s">
        <v>68</v>
      </c>
      <c r="E450" s="38" t="n">
        <f aca="false">'Matrice des notes'!W18</f>
        <v>2</v>
      </c>
      <c r="F450" s="37" t="s">
        <v>649</v>
      </c>
      <c r="G450" s="39" t="s">
        <v>650</v>
      </c>
    </row>
    <row r="451" customFormat="false" ht="15" hidden="false" customHeight="false" outlineLevel="0" collapsed="false">
      <c r="A451" s="37" t="s">
        <v>184</v>
      </c>
      <c r="B451" s="37" t="s">
        <v>197</v>
      </c>
      <c r="C451" s="37" t="s">
        <v>179</v>
      </c>
      <c r="D451" s="37" t="s">
        <v>71</v>
      </c>
      <c r="E451" s="38" t="n">
        <f aca="false">'Matrice des notes'!X18</f>
        <v>1</v>
      </c>
      <c r="F451" s="37" t="s">
        <v>693</v>
      </c>
      <c r="G451" s="39" t="s">
        <v>711</v>
      </c>
    </row>
    <row r="452" customFormat="false" ht="15" hidden="false" customHeight="false" outlineLevel="0" collapsed="false">
      <c r="A452" s="37" t="s">
        <v>184</v>
      </c>
      <c r="B452" s="37" t="s">
        <v>197</v>
      </c>
      <c r="C452" s="37" t="s">
        <v>179</v>
      </c>
      <c r="D452" s="37" t="s">
        <v>74</v>
      </c>
      <c r="E452" s="38" t="n">
        <f aca="false">'Matrice des notes'!Y18</f>
        <v>5</v>
      </c>
      <c r="F452" s="37" t="s">
        <v>727</v>
      </c>
      <c r="G452" s="39" t="s">
        <v>728</v>
      </c>
    </row>
    <row r="453" customFormat="false" ht="15" hidden="false" customHeight="false" outlineLevel="0" collapsed="false">
      <c r="A453" s="37" t="s">
        <v>184</v>
      </c>
      <c r="B453" s="37" t="s">
        <v>197</v>
      </c>
      <c r="C453" s="37" t="s">
        <v>179</v>
      </c>
      <c r="D453" s="37" t="s">
        <v>77</v>
      </c>
      <c r="E453" s="38" t="n">
        <f aca="false">'Matrice des notes'!Z18</f>
        <v>3</v>
      </c>
      <c r="F453" s="37" t="s">
        <v>675</v>
      </c>
      <c r="G453" s="39" t="s">
        <v>676</v>
      </c>
    </row>
    <row r="454" customFormat="false" ht="15" hidden="false" customHeight="false" outlineLevel="0" collapsed="false">
      <c r="A454" s="37" t="s">
        <v>184</v>
      </c>
      <c r="B454" s="37" t="s">
        <v>197</v>
      </c>
      <c r="C454" s="37" t="s">
        <v>179</v>
      </c>
      <c r="D454" s="37" t="s">
        <v>80</v>
      </c>
      <c r="E454" s="38" t="n">
        <f aca="false">'Matrice des notes'!AA18</f>
        <v>4</v>
      </c>
      <c r="F454" s="37" t="s">
        <v>623</v>
      </c>
      <c r="G454" s="39" t="s">
        <v>738</v>
      </c>
    </row>
    <row r="455" customFormat="false" ht="15" hidden="false" customHeight="false" outlineLevel="0" collapsed="false">
      <c r="A455" s="37" t="s">
        <v>184</v>
      </c>
      <c r="B455" s="37" t="s">
        <v>197</v>
      </c>
      <c r="C455" s="37" t="s">
        <v>179</v>
      </c>
      <c r="D455" s="37" t="s">
        <v>83</v>
      </c>
      <c r="E455" s="38" t="n">
        <f aca="false">'Matrice des notes'!AB18</f>
        <v>2</v>
      </c>
      <c r="F455" s="37" t="s">
        <v>693</v>
      </c>
      <c r="G455" s="39" t="s">
        <v>737</v>
      </c>
    </row>
    <row r="456" customFormat="false" ht="15" hidden="false" customHeight="false" outlineLevel="0" collapsed="false">
      <c r="A456" s="37" t="s">
        <v>184</v>
      </c>
      <c r="B456" s="37" t="s">
        <v>197</v>
      </c>
      <c r="C456" s="37" t="s">
        <v>179</v>
      </c>
      <c r="D456" s="37" t="s">
        <v>86</v>
      </c>
      <c r="E456" s="38" t="n">
        <f aca="false">'Matrice des notes'!AC18</f>
        <v>2</v>
      </c>
      <c r="F456" s="37" t="s">
        <v>652</v>
      </c>
      <c r="G456" s="39" t="s">
        <v>653</v>
      </c>
    </row>
    <row r="457" customFormat="false" ht="15" hidden="false" customHeight="false" outlineLevel="0" collapsed="false">
      <c r="A457" s="37" t="s">
        <v>184</v>
      </c>
      <c r="B457" s="37" t="s">
        <v>197</v>
      </c>
      <c r="C457" s="37" t="s">
        <v>179</v>
      </c>
      <c r="D457" s="37" t="s">
        <v>89</v>
      </c>
      <c r="E457" s="38" t="n">
        <f aca="false">'Matrice des notes'!AD18</f>
        <v>3</v>
      </c>
      <c r="F457" s="37" t="s">
        <v>652</v>
      </c>
      <c r="G457" s="39" t="s">
        <v>653</v>
      </c>
    </row>
    <row r="458" customFormat="false" ht="15" hidden="false" customHeight="false" outlineLevel="0" collapsed="false">
      <c r="A458" s="37" t="s">
        <v>184</v>
      </c>
      <c r="B458" s="37" t="s">
        <v>197</v>
      </c>
      <c r="C458" s="37" t="s">
        <v>179</v>
      </c>
      <c r="D458" s="37" t="s">
        <v>92</v>
      </c>
      <c r="E458" s="38" t="n">
        <f aca="false">'Matrice des notes'!AE18</f>
        <v>2</v>
      </c>
      <c r="F458" s="37" t="s">
        <v>708</v>
      </c>
      <c r="G458" s="39" t="s">
        <v>714</v>
      </c>
    </row>
    <row r="459" customFormat="false" ht="15" hidden="false" customHeight="false" outlineLevel="0" collapsed="false">
      <c r="A459" s="37" t="s">
        <v>184</v>
      </c>
      <c r="B459" s="37" t="s">
        <v>197</v>
      </c>
      <c r="C459" s="37" t="s">
        <v>180</v>
      </c>
      <c r="D459" s="37" t="s">
        <v>95</v>
      </c>
      <c r="E459" s="38" t="n">
        <f aca="false">'Matrice des notes'!AF18</f>
        <v>1</v>
      </c>
      <c r="F459" s="37" t="s">
        <v>631</v>
      </c>
      <c r="G459" s="39" t="s">
        <v>654</v>
      </c>
    </row>
    <row r="460" customFormat="false" ht="15" hidden="false" customHeight="false" outlineLevel="0" collapsed="false">
      <c r="A460" s="37" t="s">
        <v>184</v>
      </c>
      <c r="B460" s="37" t="s">
        <v>197</v>
      </c>
      <c r="C460" s="37" t="s">
        <v>180</v>
      </c>
      <c r="D460" s="37" t="s">
        <v>99</v>
      </c>
      <c r="E460" s="38" t="n">
        <f aca="false">'Matrice des notes'!AG18</f>
        <v>1</v>
      </c>
      <c r="F460" s="37" t="s">
        <v>655</v>
      </c>
      <c r="G460" s="39" t="s">
        <v>656</v>
      </c>
    </row>
    <row r="461" customFormat="false" ht="15" hidden="false" customHeight="false" outlineLevel="0" collapsed="false">
      <c r="A461" s="37" t="s">
        <v>184</v>
      </c>
      <c r="B461" s="37" t="s">
        <v>197</v>
      </c>
      <c r="C461" s="37" t="s">
        <v>180</v>
      </c>
      <c r="D461" s="37" t="s">
        <v>102</v>
      </c>
      <c r="E461" s="38" t="n">
        <f aca="false">'Matrice des notes'!AH18</f>
        <v>1</v>
      </c>
      <c r="F461" s="37" t="s">
        <v>655</v>
      </c>
      <c r="G461" s="39" t="s">
        <v>656</v>
      </c>
    </row>
    <row r="462" customFormat="false" ht="15" hidden="false" customHeight="false" outlineLevel="0" collapsed="false">
      <c r="A462" s="37" t="s">
        <v>184</v>
      </c>
      <c r="B462" s="37" t="s">
        <v>197</v>
      </c>
      <c r="C462" s="37" t="s">
        <v>180</v>
      </c>
      <c r="D462" s="37" t="s">
        <v>104</v>
      </c>
      <c r="E462" s="38" t="n">
        <f aca="false">'Matrice des notes'!AI18</f>
        <v>1</v>
      </c>
      <c r="F462" s="37" t="s">
        <v>631</v>
      </c>
      <c r="G462" s="39" t="s">
        <v>654</v>
      </c>
    </row>
    <row r="463" customFormat="false" ht="15" hidden="false" customHeight="false" outlineLevel="0" collapsed="false">
      <c r="A463" s="37" t="s">
        <v>184</v>
      </c>
      <c r="B463" s="37" t="s">
        <v>197</v>
      </c>
      <c r="C463" s="37" t="s">
        <v>180</v>
      </c>
      <c r="D463" s="37" t="s">
        <v>107</v>
      </c>
      <c r="E463" s="38" t="n">
        <f aca="false">'Matrice des notes'!AJ18</f>
        <v>1</v>
      </c>
      <c r="F463" s="37" t="s">
        <v>631</v>
      </c>
      <c r="G463" s="39" t="s">
        <v>654</v>
      </c>
    </row>
    <row r="464" customFormat="false" ht="15" hidden="false" customHeight="false" outlineLevel="0" collapsed="false">
      <c r="A464" s="37" t="s">
        <v>184</v>
      </c>
      <c r="B464" s="37" t="s">
        <v>197</v>
      </c>
      <c r="C464" s="37" t="s">
        <v>180</v>
      </c>
      <c r="D464" s="37" t="s">
        <v>110</v>
      </c>
      <c r="E464" s="38" t="n">
        <f aca="false">'Matrice des notes'!AK18</f>
        <v>1</v>
      </c>
      <c r="F464" s="37" t="s">
        <v>631</v>
      </c>
      <c r="G464" s="39" t="s">
        <v>654</v>
      </c>
    </row>
    <row r="465" customFormat="false" ht="15" hidden="false" customHeight="false" outlineLevel="0" collapsed="false">
      <c r="A465" s="37" t="s">
        <v>184</v>
      </c>
      <c r="B465" s="37" t="s">
        <v>197</v>
      </c>
      <c r="C465" s="37" t="s">
        <v>180</v>
      </c>
      <c r="D465" s="37" t="s">
        <v>113</v>
      </c>
      <c r="E465" s="38" t="n">
        <f aca="false">'Matrice des notes'!AL18</f>
        <v>1</v>
      </c>
      <c r="F465" s="37" t="s">
        <v>631</v>
      </c>
      <c r="G465" s="39" t="s">
        <v>654</v>
      </c>
    </row>
    <row r="466" customFormat="false" ht="15" hidden="false" customHeight="false" outlineLevel="0" collapsed="false">
      <c r="A466" s="37" t="s">
        <v>184</v>
      </c>
      <c r="B466" s="37" t="s">
        <v>197</v>
      </c>
      <c r="C466" s="37" t="s">
        <v>180</v>
      </c>
      <c r="D466" s="37" t="s">
        <v>116</v>
      </c>
      <c r="E466" s="38" t="n">
        <f aca="false">'Matrice des notes'!AM18</f>
        <v>1</v>
      </c>
      <c r="F466" s="37" t="s">
        <v>655</v>
      </c>
      <c r="G466" s="39" t="s">
        <v>656</v>
      </c>
    </row>
    <row r="467" customFormat="false" ht="15" hidden="false" customHeight="false" outlineLevel="0" collapsed="false">
      <c r="A467" s="37" t="s">
        <v>184</v>
      </c>
      <c r="B467" s="37" t="s">
        <v>197</v>
      </c>
      <c r="C467" s="37" t="s">
        <v>180</v>
      </c>
      <c r="D467" s="37" t="s">
        <v>119</v>
      </c>
      <c r="E467" s="38" t="n">
        <f aca="false">'Matrice des notes'!AN18</f>
        <v>1</v>
      </c>
      <c r="F467" s="37" t="s">
        <v>631</v>
      </c>
      <c r="G467" s="39" t="s">
        <v>654</v>
      </c>
    </row>
    <row r="468" customFormat="false" ht="15" hidden="false" customHeight="false" outlineLevel="0" collapsed="false">
      <c r="A468" s="37" t="s">
        <v>184</v>
      </c>
      <c r="B468" s="37" t="s">
        <v>197</v>
      </c>
      <c r="C468" s="37" t="s">
        <v>180</v>
      </c>
      <c r="D468" s="37" t="s">
        <v>121</v>
      </c>
      <c r="E468" s="38" t="n">
        <f aca="false">'Matrice des notes'!AO18</f>
        <v>1</v>
      </c>
      <c r="F468" s="37" t="s">
        <v>657</v>
      </c>
      <c r="G468" s="39" t="s">
        <v>658</v>
      </c>
    </row>
    <row r="469" customFormat="false" ht="15" hidden="false" customHeight="false" outlineLevel="0" collapsed="false">
      <c r="A469" s="37" t="s">
        <v>184</v>
      </c>
      <c r="B469" s="37" t="s">
        <v>197</v>
      </c>
      <c r="C469" s="37" t="s">
        <v>180</v>
      </c>
      <c r="D469" s="37" t="s">
        <v>124</v>
      </c>
      <c r="E469" s="38" t="n">
        <f aca="false">'Matrice des notes'!AP18</f>
        <v>3</v>
      </c>
      <c r="F469" s="37" t="s">
        <v>659</v>
      </c>
      <c r="G469" s="39" t="s">
        <v>739</v>
      </c>
    </row>
    <row r="470" customFormat="false" ht="15" hidden="false" customHeight="false" outlineLevel="0" collapsed="false">
      <c r="A470" s="37" t="s">
        <v>184</v>
      </c>
      <c r="B470" s="37" t="s">
        <v>198</v>
      </c>
      <c r="C470" s="37" t="s">
        <v>178</v>
      </c>
      <c r="D470" s="37" t="s">
        <v>7</v>
      </c>
      <c r="E470" s="38" t="n">
        <f aca="false">'Matrice des notes'!D19</f>
        <v>1</v>
      </c>
      <c r="F470" s="37" t="s">
        <v>720</v>
      </c>
      <c r="G470" s="39" t="s">
        <v>721</v>
      </c>
    </row>
    <row r="471" customFormat="false" ht="15" hidden="false" customHeight="false" outlineLevel="0" collapsed="false">
      <c r="A471" s="37" t="s">
        <v>184</v>
      </c>
      <c r="B471" s="37" t="s">
        <v>198</v>
      </c>
      <c r="C471" s="37" t="s">
        <v>178</v>
      </c>
      <c r="D471" s="37" t="s">
        <v>11</v>
      </c>
      <c r="E471" s="38" t="n">
        <f aca="false">'Matrice des notes'!E19</f>
        <v>1</v>
      </c>
      <c r="F471" s="37" t="s">
        <v>722</v>
      </c>
      <c r="G471" s="39" t="s">
        <v>723</v>
      </c>
    </row>
    <row r="472" customFormat="false" ht="15" hidden="false" customHeight="false" outlineLevel="0" collapsed="false">
      <c r="A472" s="37" t="s">
        <v>184</v>
      </c>
      <c r="B472" s="37" t="s">
        <v>198</v>
      </c>
      <c r="C472" s="37" t="s">
        <v>178</v>
      </c>
      <c r="D472" s="37" t="s">
        <v>14</v>
      </c>
      <c r="E472" s="38" t="n">
        <f aca="false">'Matrice des notes'!F19</f>
        <v>2</v>
      </c>
      <c r="F472" s="37" t="s">
        <v>677</v>
      </c>
      <c r="G472" s="39" t="s">
        <v>678</v>
      </c>
    </row>
    <row r="473" customFormat="false" ht="15" hidden="false" customHeight="false" outlineLevel="0" collapsed="false">
      <c r="A473" s="37" t="s">
        <v>184</v>
      </c>
      <c r="B473" s="37" t="s">
        <v>198</v>
      </c>
      <c r="C473" s="37" t="s">
        <v>178</v>
      </c>
      <c r="D473" s="37" t="s">
        <v>17</v>
      </c>
      <c r="E473" s="38" t="n">
        <f aca="false">'Matrice des notes'!G19</f>
        <v>2</v>
      </c>
      <c r="F473" s="37" t="s">
        <v>675</v>
      </c>
      <c r="G473" s="39" t="s">
        <v>676</v>
      </c>
    </row>
    <row r="474" customFormat="false" ht="15" hidden="false" customHeight="false" outlineLevel="0" collapsed="false">
      <c r="A474" s="37" t="s">
        <v>184</v>
      </c>
      <c r="B474" s="37" t="s">
        <v>198</v>
      </c>
      <c r="C474" s="37" t="s">
        <v>178</v>
      </c>
      <c r="D474" s="37" t="s">
        <v>20</v>
      </c>
      <c r="E474" s="38" t="n">
        <f aca="false">'Matrice des notes'!H19</f>
        <v>1</v>
      </c>
      <c r="F474" s="37" t="s">
        <v>722</v>
      </c>
      <c r="G474" s="39" t="s">
        <v>723</v>
      </c>
    </row>
    <row r="475" customFormat="false" ht="15" hidden="false" customHeight="false" outlineLevel="0" collapsed="false">
      <c r="A475" s="37" t="s">
        <v>184</v>
      </c>
      <c r="B475" s="37" t="s">
        <v>198</v>
      </c>
      <c r="C475" s="37" t="s">
        <v>178</v>
      </c>
      <c r="D475" s="37" t="s">
        <v>23</v>
      </c>
      <c r="E475" s="38" t="n">
        <f aca="false">'Matrice des notes'!I19</f>
        <v>2</v>
      </c>
      <c r="F475" s="37" t="s">
        <v>675</v>
      </c>
      <c r="G475" s="39" t="s">
        <v>676</v>
      </c>
    </row>
    <row r="476" customFormat="false" ht="15" hidden="false" customHeight="false" outlineLevel="0" collapsed="false">
      <c r="A476" s="37" t="s">
        <v>184</v>
      </c>
      <c r="B476" s="37" t="s">
        <v>198</v>
      </c>
      <c r="C476" s="37" t="s">
        <v>178</v>
      </c>
      <c r="D476" s="37" t="s">
        <v>26</v>
      </c>
      <c r="E476" s="38" t="n">
        <f aca="false">'Matrice des notes'!J19</f>
        <v>2</v>
      </c>
      <c r="F476" s="37" t="s">
        <v>677</v>
      </c>
      <c r="G476" s="39" t="s">
        <v>678</v>
      </c>
    </row>
    <row r="477" customFormat="false" ht="15" hidden="false" customHeight="false" outlineLevel="0" collapsed="false">
      <c r="A477" s="37" t="s">
        <v>184</v>
      </c>
      <c r="B477" s="37" t="s">
        <v>198</v>
      </c>
      <c r="C477" s="37" t="s">
        <v>178</v>
      </c>
      <c r="D477" s="37" t="s">
        <v>30</v>
      </c>
      <c r="E477" s="38" t="n">
        <f aca="false">'Matrice des notes'!K19</f>
        <v>2</v>
      </c>
      <c r="F477" s="37" t="s">
        <v>677</v>
      </c>
      <c r="G477" s="39" t="s">
        <v>678</v>
      </c>
    </row>
    <row r="478" customFormat="false" ht="15" hidden="false" customHeight="false" outlineLevel="0" collapsed="false">
      <c r="A478" s="37" t="s">
        <v>184</v>
      </c>
      <c r="B478" s="37" t="s">
        <v>198</v>
      </c>
      <c r="C478" s="37" t="s">
        <v>178</v>
      </c>
      <c r="D478" s="37" t="s">
        <v>34</v>
      </c>
      <c r="E478" s="38" t="n">
        <f aca="false">'Matrice des notes'!L19</f>
        <v>3</v>
      </c>
      <c r="F478" s="37" t="s">
        <v>675</v>
      </c>
      <c r="G478" s="39" t="s">
        <v>676</v>
      </c>
    </row>
    <row r="479" customFormat="false" ht="15" hidden="false" customHeight="false" outlineLevel="0" collapsed="false">
      <c r="A479" s="37" t="s">
        <v>184</v>
      </c>
      <c r="B479" s="37" t="s">
        <v>198</v>
      </c>
      <c r="C479" s="37" t="s">
        <v>178</v>
      </c>
      <c r="D479" s="37" t="s">
        <v>37</v>
      </c>
      <c r="E479" s="38" t="n">
        <f aca="false">'Matrice des notes'!M19</f>
        <v>1</v>
      </c>
      <c r="F479" s="37" t="s">
        <v>679</v>
      </c>
      <c r="G479" s="39" t="s">
        <v>680</v>
      </c>
    </row>
    <row r="480" customFormat="false" ht="15" hidden="false" customHeight="false" outlineLevel="0" collapsed="false">
      <c r="A480" s="37" t="s">
        <v>184</v>
      </c>
      <c r="B480" s="37" t="s">
        <v>198</v>
      </c>
      <c r="C480" s="37" t="s">
        <v>178</v>
      </c>
      <c r="D480" s="37" t="s">
        <v>40</v>
      </c>
      <c r="E480" s="38" t="n">
        <f aca="false">'Matrice des notes'!N19</f>
        <v>1</v>
      </c>
      <c r="F480" s="37" t="s">
        <v>722</v>
      </c>
      <c r="G480" s="39" t="s">
        <v>723</v>
      </c>
    </row>
    <row r="481" customFormat="false" ht="15" hidden="false" customHeight="false" outlineLevel="0" collapsed="false">
      <c r="A481" s="37" t="s">
        <v>184</v>
      </c>
      <c r="B481" s="37" t="s">
        <v>198</v>
      </c>
      <c r="C481" s="37" t="s">
        <v>178</v>
      </c>
      <c r="D481" s="37" t="s">
        <v>43</v>
      </c>
      <c r="E481" s="38" t="n">
        <f aca="false">'Matrice des notes'!O19</f>
        <v>3</v>
      </c>
      <c r="F481" s="37" t="s">
        <v>635</v>
      </c>
      <c r="G481" s="39" t="s">
        <v>724</v>
      </c>
    </row>
    <row r="482" customFormat="false" ht="15" hidden="false" customHeight="false" outlineLevel="0" collapsed="false">
      <c r="A482" s="37" t="s">
        <v>184</v>
      </c>
      <c r="B482" s="37" t="s">
        <v>198</v>
      </c>
      <c r="C482" s="37" t="s">
        <v>178</v>
      </c>
      <c r="D482" s="37" t="s">
        <v>46</v>
      </c>
      <c r="E482" s="38" t="n">
        <f aca="false">'Matrice des notes'!P19</f>
        <v>3</v>
      </c>
      <c r="F482" s="37" t="s">
        <v>675</v>
      </c>
      <c r="G482" s="39" t="s">
        <v>676</v>
      </c>
    </row>
    <row r="483" customFormat="false" ht="15" hidden="false" customHeight="false" outlineLevel="0" collapsed="false">
      <c r="A483" s="37" t="s">
        <v>184</v>
      </c>
      <c r="B483" s="37" t="s">
        <v>198</v>
      </c>
      <c r="C483" s="37" t="s">
        <v>179</v>
      </c>
      <c r="D483" s="37" t="s">
        <v>49</v>
      </c>
      <c r="E483" s="38" t="n">
        <f aca="false">'Matrice des notes'!Q19</f>
        <v>2</v>
      </c>
      <c r="F483" s="37" t="s">
        <v>675</v>
      </c>
      <c r="G483" s="39" t="s">
        <v>676</v>
      </c>
    </row>
    <row r="484" customFormat="false" ht="15" hidden="false" customHeight="false" outlineLevel="0" collapsed="false">
      <c r="A484" s="37" t="s">
        <v>184</v>
      </c>
      <c r="B484" s="37" t="s">
        <v>198</v>
      </c>
      <c r="C484" s="37" t="s">
        <v>179</v>
      </c>
      <c r="D484" s="37" t="s">
        <v>53</v>
      </c>
      <c r="E484" s="38" t="n">
        <f aca="false">'Matrice des notes'!R19</f>
        <v>3</v>
      </c>
      <c r="F484" s="37" t="s">
        <v>675</v>
      </c>
      <c r="G484" s="39" t="s">
        <v>676</v>
      </c>
    </row>
    <row r="485" customFormat="false" ht="15" hidden="false" customHeight="false" outlineLevel="0" collapsed="false">
      <c r="A485" s="37" t="s">
        <v>184</v>
      </c>
      <c r="B485" s="37" t="s">
        <v>198</v>
      </c>
      <c r="C485" s="37" t="s">
        <v>179</v>
      </c>
      <c r="D485" s="37" t="s">
        <v>56</v>
      </c>
      <c r="E485" s="38" t="n">
        <f aca="false">'Matrice des notes'!S19</f>
        <v>3</v>
      </c>
      <c r="F485" s="37" t="s">
        <v>675</v>
      </c>
      <c r="G485" s="39" t="s">
        <v>676</v>
      </c>
    </row>
    <row r="486" customFormat="false" ht="15" hidden="false" customHeight="false" outlineLevel="0" collapsed="false">
      <c r="A486" s="37" t="s">
        <v>184</v>
      </c>
      <c r="B486" s="37" t="s">
        <v>198</v>
      </c>
      <c r="C486" s="37" t="s">
        <v>179</v>
      </c>
      <c r="D486" s="37" t="s">
        <v>59</v>
      </c>
      <c r="E486" s="38" t="n">
        <f aca="false">'Matrice des notes'!T19</f>
        <v>2</v>
      </c>
      <c r="F486" s="37" t="s">
        <v>675</v>
      </c>
      <c r="G486" s="39" t="s">
        <v>676</v>
      </c>
    </row>
    <row r="487" customFormat="false" ht="15" hidden="false" customHeight="false" outlineLevel="0" collapsed="false">
      <c r="A487" s="37" t="s">
        <v>184</v>
      </c>
      <c r="B487" s="37" t="s">
        <v>198</v>
      </c>
      <c r="C487" s="37" t="s">
        <v>179</v>
      </c>
      <c r="D487" s="37" t="s">
        <v>62</v>
      </c>
      <c r="E487" s="38" t="n">
        <f aca="false">'Matrice des notes'!U19</f>
        <v>2</v>
      </c>
      <c r="F487" s="37" t="s">
        <v>675</v>
      </c>
      <c r="G487" s="39" t="s">
        <v>676</v>
      </c>
    </row>
    <row r="488" customFormat="false" ht="15" hidden="false" customHeight="false" outlineLevel="0" collapsed="false">
      <c r="A488" s="37" t="s">
        <v>184</v>
      </c>
      <c r="B488" s="37" t="s">
        <v>198</v>
      </c>
      <c r="C488" s="37" t="s">
        <v>179</v>
      </c>
      <c r="D488" s="37" t="s">
        <v>65</v>
      </c>
      <c r="E488" s="38" t="n">
        <f aca="false">'Matrice des notes'!V19</f>
        <v>4</v>
      </c>
      <c r="F488" s="37" t="s">
        <v>623</v>
      </c>
      <c r="G488" s="39" t="s">
        <v>740</v>
      </c>
    </row>
    <row r="489" customFormat="false" ht="15" hidden="false" customHeight="false" outlineLevel="0" collapsed="false">
      <c r="A489" s="37" t="s">
        <v>184</v>
      </c>
      <c r="B489" s="37" t="s">
        <v>198</v>
      </c>
      <c r="C489" s="37" t="s">
        <v>179</v>
      </c>
      <c r="D489" s="37" t="s">
        <v>68</v>
      </c>
      <c r="E489" s="38" t="n">
        <f aca="false">'Matrice des notes'!W19</f>
        <v>2</v>
      </c>
      <c r="F489" s="37" t="s">
        <v>649</v>
      </c>
      <c r="G489" s="39" t="s">
        <v>650</v>
      </c>
    </row>
    <row r="490" customFormat="false" ht="15" hidden="false" customHeight="false" outlineLevel="0" collapsed="false">
      <c r="A490" s="37" t="s">
        <v>184</v>
      </c>
      <c r="B490" s="37" t="s">
        <v>198</v>
      </c>
      <c r="C490" s="37" t="s">
        <v>179</v>
      </c>
      <c r="D490" s="37" t="s">
        <v>71</v>
      </c>
      <c r="E490" s="38" t="n">
        <f aca="false">'Matrice des notes'!X19</f>
        <v>2</v>
      </c>
      <c r="F490" s="37" t="s">
        <v>675</v>
      </c>
      <c r="G490" s="39" t="s">
        <v>676</v>
      </c>
    </row>
    <row r="491" customFormat="false" ht="15" hidden="false" customHeight="false" outlineLevel="0" collapsed="false">
      <c r="A491" s="37" t="s">
        <v>184</v>
      </c>
      <c r="B491" s="37" t="s">
        <v>198</v>
      </c>
      <c r="C491" s="37" t="s">
        <v>179</v>
      </c>
      <c r="D491" s="37" t="s">
        <v>74</v>
      </c>
      <c r="E491" s="38" t="n">
        <f aca="false">'Matrice des notes'!Y19</f>
        <v>4</v>
      </c>
      <c r="F491" s="37" t="s">
        <v>623</v>
      </c>
      <c r="G491" s="39" t="s">
        <v>740</v>
      </c>
    </row>
    <row r="492" customFormat="false" ht="15" hidden="false" customHeight="false" outlineLevel="0" collapsed="false">
      <c r="A492" s="37" t="s">
        <v>184</v>
      </c>
      <c r="B492" s="37" t="s">
        <v>198</v>
      </c>
      <c r="C492" s="37" t="s">
        <v>179</v>
      </c>
      <c r="D492" s="37" t="s">
        <v>77</v>
      </c>
      <c r="E492" s="38" t="n">
        <f aca="false">'Matrice des notes'!Z19</f>
        <v>3</v>
      </c>
      <c r="F492" s="37" t="s">
        <v>675</v>
      </c>
      <c r="G492" s="39" t="s">
        <v>676</v>
      </c>
    </row>
    <row r="493" customFormat="false" ht="15" hidden="false" customHeight="false" outlineLevel="0" collapsed="false">
      <c r="A493" s="37" t="s">
        <v>184</v>
      </c>
      <c r="B493" s="37" t="s">
        <v>198</v>
      </c>
      <c r="C493" s="37" t="s">
        <v>179</v>
      </c>
      <c r="D493" s="37" t="s">
        <v>80</v>
      </c>
      <c r="E493" s="38" t="n">
        <f aca="false">'Matrice des notes'!AA19</f>
        <v>4</v>
      </c>
      <c r="F493" s="37" t="s">
        <v>623</v>
      </c>
      <c r="G493" s="39" t="s">
        <v>740</v>
      </c>
    </row>
    <row r="494" customFormat="false" ht="15" hidden="false" customHeight="false" outlineLevel="0" collapsed="false">
      <c r="A494" s="37" t="s">
        <v>184</v>
      </c>
      <c r="B494" s="37" t="s">
        <v>198</v>
      </c>
      <c r="C494" s="37" t="s">
        <v>179</v>
      </c>
      <c r="D494" s="37" t="s">
        <v>83</v>
      </c>
      <c r="E494" s="38" t="n">
        <f aca="false">'Matrice des notes'!AB19</f>
        <v>3</v>
      </c>
      <c r="F494" s="37" t="s">
        <v>675</v>
      </c>
      <c r="G494" s="39" t="s">
        <v>676</v>
      </c>
    </row>
    <row r="495" customFormat="false" ht="15" hidden="false" customHeight="false" outlineLevel="0" collapsed="false">
      <c r="A495" s="37" t="s">
        <v>184</v>
      </c>
      <c r="B495" s="37" t="s">
        <v>198</v>
      </c>
      <c r="C495" s="37" t="s">
        <v>179</v>
      </c>
      <c r="D495" s="37" t="s">
        <v>86</v>
      </c>
      <c r="E495" s="38" t="n">
        <f aca="false">'Matrice des notes'!AC19</f>
        <v>2</v>
      </c>
      <c r="F495" s="37" t="s">
        <v>652</v>
      </c>
      <c r="G495" s="39" t="s">
        <v>653</v>
      </c>
    </row>
    <row r="496" customFormat="false" ht="15" hidden="false" customHeight="false" outlineLevel="0" collapsed="false">
      <c r="A496" s="37" t="s">
        <v>184</v>
      </c>
      <c r="B496" s="37" t="s">
        <v>198</v>
      </c>
      <c r="C496" s="37" t="s">
        <v>179</v>
      </c>
      <c r="D496" s="37" t="s">
        <v>89</v>
      </c>
      <c r="E496" s="38" t="n">
        <f aca="false">'Matrice des notes'!AD19</f>
        <v>3</v>
      </c>
      <c r="F496" s="37" t="s">
        <v>652</v>
      </c>
      <c r="G496" s="39" t="s">
        <v>653</v>
      </c>
    </row>
    <row r="497" customFormat="false" ht="15" hidden="false" customHeight="false" outlineLevel="0" collapsed="false">
      <c r="A497" s="37" t="s">
        <v>184</v>
      </c>
      <c r="B497" s="37" t="s">
        <v>198</v>
      </c>
      <c r="C497" s="37" t="s">
        <v>179</v>
      </c>
      <c r="D497" s="37" t="s">
        <v>92</v>
      </c>
      <c r="E497" s="38" t="n">
        <f aca="false">'Matrice des notes'!AE19</f>
        <v>2</v>
      </c>
      <c r="F497" s="37" t="s">
        <v>652</v>
      </c>
      <c r="G497" s="39" t="s">
        <v>653</v>
      </c>
    </row>
    <row r="498" customFormat="false" ht="15" hidden="false" customHeight="false" outlineLevel="0" collapsed="false">
      <c r="A498" s="37" t="s">
        <v>184</v>
      </c>
      <c r="B498" s="37" t="s">
        <v>198</v>
      </c>
      <c r="C498" s="37" t="s">
        <v>180</v>
      </c>
      <c r="D498" s="37" t="s">
        <v>95</v>
      </c>
      <c r="E498" s="38" t="n">
        <f aca="false">'Matrice des notes'!AF19</f>
        <v>1</v>
      </c>
      <c r="F498" s="37" t="s">
        <v>631</v>
      </c>
      <c r="G498" s="39" t="s">
        <v>654</v>
      </c>
    </row>
    <row r="499" customFormat="false" ht="15" hidden="false" customHeight="false" outlineLevel="0" collapsed="false">
      <c r="A499" s="37" t="s">
        <v>184</v>
      </c>
      <c r="B499" s="37" t="s">
        <v>198</v>
      </c>
      <c r="C499" s="37" t="s">
        <v>180</v>
      </c>
      <c r="D499" s="37" t="s">
        <v>99</v>
      </c>
      <c r="E499" s="38" t="n">
        <f aca="false">'Matrice des notes'!AG19</f>
        <v>1</v>
      </c>
      <c r="F499" s="37" t="s">
        <v>655</v>
      </c>
      <c r="G499" s="39" t="s">
        <v>656</v>
      </c>
    </row>
    <row r="500" customFormat="false" ht="15" hidden="false" customHeight="false" outlineLevel="0" collapsed="false">
      <c r="A500" s="37" t="s">
        <v>184</v>
      </c>
      <c r="B500" s="37" t="s">
        <v>198</v>
      </c>
      <c r="C500" s="37" t="s">
        <v>180</v>
      </c>
      <c r="D500" s="37" t="s">
        <v>102</v>
      </c>
      <c r="E500" s="38" t="n">
        <f aca="false">'Matrice des notes'!AH19</f>
        <v>1</v>
      </c>
      <c r="F500" s="37" t="s">
        <v>655</v>
      </c>
      <c r="G500" s="39" t="s">
        <v>656</v>
      </c>
    </row>
    <row r="501" customFormat="false" ht="15" hidden="false" customHeight="false" outlineLevel="0" collapsed="false">
      <c r="A501" s="37" t="s">
        <v>184</v>
      </c>
      <c r="B501" s="37" t="s">
        <v>198</v>
      </c>
      <c r="C501" s="37" t="s">
        <v>180</v>
      </c>
      <c r="D501" s="37" t="s">
        <v>104</v>
      </c>
      <c r="E501" s="38" t="n">
        <f aca="false">'Matrice des notes'!AI19</f>
        <v>1</v>
      </c>
      <c r="F501" s="37" t="s">
        <v>631</v>
      </c>
      <c r="G501" s="39" t="s">
        <v>654</v>
      </c>
    </row>
    <row r="502" customFormat="false" ht="15" hidden="false" customHeight="false" outlineLevel="0" collapsed="false">
      <c r="A502" s="37" t="s">
        <v>184</v>
      </c>
      <c r="B502" s="37" t="s">
        <v>198</v>
      </c>
      <c r="C502" s="37" t="s">
        <v>180</v>
      </c>
      <c r="D502" s="37" t="s">
        <v>107</v>
      </c>
      <c r="E502" s="38" t="n">
        <f aca="false">'Matrice des notes'!AJ19</f>
        <v>1</v>
      </c>
      <c r="F502" s="37" t="s">
        <v>631</v>
      </c>
      <c r="G502" s="39" t="s">
        <v>654</v>
      </c>
    </row>
    <row r="503" customFormat="false" ht="15" hidden="false" customHeight="false" outlineLevel="0" collapsed="false">
      <c r="A503" s="37" t="s">
        <v>184</v>
      </c>
      <c r="B503" s="37" t="s">
        <v>198</v>
      </c>
      <c r="C503" s="37" t="s">
        <v>180</v>
      </c>
      <c r="D503" s="37" t="s">
        <v>110</v>
      </c>
      <c r="E503" s="38" t="n">
        <f aca="false">'Matrice des notes'!AK19</f>
        <v>1</v>
      </c>
      <c r="F503" s="37" t="s">
        <v>631</v>
      </c>
      <c r="G503" s="39" t="s">
        <v>654</v>
      </c>
    </row>
    <row r="504" customFormat="false" ht="15" hidden="false" customHeight="false" outlineLevel="0" collapsed="false">
      <c r="A504" s="37" t="s">
        <v>184</v>
      </c>
      <c r="B504" s="37" t="s">
        <v>198</v>
      </c>
      <c r="C504" s="37" t="s">
        <v>180</v>
      </c>
      <c r="D504" s="37" t="s">
        <v>113</v>
      </c>
      <c r="E504" s="38" t="n">
        <f aca="false">'Matrice des notes'!AL19</f>
        <v>1</v>
      </c>
      <c r="F504" s="37" t="s">
        <v>631</v>
      </c>
      <c r="G504" s="39" t="s">
        <v>654</v>
      </c>
    </row>
    <row r="505" customFormat="false" ht="15" hidden="false" customHeight="false" outlineLevel="0" collapsed="false">
      <c r="A505" s="37" t="s">
        <v>184</v>
      </c>
      <c r="B505" s="37" t="s">
        <v>198</v>
      </c>
      <c r="C505" s="37" t="s">
        <v>180</v>
      </c>
      <c r="D505" s="37" t="s">
        <v>116</v>
      </c>
      <c r="E505" s="38" t="n">
        <f aca="false">'Matrice des notes'!AM19</f>
        <v>1</v>
      </c>
      <c r="F505" s="37" t="s">
        <v>655</v>
      </c>
      <c r="G505" s="39" t="s">
        <v>656</v>
      </c>
    </row>
    <row r="506" customFormat="false" ht="15" hidden="false" customHeight="false" outlineLevel="0" collapsed="false">
      <c r="A506" s="37" t="s">
        <v>184</v>
      </c>
      <c r="B506" s="37" t="s">
        <v>198</v>
      </c>
      <c r="C506" s="37" t="s">
        <v>180</v>
      </c>
      <c r="D506" s="37" t="s">
        <v>119</v>
      </c>
      <c r="E506" s="38" t="n">
        <f aca="false">'Matrice des notes'!AN19</f>
        <v>1</v>
      </c>
      <c r="F506" s="37" t="s">
        <v>631</v>
      </c>
      <c r="G506" s="39" t="s">
        <v>654</v>
      </c>
    </row>
    <row r="507" customFormat="false" ht="15" hidden="false" customHeight="false" outlineLevel="0" collapsed="false">
      <c r="A507" s="37" t="s">
        <v>184</v>
      </c>
      <c r="B507" s="37" t="s">
        <v>198</v>
      </c>
      <c r="C507" s="37" t="s">
        <v>180</v>
      </c>
      <c r="D507" s="37" t="s">
        <v>121</v>
      </c>
      <c r="E507" s="38" t="n">
        <f aca="false">'Matrice des notes'!AO19</f>
        <v>1</v>
      </c>
      <c r="F507" s="37" t="s">
        <v>657</v>
      </c>
      <c r="G507" s="39" t="s">
        <v>658</v>
      </c>
    </row>
    <row r="508" customFormat="false" ht="15" hidden="false" customHeight="false" outlineLevel="0" collapsed="false">
      <c r="A508" s="37" t="s">
        <v>184</v>
      </c>
      <c r="B508" s="37" t="s">
        <v>198</v>
      </c>
      <c r="C508" s="37" t="s">
        <v>180</v>
      </c>
      <c r="D508" s="37" t="s">
        <v>124</v>
      </c>
      <c r="E508" s="38" t="n">
        <f aca="false">'Matrice des notes'!AP19</f>
        <v>3</v>
      </c>
      <c r="F508" s="37" t="s">
        <v>682</v>
      </c>
      <c r="G508" s="39" t="s">
        <v>683</v>
      </c>
    </row>
    <row r="509" customFormat="false" ht="15" hidden="false" customHeight="false" outlineLevel="0" collapsed="false">
      <c r="A509" s="37" t="s">
        <v>184</v>
      </c>
      <c r="B509" s="37" t="s">
        <v>199</v>
      </c>
      <c r="C509" s="37" t="s">
        <v>178</v>
      </c>
      <c r="D509" s="37" t="s">
        <v>7</v>
      </c>
      <c r="E509" s="38" t="n">
        <f aca="false">'Matrice des notes'!D20</f>
        <v>2</v>
      </c>
      <c r="F509" s="37" t="s">
        <v>720</v>
      </c>
      <c r="G509" s="39" t="s">
        <v>721</v>
      </c>
    </row>
    <row r="510" customFormat="false" ht="22.35" hidden="false" customHeight="false" outlineLevel="0" collapsed="false">
      <c r="A510" s="37" t="s">
        <v>184</v>
      </c>
      <c r="B510" s="37" t="s">
        <v>199</v>
      </c>
      <c r="C510" s="37" t="s">
        <v>178</v>
      </c>
      <c r="D510" s="37" t="s">
        <v>11</v>
      </c>
      <c r="E510" s="38" t="n">
        <f aca="false">'Matrice des notes'!E20</f>
        <v>1</v>
      </c>
      <c r="F510" s="37" t="s">
        <v>730</v>
      </c>
      <c r="G510" s="39" t="s">
        <v>731</v>
      </c>
    </row>
    <row r="511" customFormat="false" ht="15" hidden="false" customHeight="false" outlineLevel="0" collapsed="false">
      <c r="A511" s="37" t="s">
        <v>184</v>
      </c>
      <c r="B511" s="37" t="s">
        <v>199</v>
      </c>
      <c r="C511" s="37" t="s">
        <v>178</v>
      </c>
      <c r="D511" s="37" t="s">
        <v>14</v>
      </c>
      <c r="E511" s="38" t="n">
        <f aca="false">'Matrice des notes'!F20</f>
        <v>2</v>
      </c>
      <c r="F511" s="37" t="s">
        <v>695</v>
      </c>
      <c r="G511" s="39" t="s">
        <v>696</v>
      </c>
    </row>
    <row r="512" customFormat="false" ht="15" hidden="false" customHeight="false" outlineLevel="0" collapsed="false">
      <c r="A512" s="37" t="s">
        <v>184</v>
      </c>
      <c r="B512" s="37" t="s">
        <v>199</v>
      </c>
      <c r="C512" s="37" t="s">
        <v>178</v>
      </c>
      <c r="D512" s="37" t="s">
        <v>17</v>
      </c>
      <c r="E512" s="38" t="n">
        <f aca="false">'Matrice des notes'!G20</f>
        <v>2</v>
      </c>
      <c r="F512" s="37" t="s">
        <v>697</v>
      </c>
      <c r="G512" s="39" t="s">
        <v>698</v>
      </c>
    </row>
    <row r="513" customFormat="false" ht="22.35" hidden="false" customHeight="false" outlineLevel="0" collapsed="false">
      <c r="A513" s="37" t="s">
        <v>184</v>
      </c>
      <c r="B513" s="37" t="s">
        <v>199</v>
      </c>
      <c r="C513" s="37" t="s">
        <v>178</v>
      </c>
      <c r="D513" s="37" t="s">
        <v>20</v>
      </c>
      <c r="E513" s="38" t="n">
        <f aca="false">'Matrice des notes'!H20</f>
        <v>1</v>
      </c>
      <c r="F513" s="37" t="s">
        <v>732</v>
      </c>
      <c r="G513" s="39" t="s">
        <v>733</v>
      </c>
    </row>
    <row r="514" customFormat="false" ht="15" hidden="false" customHeight="false" outlineLevel="0" collapsed="false">
      <c r="A514" s="37" t="s">
        <v>184</v>
      </c>
      <c r="B514" s="37" t="s">
        <v>199</v>
      </c>
      <c r="C514" s="37" t="s">
        <v>178</v>
      </c>
      <c r="D514" s="37" t="s">
        <v>23</v>
      </c>
      <c r="E514" s="38" t="n">
        <f aca="false">'Matrice des notes'!I20</f>
        <v>2</v>
      </c>
      <c r="F514" s="37" t="s">
        <v>697</v>
      </c>
      <c r="G514" s="39" t="s">
        <v>701</v>
      </c>
    </row>
    <row r="515" customFormat="false" ht="15" hidden="false" customHeight="false" outlineLevel="0" collapsed="false">
      <c r="A515" s="37" t="s">
        <v>184</v>
      </c>
      <c r="B515" s="37" t="s">
        <v>199</v>
      </c>
      <c r="C515" s="37" t="s">
        <v>178</v>
      </c>
      <c r="D515" s="37" t="s">
        <v>26</v>
      </c>
      <c r="E515" s="38" t="n">
        <f aca="false">'Matrice des notes'!J20</f>
        <v>2</v>
      </c>
      <c r="F515" s="37" t="s">
        <v>677</v>
      </c>
      <c r="G515" s="39" t="s">
        <v>702</v>
      </c>
    </row>
    <row r="516" customFormat="false" ht="15" hidden="false" customHeight="false" outlineLevel="0" collapsed="false">
      <c r="A516" s="37" t="s">
        <v>184</v>
      </c>
      <c r="B516" s="37" t="s">
        <v>199</v>
      </c>
      <c r="C516" s="37" t="s">
        <v>178</v>
      </c>
      <c r="D516" s="37" t="s">
        <v>30</v>
      </c>
      <c r="E516" s="38" t="n">
        <f aca="false">'Matrice des notes'!K20</f>
        <v>2</v>
      </c>
      <c r="F516" s="37" t="s">
        <v>677</v>
      </c>
      <c r="G516" s="39" t="s">
        <v>703</v>
      </c>
    </row>
    <row r="517" customFormat="false" ht="15" hidden="false" customHeight="false" outlineLevel="0" collapsed="false">
      <c r="A517" s="37" t="s">
        <v>184</v>
      </c>
      <c r="B517" s="37" t="s">
        <v>199</v>
      </c>
      <c r="C517" s="37" t="s">
        <v>178</v>
      </c>
      <c r="D517" s="37" t="s">
        <v>34</v>
      </c>
      <c r="E517" s="38" t="n">
        <f aca="false">'Matrice des notes'!L20</f>
        <v>4</v>
      </c>
      <c r="F517" s="37" t="s">
        <v>623</v>
      </c>
      <c r="G517" s="39" t="s">
        <v>741</v>
      </c>
    </row>
    <row r="518" customFormat="false" ht="15" hidden="false" customHeight="false" outlineLevel="0" collapsed="false">
      <c r="A518" s="37" t="s">
        <v>184</v>
      </c>
      <c r="B518" s="37" t="s">
        <v>199</v>
      </c>
      <c r="C518" s="37" t="s">
        <v>178</v>
      </c>
      <c r="D518" s="37" t="s">
        <v>37</v>
      </c>
      <c r="E518" s="38" t="n">
        <f aca="false">'Matrice des notes'!M20</f>
        <v>2</v>
      </c>
      <c r="F518" s="37" t="s">
        <v>631</v>
      </c>
      <c r="G518" s="39" t="s">
        <v>632</v>
      </c>
    </row>
    <row r="519" customFormat="false" ht="22.35" hidden="false" customHeight="false" outlineLevel="0" collapsed="false">
      <c r="A519" s="37" t="s">
        <v>184</v>
      </c>
      <c r="B519" s="37" t="s">
        <v>199</v>
      </c>
      <c r="C519" s="37" t="s">
        <v>178</v>
      </c>
      <c r="D519" s="37" t="s">
        <v>40</v>
      </c>
      <c r="E519" s="38" t="n">
        <f aca="false">'Matrice des notes'!N20</f>
        <v>1</v>
      </c>
      <c r="F519" s="37" t="s">
        <v>742</v>
      </c>
      <c r="G519" s="39" t="s">
        <v>743</v>
      </c>
    </row>
    <row r="520" customFormat="false" ht="15" hidden="false" customHeight="false" outlineLevel="0" collapsed="false">
      <c r="A520" s="37" t="s">
        <v>184</v>
      </c>
      <c r="B520" s="37" t="s">
        <v>199</v>
      </c>
      <c r="C520" s="37" t="s">
        <v>178</v>
      </c>
      <c r="D520" s="37" t="s">
        <v>43</v>
      </c>
      <c r="E520" s="38" t="n">
        <f aca="false">'Matrice des notes'!O20</f>
        <v>3</v>
      </c>
      <c r="F520" s="37" t="s">
        <v>635</v>
      </c>
      <c r="G520" s="39" t="s">
        <v>724</v>
      </c>
    </row>
    <row r="521" customFormat="false" ht="15" hidden="false" customHeight="false" outlineLevel="0" collapsed="false">
      <c r="A521" s="37" t="s">
        <v>184</v>
      </c>
      <c r="B521" s="37" t="s">
        <v>199</v>
      </c>
      <c r="C521" s="37" t="s">
        <v>178</v>
      </c>
      <c r="D521" s="37" t="s">
        <v>46</v>
      </c>
      <c r="E521" s="38" t="n">
        <f aca="false">'Matrice des notes'!P20</f>
        <v>4</v>
      </c>
      <c r="F521" s="37" t="s">
        <v>623</v>
      </c>
      <c r="G521" s="39" t="s">
        <v>741</v>
      </c>
    </row>
    <row r="522" customFormat="false" ht="15" hidden="false" customHeight="false" outlineLevel="0" collapsed="false">
      <c r="A522" s="37" t="s">
        <v>184</v>
      </c>
      <c r="B522" s="37" t="s">
        <v>199</v>
      </c>
      <c r="C522" s="37" t="s">
        <v>179</v>
      </c>
      <c r="D522" s="37" t="s">
        <v>49</v>
      </c>
      <c r="E522" s="38" t="n">
        <f aca="false">'Matrice des notes'!Q20</f>
        <v>2</v>
      </c>
      <c r="F522" s="37" t="s">
        <v>693</v>
      </c>
      <c r="G522" s="39" t="s">
        <v>706</v>
      </c>
    </row>
    <row r="523" customFormat="false" ht="15" hidden="false" customHeight="false" outlineLevel="0" collapsed="false">
      <c r="A523" s="37" t="s">
        <v>184</v>
      </c>
      <c r="B523" s="37" t="s">
        <v>199</v>
      </c>
      <c r="C523" s="37" t="s">
        <v>179</v>
      </c>
      <c r="D523" s="37" t="s">
        <v>53</v>
      </c>
      <c r="E523" s="38" t="n">
        <f aca="false">'Matrice des notes'!R20</f>
        <v>4</v>
      </c>
      <c r="F523" s="37" t="s">
        <v>641</v>
      </c>
      <c r="G523" s="39" t="s">
        <v>744</v>
      </c>
    </row>
    <row r="524" customFormat="false" ht="15" hidden="false" customHeight="false" outlineLevel="0" collapsed="false">
      <c r="A524" s="37" t="s">
        <v>184</v>
      </c>
      <c r="B524" s="37" t="s">
        <v>199</v>
      </c>
      <c r="C524" s="37" t="s">
        <v>179</v>
      </c>
      <c r="D524" s="37" t="s">
        <v>56</v>
      </c>
      <c r="E524" s="38" t="n">
        <f aca="false">'Matrice des notes'!S20</f>
        <v>3</v>
      </c>
      <c r="F524" s="37" t="s">
        <v>708</v>
      </c>
      <c r="G524" s="39" t="s">
        <v>709</v>
      </c>
    </row>
    <row r="525" customFormat="false" ht="15" hidden="false" customHeight="false" outlineLevel="0" collapsed="false">
      <c r="A525" s="37" t="s">
        <v>184</v>
      </c>
      <c r="B525" s="37" t="s">
        <v>199</v>
      </c>
      <c r="C525" s="37" t="s">
        <v>179</v>
      </c>
      <c r="D525" s="37" t="s">
        <v>59</v>
      </c>
      <c r="E525" s="38" t="n">
        <f aca="false">'Matrice des notes'!T20</f>
        <v>2</v>
      </c>
      <c r="F525" s="37" t="s">
        <v>697</v>
      </c>
      <c r="G525" s="39" t="s">
        <v>698</v>
      </c>
    </row>
    <row r="526" customFormat="false" ht="15" hidden="false" customHeight="false" outlineLevel="0" collapsed="false">
      <c r="A526" s="37" t="s">
        <v>184</v>
      </c>
      <c r="B526" s="37" t="s">
        <v>199</v>
      </c>
      <c r="C526" s="37" t="s">
        <v>179</v>
      </c>
      <c r="D526" s="37" t="s">
        <v>62</v>
      </c>
      <c r="E526" s="38" t="n">
        <f aca="false">'Matrice des notes'!U20</f>
        <v>2</v>
      </c>
      <c r="F526" s="37" t="s">
        <v>693</v>
      </c>
      <c r="G526" s="39" t="s">
        <v>710</v>
      </c>
    </row>
    <row r="527" customFormat="false" ht="15" hidden="false" customHeight="false" outlineLevel="0" collapsed="false">
      <c r="A527" s="37" t="s">
        <v>184</v>
      </c>
      <c r="B527" s="37" t="s">
        <v>199</v>
      </c>
      <c r="C527" s="37" t="s">
        <v>179</v>
      </c>
      <c r="D527" s="37" t="s">
        <v>65</v>
      </c>
      <c r="E527" s="38" t="n">
        <f aca="false">'Matrice des notes'!V20</f>
        <v>4</v>
      </c>
      <c r="F527" s="37" t="s">
        <v>623</v>
      </c>
      <c r="G527" s="39" t="s">
        <v>741</v>
      </c>
    </row>
    <row r="528" customFormat="false" ht="15" hidden="false" customHeight="false" outlineLevel="0" collapsed="false">
      <c r="A528" s="37" t="s">
        <v>184</v>
      </c>
      <c r="B528" s="37" t="s">
        <v>199</v>
      </c>
      <c r="C528" s="37" t="s">
        <v>179</v>
      </c>
      <c r="D528" s="37" t="s">
        <v>68</v>
      </c>
      <c r="E528" s="38" t="n">
        <f aca="false">'Matrice des notes'!W20</f>
        <v>3</v>
      </c>
      <c r="F528" s="37" t="s">
        <v>745</v>
      </c>
      <c r="G528" s="39" t="s">
        <v>746</v>
      </c>
    </row>
    <row r="529" customFormat="false" ht="15" hidden="false" customHeight="false" outlineLevel="0" collapsed="false">
      <c r="A529" s="37" t="s">
        <v>184</v>
      </c>
      <c r="B529" s="37" t="s">
        <v>199</v>
      </c>
      <c r="C529" s="37" t="s">
        <v>179</v>
      </c>
      <c r="D529" s="37" t="s">
        <v>71</v>
      </c>
      <c r="E529" s="38" t="n">
        <f aca="false">'Matrice des notes'!X20</f>
        <v>2</v>
      </c>
      <c r="F529" s="37" t="s">
        <v>693</v>
      </c>
      <c r="G529" s="39" t="s">
        <v>711</v>
      </c>
    </row>
    <row r="530" customFormat="false" ht="15" hidden="false" customHeight="false" outlineLevel="0" collapsed="false">
      <c r="A530" s="37" t="s">
        <v>184</v>
      </c>
      <c r="B530" s="37" t="s">
        <v>199</v>
      </c>
      <c r="C530" s="37" t="s">
        <v>179</v>
      </c>
      <c r="D530" s="37" t="s">
        <v>74</v>
      </c>
      <c r="E530" s="38" t="n">
        <f aca="false">'Matrice des notes'!Y20</f>
        <v>4</v>
      </c>
      <c r="F530" s="37" t="s">
        <v>623</v>
      </c>
      <c r="G530" s="39" t="s">
        <v>741</v>
      </c>
    </row>
    <row r="531" customFormat="false" ht="15" hidden="false" customHeight="false" outlineLevel="0" collapsed="false">
      <c r="A531" s="37" t="s">
        <v>184</v>
      </c>
      <c r="B531" s="37" t="s">
        <v>199</v>
      </c>
      <c r="C531" s="37" t="s">
        <v>179</v>
      </c>
      <c r="D531" s="37" t="s">
        <v>77</v>
      </c>
      <c r="E531" s="38" t="n">
        <f aca="false">'Matrice des notes'!Z20</f>
        <v>4</v>
      </c>
      <c r="F531" s="37" t="s">
        <v>623</v>
      </c>
      <c r="G531" s="39" t="s">
        <v>741</v>
      </c>
    </row>
    <row r="532" customFormat="false" ht="15" hidden="false" customHeight="false" outlineLevel="0" collapsed="false">
      <c r="A532" s="37" t="s">
        <v>184</v>
      </c>
      <c r="B532" s="37" t="s">
        <v>199</v>
      </c>
      <c r="C532" s="37" t="s">
        <v>179</v>
      </c>
      <c r="D532" s="37" t="s">
        <v>80</v>
      </c>
      <c r="E532" s="38" t="n">
        <f aca="false">'Matrice des notes'!AA20</f>
        <v>4</v>
      </c>
      <c r="F532" s="37" t="s">
        <v>623</v>
      </c>
      <c r="G532" s="39" t="s">
        <v>741</v>
      </c>
    </row>
    <row r="533" customFormat="false" ht="15" hidden="false" customHeight="false" outlineLevel="0" collapsed="false">
      <c r="A533" s="37" t="s">
        <v>184</v>
      </c>
      <c r="B533" s="37" t="s">
        <v>199</v>
      </c>
      <c r="C533" s="37" t="s">
        <v>179</v>
      </c>
      <c r="D533" s="37" t="s">
        <v>83</v>
      </c>
      <c r="E533" s="38" t="n">
        <f aca="false">'Matrice des notes'!AB20</f>
        <v>3</v>
      </c>
      <c r="F533" s="37" t="s">
        <v>712</v>
      </c>
      <c r="G533" s="39" t="s">
        <v>713</v>
      </c>
    </row>
    <row r="534" customFormat="false" ht="15" hidden="false" customHeight="false" outlineLevel="0" collapsed="false">
      <c r="A534" s="37" t="s">
        <v>184</v>
      </c>
      <c r="B534" s="37" t="s">
        <v>199</v>
      </c>
      <c r="C534" s="37" t="s">
        <v>179</v>
      </c>
      <c r="D534" s="37" t="s">
        <v>86</v>
      </c>
      <c r="E534" s="38" t="n">
        <f aca="false">'Matrice des notes'!AC20</f>
        <v>2</v>
      </c>
      <c r="F534" s="37" t="s">
        <v>652</v>
      </c>
      <c r="G534" s="39" t="s">
        <v>653</v>
      </c>
    </row>
    <row r="535" customFormat="false" ht="15" hidden="false" customHeight="false" outlineLevel="0" collapsed="false">
      <c r="A535" s="37" t="s">
        <v>184</v>
      </c>
      <c r="B535" s="37" t="s">
        <v>199</v>
      </c>
      <c r="C535" s="37" t="s">
        <v>179</v>
      </c>
      <c r="D535" s="37" t="s">
        <v>89</v>
      </c>
      <c r="E535" s="38" t="n">
        <f aca="false">'Matrice des notes'!AD20</f>
        <v>3</v>
      </c>
      <c r="F535" s="37" t="s">
        <v>652</v>
      </c>
      <c r="G535" s="39" t="s">
        <v>653</v>
      </c>
    </row>
    <row r="536" customFormat="false" ht="15" hidden="false" customHeight="false" outlineLevel="0" collapsed="false">
      <c r="A536" s="37" t="s">
        <v>184</v>
      </c>
      <c r="B536" s="37" t="s">
        <v>199</v>
      </c>
      <c r="C536" s="37" t="s">
        <v>179</v>
      </c>
      <c r="D536" s="37" t="s">
        <v>92</v>
      </c>
      <c r="E536" s="38" t="n">
        <f aca="false">'Matrice des notes'!AE20</f>
        <v>2</v>
      </c>
      <c r="F536" s="37" t="s">
        <v>708</v>
      </c>
      <c r="G536" s="39" t="s">
        <v>714</v>
      </c>
    </row>
    <row r="537" customFormat="false" ht="15" hidden="false" customHeight="false" outlineLevel="0" collapsed="false">
      <c r="A537" s="37" t="s">
        <v>184</v>
      </c>
      <c r="B537" s="37" t="s">
        <v>199</v>
      </c>
      <c r="C537" s="37" t="s">
        <v>180</v>
      </c>
      <c r="D537" s="37" t="s">
        <v>95</v>
      </c>
      <c r="E537" s="38" t="n">
        <f aca="false">'Matrice des notes'!AF20</f>
        <v>1</v>
      </c>
      <c r="F537" s="37" t="s">
        <v>631</v>
      </c>
      <c r="G537" s="39" t="s">
        <v>654</v>
      </c>
    </row>
    <row r="538" customFormat="false" ht="15" hidden="false" customHeight="false" outlineLevel="0" collapsed="false">
      <c r="A538" s="37" t="s">
        <v>184</v>
      </c>
      <c r="B538" s="37" t="s">
        <v>199</v>
      </c>
      <c r="C538" s="37" t="s">
        <v>180</v>
      </c>
      <c r="D538" s="37" t="s">
        <v>99</v>
      </c>
      <c r="E538" s="38" t="n">
        <f aca="false">'Matrice des notes'!AG20</f>
        <v>1</v>
      </c>
      <c r="F538" s="37" t="s">
        <v>655</v>
      </c>
      <c r="G538" s="39" t="s">
        <v>656</v>
      </c>
    </row>
    <row r="539" customFormat="false" ht="15" hidden="false" customHeight="false" outlineLevel="0" collapsed="false">
      <c r="A539" s="37" t="s">
        <v>184</v>
      </c>
      <c r="B539" s="37" t="s">
        <v>199</v>
      </c>
      <c r="C539" s="37" t="s">
        <v>180</v>
      </c>
      <c r="D539" s="37" t="s">
        <v>102</v>
      </c>
      <c r="E539" s="38" t="n">
        <f aca="false">'Matrice des notes'!AH20</f>
        <v>1</v>
      </c>
      <c r="F539" s="37" t="s">
        <v>655</v>
      </c>
      <c r="G539" s="39" t="s">
        <v>656</v>
      </c>
    </row>
    <row r="540" customFormat="false" ht="15" hidden="false" customHeight="false" outlineLevel="0" collapsed="false">
      <c r="A540" s="37" t="s">
        <v>184</v>
      </c>
      <c r="B540" s="37" t="s">
        <v>199</v>
      </c>
      <c r="C540" s="37" t="s">
        <v>180</v>
      </c>
      <c r="D540" s="37" t="s">
        <v>104</v>
      </c>
      <c r="E540" s="38" t="n">
        <f aca="false">'Matrice des notes'!AI20</f>
        <v>1</v>
      </c>
      <c r="F540" s="37" t="s">
        <v>631</v>
      </c>
      <c r="G540" s="39" t="s">
        <v>654</v>
      </c>
    </row>
    <row r="541" customFormat="false" ht="15" hidden="false" customHeight="false" outlineLevel="0" collapsed="false">
      <c r="A541" s="37" t="s">
        <v>184</v>
      </c>
      <c r="B541" s="37" t="s">
        <v>199</v>
      </c>
      <c r="C541" s="37" t="s">
        <v>180</v>
      </c>
      <c r="D541" s="37" t="s">
        <v>107</v>
      </c>
      <c r="E541" s="38" t="n">
        <f aca="false">'Matrice des notes'!AJ20</f>
        <v>1</v>
      </c>
      <c r="F541" s="37" t="s">
        <v>631</v>
      </c>
      <c r="G541" s="39" t="s">
        <v>654</v>
      </c>
    </row>
    <row r="542" customFormat="false" ht="15" hidden="false" customHeight="false" outlineLevel="0" collapsed="false">
      <c r="A542" s="37" t="s">
        <v>184</v>
      </c>
      <c r="B542" s="37" t="s">
        <v>199</v>
      </c>
      <c r="C542" s="37" t="s">
        <v>180</v>
      </c>
      <c r="D542" s="37" t="s">
        <v>110</v>
      </c>
      <c r="E542" s="38" t="n">
        <f aca="false">'Matrice des notes'!AK20</f>
        <v>1</v>
      </c>
      <c r="F542" s="37" t="s">
        <v>631</v>
      </c>
      <c r="G542" s="39" t="s">
        <v>654</v>
      </c>
    </row>
    <row r="543" customFormat="false" ht="15" hidden="false" customHeight="false" outlineLevel="0" collapsed="false">
      <c r="A543" s="37" t="s">
        <v>184</v>
      </c>
      <c r="B543" s="37" t="s">
        <v>199</v>
      </c>
      <c r="C543" s="37" t="s">
        <v>180</v>
      </c>
      <c r="D543" s="37" t="s">
        <v>113</v>
      </c>
      <c r="E543" s="38" t="n">
        <f aca="false">'Matrice des notes'!AL20</f>
        <v>1</v>
      </c>
      <c r="F543" s="37" t="s">
        <v>631</v>
      </c>
      <c r="G543" s="39" t="s">
        <v>654</v>
      </c>
    </row>
    <row r="544" customFormat="false" ht="15" hidden="false" customHeight="false" outlineLevel="0" collapsed="false">
      <c r="A544" s="37" t="s">
        <v>184</v>
      </c>
      <c r="B544" s="37" t="s">
        <v>199</v>
      </c>
      <c r="C544" s="37" t="s">
        <v>180</v>
      </c>
      <c r="D544" s="37" t="s">
        <v>116</v>
      </c>
      <c r="E544" s="38" t="n">
        <f aca="false">'Matrice des notes'!AM20</f>
        <v>1</v>
      </c>
      <c r="F544" s="37" t="s">
        <v>655</v>
      </c>
      <c r="G544" s="39" t="s">
        <v>656</v>
      </c>
    </row>
    <row r="545" customFormat="false" ht="15" hidden="false" customHeight="false" outlineLevel="0" collapsed="false">
      <c r="A545" s="37" t="s">
        <v>184</v>
      </c>
      <c r="B545" s="37" t="s">
        <v>199</v>
      </c>
      <c r="C545" s="37" t="s">
        <v>180</v>
      </c>
      <c r="D545" s="37" t="s">
        <v>119</v>
      </c>
      <c r="E545" s="38" t="n">
        <f aca="false">'Matrice des notes'!AN20</f>
        <v>1</v>
      </c>
      <c r="F545" s="37" t="s">
        <v>631</v>
      </c>
      <c r="G545" s="39" t="s">
        <v>654</v>
      </c>
    </row>
    <row r="546" customFormat="false" ht="15" hidden="false" customHeight="false" outlineLevel="0" collapsed="false">
      <c r="A546" s="37" t="s">
        <v>184</v>
      </c>
      <c r="B546" s="37" t="s">
        <v>199</v>
      </c>
      <c r="C546" s="37" t="s">
        <v>180</v>
      </c>
      <c r="D546" s="37" t="s">
        <v>121</v>
      </c>
      <c r="E546" s="38" t="n">
        <f aca="false">'Matrice des notes'!AO20</f>
        <v>1</v>
      </c>
      <c r="F546" s="37" t="s">
        <v>657</v>
      </c>
      <c r="G546" s="39" t="s">
        <v>658</v>
      </c>
    </row>
    <row r="547" customFormat="false" ht="15" hidden="false" customHeight="false" outlineLevel="0" collapsed="false">
      <c r="A547" s="37" t="s">
        <v>184</v>
      </c>
      <c r="B547" s="37" t="s">
        <v>199</v>
      </c>
      <c r="C547" s="37" t="s">
        <v>180</v>
      </c>
      <c r="D547" s="37" t="s">
        <v>124</v>
      </c>
      <c r="E547" s="38" t="n">
        <f aca="false">'Matrice des notes'!AP20</f>
        <v>2</v>
      </c>
      <c r="F547" s="37" t="s">
        <v>715</v>
      </c>
      <c r="G547" s="39" t="s">
        <v>716</v>
      </c>
    </row>
    <row r="548" customFormat="false" ht="22.35" hidden="false" customHeight="false" outlineLevel="0" collapsed="false">
      <c r="A548" s="37" t="s">
        <v>184</v>
      </c>
      <c r="B548" s="37" t="s">
        <v>200</v>
      </c>
      <c r="C548" s="37" t="s">
        <v>178</v>
      </c>
      <c r="D548" s="37" t="s">
        <v>7</v>
      </c>
      <c r="E548" s="38" t="n">
        <f aca="false">'Matrice des notes'!D21</f>
        <v>1</v>
      </c>
      <c r="F548" s="37" t="s">
        <v>747</v>
      </c>
      <c r="G548" s="39" t="s">
        <v>748</v>
      </c>
    </row>
    <row r="549" customFormat="false" ht="22.35" hidden="false" customHeight="false" outlineLevel="0" collapsed="false">
      <c r="A549" s="37" t="s">
        <v>184</v>
      </c>
      <c r="B549" s="37" t="s">
        <v>200</v>
      </c>
      <c r="C549" s="37" t="s">
        <v>178</v>
      </c>
      <c r="D549" s="37" t="s">
        <v>11</v>
      </c>
      <c r="E549" s="38" t="n">
        <f aca="false">'Matrice des notes'!E21</f>
        <v>1</v>
      </c>
      <c r="F549" s="37" t="s">
        <v>749</v>
      </c>
      <c r="G549" s="39" t="s">
        <v>750</v>
      </c>
    </row>
    <row r="550" customFormat="false" ht="15" hidden="false" customHeight="false" outlineLevel="0" collapsed="false">
      <c r="A550" s="37" t="s">
        <v>184</v>
      </c>
      <c r="B550" s="37" t="s">
        <v>200</v>
      </c>
      <c r="C550" s="37" t="s">
        <v>178</v>
      </c>
      <c r="D550" s="37" t="s">
        <v>14</v>
      </c>
      <c r="E550" s="38" t="n">
        <f aca="false">'Matrice des notes'!F21</f>
        <v>1</v>
      </c>
      <c r="F550" s="37" t="s">
        <v>751</v>
      </c>
      <c r="G550" s="39" t="s">
        <v>752</v>
      </c>
    </row>
    <row r="551" customFormat="false" ht="15" hidden="false" customHeight="false" outlineLevel="0" collapsed="false">
      <c r="A551" s="37" t="s">
        <v>184</v>
      </c>
      <c r="B551" s="37" t="s">
        <v>200</v>
      </c>
      <c r="C551" s="37" t="s">
        <v>178</v>
      </c>
      <c r="D551" s="37" t="s">
        <v>17</v>
      </c>
      <c r="E551" s="38" t="n">
        <f aca="false">'Matrice des notes'!G21</f>
        <v>1</v>
      </c>
      <c r="F551" s="37" t="s">
        <v>753</v>
      </c>
      <c r="G551" s="39" t="s">
        <v>754</v>
      </c>
    </row>
    <row r="552" customFormat="false" ht="22.35" hidden="false" customHeight="false" outlineLevel="0" collapsed="false">
      <c r="A552" s="37" t="s">
        <v>184</v>
      </c>
      <c r="B552" s="37" t="s">
        <v>200</v>
      </c>
      <c r="C552" s="37" t="s">
        <v>178</v>
      </c>
      <c r="D552" s="37" t="s">
        <v>20</v>
      </c>
      <c r="E552" s="38" t="n">
        <f aca="false">'Matrice des notes'!H21</f>
        <v>1</v>
      </c>
      <c r="F552" s="37" t="s">
        <v>755</v>
      </c>
      <c r="G552" s="39" t="s">
        <v>756</v>
      </c>
    </row>
    <row r="553" customFormat="false" ht="15" hidden="false" customHeight="false" outlineLevel="0" collapsed="false">
      <c r="A553" s="37" t="s">
        <v>184</v>
      </c>
      <c r="B553" s="37" t="s">
        <v>200</v>
      </c>
      <c r="C553" s="37" t="s">
        <v>178</v>
      </c>
      <c r="D553" s="37" t="s">
        <v>23</v>
      </c>
      <c r="E553" s="38" t="n">
        <f aca="false">'Matrice des notes'!I21</f>
        <v>1</v>
      </c>
      <c r="F553" s="37" t="s">
        <v>753</v>
      </c>
      <c r="G553" s="39" t="s">
        <v>757</v>
      </c>
    </row>
    <row r="554" customFormat="false" ht="15" hidden="false" customHeight="false" outlineLevel="0" collapsed="false">
      <c r="A554" s="37" t="s">
        <v>184</v>
      </c>
      <c r="B554" s="37" t="s">
        <v>200</v>
      </c>
      <c r="C554" s="37" t="s">
        <v>178</v>
      </c>
      <c r="D554" s="37" t="s">
        <v>26</v>
      </c>
      <c r="E554" s="38" t="n">
        <f aca="false">'Matrice des notes'!J21</f>
        <v>1</v>
      </c>
      <c r="F554" s="37" t="s">
        <v>677</v>
      </c>
      <c r="G554" s="39" t="s">
        <v>758</v>
      </c>
    </row>
    <row r="555" customFormat="false" ht="15" hidden="false" customHeight="false" outlineLevel="0" collapsed="false">
      <c r="A555" s="37" t="s">
        <v>184</v>
      </c>
      <c r="B555" s="37" t="s">
        <v>200</v>
      </c>
      <c r="C555" s="37" t="s">
        <v>178</v>
      </c>
      <c r="D555" s="37" t="s">
        <v>30</v>
      </c>
      <c r="E555" s="38" t="n">
        <f aca="false">'Matrice des notes'!K21</f>
        <v>1</v>
      </c>
      <c r="F555" s="37" t="s">
        <v>677</v>
      </c>
      <c r="G555" s="39" t="s">
        <v>759</v>
      </c>
    </row>
    <row r="556" customFormat="false" ht="15" hidden="false" customHeight="false" outlineLevel="0" collapsed="false">
      <c r="A556" s="37" t="s">
        <v>184</v>
      </c>
      <c r="B556" s="37" t="s">
        <v>200</v>
      </c>
      <c r="C556" s="37" t="s">
        <v>178</v>
      </c>
      <c r="D556" s="37" t="s">
        <v>34</v>
      </c>
      <c r="E556" s="38" t="n">
        <f aca="false">'Matrice des notes'!L21</f>
        <v>3</v>
      </c>
      <c r="F556" s="37" t="s">
        <v>708</v>
      </c>
      <c r="G556" s="39" t="s">
        <v>760</v>
      </c>
    </row>
    <row r="557" customFormat="false" ht="15" hidden="false" customHeight="false" outlineLevel="0" collapsed="false">
      <c r="A557" s="37" t="s">
        <v>184</v>
      </c>
      <c r="B557" s="37" t="s">
        <v>200</v>
      </c>
      <c r="C557" s="37" t="s">
        <v>178</v>
      </c>
      <c r="D557" s="37" t="s">
        <v>37</v>
      </c>
      <c r="E557" s="38" t="n">
        <f aca="false">'Matrice des notes'!M21</f>
        <v>1</v>
      </c>
      <c r="F557" s="37" t="s">
        <v>679</v>
      </c>
      <c r="G557" s="39" t="s">
        <v>680</v>
      </c>
    </row>
    <row r="558" customFormat="false" ht="22.35" hidden="false" customHeight="false" outlineLevel="0" collapsed="false">
      <c r="A558" s="37" t="s">
        <v>184</v>
      </c>
      <c r="B558" s="37" t="s">
        <v>200</v>
      </c>
      <c r="C558" s="37" t="s">
        <v>178</v>
      </c>
      <c r="D558" s="37" t="s">
        <v>40</v>
      </c>
      <c r="E558" s="38" t="n">
        <f aca="false">'Matrice des notes'!N21</f>
        <v>1</v>
      </c>
      <c r="F558" s="37" t="s">
        <v>761</v>
      </c>
      <c r="G558" s="39" t="s">
        <v>762</v>
      </c>
    </row>
    <row r="559" customFormat="false" ht="15" hidden="false" customHeight="false" outlineLevel="0" collapsed="false">
      <c r="A559" s="37" t="s">
        <v>184</v>
      </c>
      <c r="B559" s="37" t="s">
        <v>200</v>
      </c>
      <c r="C559" s="37" t="s">
        <v>178</v>
      </c>
      <c r="D559" s="37" t="s">
        <v>43</v>
      </c>
      <c r="E559" s="38" t="n">
        <f aca="false">'Matrice des notes'!O21</f>
        <v>3</v>
      </c>
      <c r="F559" s="37" t="s">
        <v>635</v>
      </c>
      <c r="G559" s="39" t="s">
        <v>724</v>
      </c>
    </row>
    <row r="560" customFormat="false" ht="15" hidden="false" customHeight="false" outlineLevel="0" collapsed="false">
      <c r="A560" s="37" t="s">
        <v>184</v>
      </c>
      <c r="B560" s="37" t="s">
        <v>200</v>
      </c>
      <c r="C560" s="37" t="s">
        <v>178</v>
      </c>
      <c r="D560" s="37" t="s">
        <v>46</v>
      </c>
      <c r="E560" s="38" t="n">
        <f aca="false">'Matrice des notes'!P21</f>
        <v>3</v>
      </c>
      <c r="F560" s="37" t="s">
        <v>708</v>
      </c>
      <c r="G560" s="39" t="s">
        <v>763</v>
      </c>
    </row>
    <row r="561" customFormat="false" ht="15" hidden="false" customHeight="false" outlineLevel="0" collapsed="false">
      <c r="A561" s="37" t="s">
        <v>184</v>
      </c>
      <c r="B561" s="37" t="s">
        <v>200</v>
      </c>
      <c r="C561" s="37" t="s">
        <v>179</v>
      </c>
      <c r="D561" s="37" t="s">
        <v>49</v>
      </c>
      <c r="E561" s="38" t="n">
        <f aca="false">'Matrice des notes'!Q21</f>
        <v>1</v>
      </c>
      <c r="F561" s="37" t="s">
        <v>764</v>
      </c>
      <c r="G561" s="39" t="s">
        <v>765</v>
      </c>
    </row>
    <row r="562" customFormat="false" ht="15" hidden="false" customHeight="false" outlineLevel="0" collapsed="false">
      <c r="A562" s="37" t="s">
        <v>184</v>
      </c>
      <c r="B562" s="37" t="s">
        <v>200</v>
      </c>
      <c r="C562" s="37" t="s">
        <v>179</v>
      </c>
      <c r="D562" s="37" t="s">
        <v>53</v>
      </c>
      <c r="E562" s="38" t="n">
        <f aca="false">'Matrice des notes'!R21</f>
        <v>3</v>
      </c>
      <c r="F562" s="37" t="s">
        <v>712</v>
      </c>
      <c r="G562" s="39" t="s">
        <v>766</v>
      </c>
    </row>
    <row r="563" customFormat="false" ht="15" hidden="false" customHeight="false" outlineLevel="0" collapsed="false">
      <c r="A563" s="37" t="s">
        <v>184</v>
      </c>
      <c r="B563" s="37" t="s">
        <v>200</v>
      </c>
      <c r="C563" s="37" t="s">
        <v>179</v>
      </c>
      <c r="D563" s="37" t="s">
        <v>56</v>
      </c>
      <c r="E563" s="38" t="n">
        <f aca="false">'Matrice des notes'!S21</f>
        <v>2</v>
      </c>
      <c r="F563" s="37" t="s">
        <v>708</v>
      </c>
      <c r="G563" s="39" t="s">
        <v>709</v>
      </c>
    </row>
    <row r="564" customFormat="false" ht="15" hidden="false" customHeight="false" outlineLevel="0" collapsed="false">
      <c r="A564" s="37" t="s">
        <v>184</v>
      </c>
      <c r="B564" s="37" t="s">
        <v>200</v>
      </c>
      <c r="C564" s="37" t="s">
        <v>179</v>
      </c>
      <c r="D564" s="37" t="s">
        <v>59</v>
      </c>
      <c r="E564" s="38" t="n">
        <f aca="false">'Matrice des notes'!T21</f>
        <v>1</v>
      </c>
      <c r="F564" s="37" t="s">
        <v>753</v>
      </c>
      <c r="G564" s="39" t="s">
        <v>754</v>
      </c>
    </row>
    <row r="565" customFormat="false" ht="15" hidden="false" customHeight="false" outlineLevel="0" collapsed="false">
      <c r="A565" s="37" t="s">
        <v>184</v>
      </c>
      <c r="B565" s="37" t="s">
        <v>200</v>
      </c>
      <c r="C565" s="37" t="s">
        <v>179</v>
      </c>
      <c r="D565" s="37" t="s">
        <v>62</v>
      </c>
      <c r="E565" s="38" t="n">
        <f aca="false">'Matrice des notes'!U21</f>
        <v>1</v>
      </c>
      <c r="F565" s="37" t="s">
        <v>764</v>
      </c>
      <c r="G565" s="39" t="s">
        <v>767</v>
      </c>
    </row>
    <row r="566" customFormat="false" ht="15" hidden="false" customHeight="false" outlineLevel="0" collapsed="false">
      <c r="A566" s="37" t="s">
        <v>184</v>
      </c>
      <c r="B566" s="37" t="s">
        <v>200</v>
      </c>
      <c r="C566" s="37" t="s">
        <v>179</v>
      </c>
      <c r="D566" s="37" t="s">
        <v>65</v>
      </c>
      <c r="E566" s="38" t="n">
        <f aca="false">'Matrice des notes'!V21</f>
        <v>3</v>
      </c>
      <c r="F566" s="37" t="s">
        <v>708</v>
      </c>
      <c r="G566" s="39" t="s">
        <v>768</v>
      </c>
    </row>
    <row r="567" customFormat="false" ht="15" hidden="false" customHeight="false" outlineLevel="0" collapsed="false">
      <c r="A567" s="37" t="s">
        <v>184</v>
      </c>
      <c r="B567" s="37" t="s">
        <v>200</v>
      </c>
      <c r="C567" s="37" t="s">
        <v>179</v>
      </c>
      <c r="D567" s="37" t="s">
        <v>68</v>
      </c>
      <c r="E567" s="38" t="n">
        <f aca="false">'Matrice des notes'!W21</f>
        <v>3</v>
      </c>
      <c r="F567" s="37" t="s">
        <v>745</v>
      </c>
      <c r="G567" s="39" t="s">
        <v>746</v>
      </c>
    </row>
    <row r="568" customFormat="false" ht="15" hidden="false" customHeight="false" outlineLevel="0" collapsed="false">
      <c r="A568" s="37" t="s">
        <v>184</v>
      </c>
      <c r="B568" s="37" t="s">
        <v>200</v>
      </c>
      <c r="C568" s="37" t="s">
        <v>179</v>
      </c>
      <c r="D568" s="37" t="s">
        <v>71</v>
      </c>
      <c r="E568" s="38" t="n">
        <f aca="false">'Matrice des notes'!X21</f>
        <v>1</v>
      </c>
      <c r="F568" s="37" t="s">
        <v>764</v>
      </c>
      <c r="G568" s="39" t="s">
        <v>769</v>
      </c>
    </row>
    <row r="569" customFormat="false" ht="15" hidden="false" customHeight="false" outlineLevel="0" collapsed="false">
      <c r="A569" s="37" t="s">
        <v>184</v>
      </c>
      <c r="B569" s="37" t="s">
        <v>200</v>
      </c>
      <c r="C569" s="37" t="s">
        <v>179</v>
      </c>
      <c r="D569" s="37" t="s">
        <v>74</v>
      </c>
      <c r="E569" s="38" t="n">
        <f aca="false">'Matrice des notes'!Y21</f>
        <v>3</v>
      </c>
      <c r="F569" s="37" t="s">
        <v>708</v>
      </c>
      <c r="G569" s="39" t="s">
        <v>770</v>
      </c>
    </row>
    <row r="570" customFormat="false" ht="15" hidden="false" customHeight="false" outlineLevel="0" collapsed="false">
      <c r="A570" s="37" t="s">
        <v>184</v>
      </c>
      <c r="B570" s="37" t="s">
        <v>200</v>
      </c>
      <c r="C570" s="37" t="s">
        <v>179</v>
      </c>
      <c r="D570" s="37" t="s">
        <v>77</v>
      </c>
      <c r="E570" s="38" t="n">
        <f aca="false">'Matrice des notes'!Z21</f>
        <v>3</v>
      </c>
      <c r="F570" s="37" t="s">
        <v>708</v>
      </c>
      <c r="G570" s="39" t="s">
        <v>770</v>
      </c>
    </row>
    <row r="571" customFormat="false" ht="15" hidden="false" customHeight="false" outlineLevel="0" collapsed="false">
      <c r="A571" s="37" t="s">
        <v>184</v>
      </c>
      <c r="B571" s="37" t="s">
        <v>200</v>
      </c>
      <c r="C571" s="37" t="s">
        <v>179</v>
      </c>
      <c r="D571" s="37" t="s">
        <v>80</v>
      </c>
      <c r="E571" s="38" t="n">
        <f aca="false">'Matrice des notes'!AA21</f>
        <v>3</v>
      </c>
      <c r="F571" s="37" t="s">
        <v>708</v>
      </c>
      <c r="G571" s="39" t="s">
        <v>771</v>
      </c>
    </row>
    <row r="572" customFormat="false" ht="15" hidden="false" customHeight="false" outlineLevel="0" collapsed="false">
      <c r="A572" s="37" t="s">
        <v>184</v>
      </c>
      <c r="B572" s="37" t="s">
        <v>200</v>
      </c>
      <c r="C572" s="37" t="s">
        <v>179</v>
      </c>
      <c r="D572" s="37" t="s">
        <v>83</v>
      </c>
      <c r="E572" s="38" t="n">
        <f aca="false">'Matrice des notes'!AB21</f>
        <v>2</v>
      </c>
      <c r="F572" s="37" t="s">
        <v>712</v>
      </c>
      <c r="G572" s="39" t="s">
        <v>713</v>
      </c>
    </row>
    <row r="573" customFormat="false" ht="15" hidden="false" customHeight="false" outlineLevel="0" collapsed="false">
      <c r="A573" s="37" t="s">
        <v>184</v>
      </c>
      <c r="B573" s="37" t="s">
        <v>200</v>
      </c>
      <c r="C573" s="37" t="s">
        <v>179</v>
      </c>
      <c r="D573" s="37" t="s">
        <v>86</v>
      </c>
      <c r="E573" s="38" t="n">
        <f aca="false">'Matrice des notes'!AC21</f>
        <v>2</v>
      </c>
      <c r="F573" s="37" t="s">
        <v>772</v>
      </c>
      <c r="G573" s="39" t="s">
        <v>773</v>
      </c>
    </row>
    <row r="574" customFormat="false" ht="15" hidden="false" customHeight="false" outlineLevel="0" collapsed="false">
      <c r="A574" s="37" t="s">
        <v>184</v>
      </c>
      <c r="B574" s="37" t="s">
        <v>200</v>
      </c>
      <c r="C574" s="37" t="s">
        <v>179</v>
      </c>
      <c r="D574" s="37" t="s">
        <v>89</v>
      </c>
      <c r="E574" s="38" t="n">
        <f aca="false">'Matrice des notes'!AD21</f>
        <v>3</v>
      </c>
      <c r="F574" s="37" t="s">
        <v>708</v>
      </c>
      <c r="G574" s="39" t="s">
        <v>770</v>
      </c>
    </row>
    <row r="575" customFormat="false" ht="15" hidden="false" customHeight="false" outlineLevel="0" collapsed="false">
      <c r="A575" s="37" t="s">
        <v>184</v>
      </c>
      <c r="B575" s="37" t="s">
        <v>200</v>
      </c>
      <c r="C575" s="37" t="s">
        <v>179</v>
      </c>
      <c r="D575" s="37" t="s">
        <v>92</v>
      </c>
      <c r="E575" s="38" t="n">
        <f aca="false">'Matrice des notes'!AE21</f>
        <v>2</v>
      </c>
      <c r="F575" s="37" t="s">
        <v>708</v>
      </c>
      <c r="G575" s="39" t="s">
        <v>714</v>
      </c>
    </row>
    <row r="576" customFormat="false" ht="15" hidden="false" customHeight="false" outlineLevel="0" collapsed="false">
      <c r="A576" s="37" t="s">
        <v>184</v>
      </c>
      <c r="B576" s="37" t="s">
        <v>200</v>
      </c>
      <c r="C576" s="37" t="s">
        <v>180</v>
      </c>
      <c r="D576" s="37" t="s">
        <v>95</v>
      </c>
      <c r="E576" s="38" t="n">
        <f aca="false">'Matrice des notes'!AF21</f>
        <v>1</v>
      </c>
      <c r="F576" s="37" t="s">
        <v>631</v>
      </c>
      <c r="G576" s="39" t="s">
        <v>654</v>
      </c>
    </row>
    <row r="577" customFormat="false" ht="15" hidden="false" customHeight="false" outlineLevel="0" collapsed="false">
      <c r="A577" s="37" t="s">
        <v>184</v>
      </c>
      <c r="B577" s="37" t="s">
        <v>200</v>
      </c>
      <c r="C577" s="37" t="s">
        <v>180</v>
      </c>
      <c r="D577" s="37" t="s">
        <v>99</v>
      </c>
      <c r="E577" s="38" t="n">
        <f aca="false">'Matrice des notes'!AG21</f>
        <v>1</v>
      </c>
      <c r="F577" s="37" t="s">
        <v>655</v>
      </c>
      <c r="G577" s="39" t="s">
        <v>656</v>
      </c>
    </row>
    <row r="578" customFormat="false" ht="15" hidden="false" customHeight="false" outlineLevel="0" collapsed="false">
      <c r="A578" s="37" t="s">
        <v>184</v>
      </c>
      <c r="B578" s="37" t="s">
        <v>200</v>
      </c>
      <c r="C578" s="37" t="s">
        <v>180</v>
      </c>
      <c r="D578" s="37" t="s">
        <v>102</v>
      </c>
      <c r="E578" s="38" t="n">
        <f aca="false">'Matrice des notes'!AH21</f>
        <v>1</v>
      </c>
      <c r="F578" s="37" t="s">
        <v>655</v>
      </c>
      <c r="G578" s="39" t="s">
        <v>656</v>
      </c>
    </row>
    <row r="579" customFormat="false" ht="15" hidden="false" customHeight="false" outlineLevel="0" collapsed="false">
      <c r="A579" s="37" t="s">
        <v>184</v>
      </c>
      <c r="B579" s="37" t="s">
        <v>200</v>
      </c>
      <c r="C579" s="37" t="s">
        <v>180</v>
      </c>
      <c r="D579" s="37" t="s">
        <v>104</v>
      </c>
      <c r="E579" s="38" t="n">
        <f aca="false">'Matrice des notes'!AI21</f>
        <v>1</v>
      </c>
      <c r="F579" s="37" t="s">
        <v>631</v>
      </c>
      <c r="G579" s="39" t="s">
        <v>654</v>
      </c>
    </row>
    <row r="580" customFormat="false" ht="15" hidden="false" customHeight="false" outlineLevel="0" collapsed="false">
      <c r="A580" s="37" t="s">
        <v>184</v>
      </c>
      <c r="B580" s="37" t="s">
        <v>200</v>
      </c>
      <c r="C580" s="37" t="s">
        <v>180</v>
      </c>
      <c r="D580" s="37" t="s">
        <v>107</v>
      </c>
      <c r="E580" s="38" t="n">
        <f aca="false">'Matrice des notes'!AJ21</f>
        <v>1</v>
      </c>
      <c r="F580" s="37" t="s">
        <v>631</v>
      </c>
      <c r="G580" s="39" t="s">
        <v>654</v>
      </c>
    </row>
    <row r="581" customFormat="false" ht="15" hidden="false" customHeight="false" outlineLevel="0" collapsed="false">
      <c r="A581" s="37" t="s">
        <v>184</v>
      </c>
      <c r="B581" s="37" t="s">
        <v>200</v>
      </c>
      <c r="C581" s="37" t="s">
        <v>180</v>
      </c>
      <c r="D581" s="37" t="s">
        <v>110</v>
      </c>
      <c r="E581" s="38" t="n">
        <f aca="false">'Matrice des notes'!AK21</f>
        <v>1</v>
      </c>
      <c r="F581" s="37" t="s">
        <v>631</v>
      </c>
      <c r="G581" s="39" t="s">
        <v>654</v>
      </c>
    </row>
    <row r="582" customFormat="false" ht="15" hidden="false" customHeight="false" outlineLevel="0" collapsed="false">
      <c r="A582" s="37" t="s">
        <v>184</v>
      </c>
      <c r="B582" s="37" t="s">
        <v>200</v>
      </c>
      <c r="C582" s="37" t="s">
        <v>180</v>
      </c>
      <c r="D582" s="37" t="s">
        <v>113</v>
      </c>
      <c r="E582" s="38" t="n">
        <f aca="false">'Matrice des notes'!AL21</f>
        <v>1</v>
      </c>
      <c r="F582" s="37" t="s">
        <v>631</v>
      </c>
      <c r="G582" s="39" t="s">
        <v>654</v>
      </c>
    </row>
    <row r="583" customFormat="false" ht="15" hidden="false" customHeight="false" outlineLevel="0" collapsed="false">
      <c r="A583" s="37" t="s">
        <v>184</v>
      </c>
      <c r="B583" s="37" t="s">
        <v>200</v>
      </c>
      <c r="C583" s="37" t="s">
        <v>180</v>
      </c>
      <c r="D583" s="37" t="s">
        <v>116</v>
      </c>
      <c r="E583" s="38" t="n">
        <f aca="false">'Matrice des notes'!AM21</f>
        <v>1</v>
      </c>
      <c r="F583" s="37" t="s">
        <v>655</v>
      </c>
      <c r="G583" s="39" t="s">
        <v>656</v>
      </c>
    </row>
    <row r="584" customFormat="false" ht="15" hidden="false" customHeight="false" outlineLevel="0" collapsed="false">
      <c r="A584" s="37" t="s">
        <v>184</v>
      </c>
      <c r="B584" s="37" t="s">
        <v>200</v>
      </c>
      <c r="C584" s="37" t="s">
        <v>180</v>
      </c>
      <c r="D584" s="37" t="s">
        <v>119</v>
      </c>
      <c r="E584" s="38" t="n">
        <f aca="false">'Matrice des notes'!AN21</f>
        <v>1</v>
      </c>
      <c r="F584" s="37" t="s">
        <v>631</v>
      </c>
      <c r="G584" s="39" t="s">
        <v>654</v>
      </c>
    </row>
    <row r="585" customFormat="false" ht="15" hidden="false" customHeight="false" outlineLevel="0" collapsed="false">
      <c r="A585" s="37" t="s">
        <v>184</v>
      </c>
      <c r="B585" s="37" t="s">
        <v>200</v>
      </c>
      <c r="C585" s="37" t="s">
        <v>180</v>
      </c>
      <c r="D585" s="37" t="s">
        <v>121</v>
      </c>
      <c r="E585" s="38" t="n">
        <f aca="false">'Matrice des notes'!AO21</f>
        <v>1</v>
      </c>
      <c r="F585" s="37" t="s">
        <v>657</v>
      </c>
      <c r="G585" s="39" t="s">
        <v>658</v>
      </c>
    </row>
    <row r="586" customFormat="false" ht="15" hidden="false" customHeight="false" outlineLevel="0" collapsed="false">
      <c r="A586" s="37" t="s">
        <v>184</v>
      </c>
      <c r="B586" s="37" t="s">
        <v>200</v>
      </c>
      <c r="C586" s="37" t="s">
        <v>180</v>
      </c>
      <c r="D586" s="37" t="s">
        <v>124</v>
      </c>
      <c r="E586" s="38" t="n">
        <f aca="false">'Matrice des notes'!AP21</f>
        <v>2</v>
      </c>
      <c r="F586" s="37" t="s">
        <v>715</v>
      </c>
      <c r="G586" s="39" t="s">
        <v>716</v>
      </c>
    </row>
    <row r="587" customFormat="false" ht="22.35" hidden="false" customHeight="false" outlineLevel="0" collapsed="false">
      <c r="A587" s="37" t="s">
        <v>184</v>
      </c>
      <c r="B587" s="37" t="s">
        <v>201</v>
      </c>
      <c r="C587" s="37" t="s">
        <v>178</v>
      </c>
      <c r="D587" s="37" t="s">
        <v>7</v>
      </c>
      <c r="E587" s="38" t="n">
        <f aca="false">'Matrice des notes'!D22</f>
        <v>1</v>
      </c>
      <c r="F587" s="37" t="s">
        <v>747</v>
      </c>
      <c r="G587" s="39" t="s">
        <v>748</v>
      </c>
    </row>
    <row r="588" customFormat="false" ht="22.35" hidden="false" customHeight="false" outlineLevel="0" collapsed="false">
      <c r="A588" s="37" t="s">
        <v>184</v>
      </c>
      <c r="B588" s="37" t="s">
        <v>201</v>
      </c>
      <c r="C588" s="37" t="s">
        <v>178</v>
      </c>
      <c r="D588" s="37" t="s">
        <v>11</v>
      </c>
      <c r="E588" s="38" t="n">
        <f aca="false">'Matrice des notes'!E22</f>
        <v>1</v>
      </c>
      <c r="F588" s="37" t="s">
        <v>749</v>
      </c>
      <c r="G588" s="39" t="s">
        <v>750</v>
      </c>
    </row>
    <row r="589" customFormat="false" ht="15" hidden="false" customHeight="false" outlineLevel="0" collapsed="false">
      <c r="A589" s="37" t="s">
        <v>184</v>
      </c>
      <c r="B589" s="37" t="s">
        <v>201</v>
      </c>
      <c r="C589" s="37" t="s">
        <v>178</v>
      </c>
      <c r="D589" s="37" t="s">
        <v>14</v>
      </c>
      <c r="E589" s="38" t="n">
        <f aca="false">'Matrice des notes'!F22</f>
        <v>1</v>
      </c>
      <c r="F589" s="37" t="s">
        <v>751</v>
      </c>
      <c r="G589" s="39" t="s">
        <v>752</v>
      </c>
    </row>
    <row r="590" customFormat="false" ht="15" hidden="false" customHeight="false" outlineLevel="0" collapsed="false">
      <c r="A590" s="37" t="s">
        <v>184</v>
      </c>
      <c r="B590" s="37" t="s">
        <v>201</v>
      </c>
      <c r="C590" s="37" t="s">
        <v>178</v>
      </c>
      <c r="D590" s="37" t="s">
        <v>17</v>
      </c>
      <c r="E590" s="38" t="n">
        <f aca="false">'Matrice des notes'!G22</f>
        <v>1</v>
      </c>
      <c r="F590" s="37" t="s">
        <v>753</v>
      </c>
      <c r="G590" s="39" t="s">
        <v>754</v>
      </c>
    </row>
    <row r="591" customFormat="false" ht="22.35" hidden="false" customHeight="false" outlineLevel="0" collapsed="false">
      <c r="A591" s="37" t="s">
        <v>184</v>
      </c>
      <c r="B591" s="37" t="s">
        <v>201</v>
      </c>
      <c r="C591" s="37" t="s">
        <v>178</v>
      </c>
      <c r="D591" s="37" t="s">
        <v>20</v>
      </c>
      <c r="E591" s="38" t="n">
        <f aca="false">'Matrice des notes'!H22</f>
        <v>1</v>
      </c>
      <c r="F591" s="37" t="s">
        <v>755</v>
      </c>
      <c r="G591" s="39" t="s">
        <v>756</v>
      </c>
    </row>
    <row r="592" customFormat="false" ht="15" hidden="false" customHeight="false" outlineLevel="0" collapsed="false">
      <c r="A592" s="37" t="s">
        <v>184</v>
      </c>
      <c r="B592" s="37" t="s">
        <v>201</v>
      </c>
      <c r="C592" s="37" t="s">
        <v>178</v>
      </c>
      <c r="D592" s="37" t="s">
        <v>23</v>
      </c>
      <c r="E592" s="38" t="n">
        <f aca="false">'Matrice des notes'!I22</f>
        <v>1</v>
      </c>
      <c r="F592" s="37" t="s">
        <v>753</v>
      </c>
      <c r="G592" s="39" t="s">
        <v>757</v>
      </c>
    </row>
    <row r="593" customFormat="false" ht="15" hidden="false" customHeight="false" outlineLevel="0" collapsed="false">
      <c r="A593" s="37" t="s">
        <v>184</v>
      </c>
      <c r="B593" s="37" t="s">
        <v>201</v>
      </c>
      <c r="C593" s="37" t="s">
        <v>178</v>
      </c>
      <c r="D593" s="37" t="s">
        <v>26</v>
      </c>
      <c r="E593" s="38" t="n">
        <f aca="false">'Matrice des notes'!J22</f>
        <v>1</v>
      </c>
      <c r="F593" s="37" t="s">
        <v>677</v>
      </c>
      <c r="G593" s="39" t="s">
        <v>758</v>
      </c>
    </row>
    <row r="594" customFormat="false" ht="15" hidden="false" customHeight="false" outlineLevel="0" collapsed="false">
      <c r="A594" s="37" t="s">
        <v>184</v>
      </c>
      <c r="B594" s="37" t="s">
        <v>201</v>
      </c>
      <c r="C594" s="37" t="s">
        <v>178</v>
      </c>
      <c r="D594" s="37" t="s">
        <v>30</v>
      </c>
      <c r="E594" s="38" t="n">
        <f aca="false">'Matrice des notes'!K22</f>
        <v>1</v>
      </c>
      <c r="F594" s="37" t="s">
        <v>677</v>
      </c>
      <c r="G594" s="39" t="s">
        <v>759</v>
      </c>
    </row>
    <row r="595" customFormat="false" ht="15" hidden="false" customHeight="false" outlineLevel="0" collapsed="false">
      <c r="A595" s="37" t="s">
        <v>184</v>
      </c>
      <c r="B595" s="37" t="s">
        <v>201</v>
      </c>
      <c r="C595" s="37" t="s">
        <v>178</v>
      </c>
      <c r="D595" s="37" t="s">
        <v>34</v>
      </c>
      <c r="E595" s="38" t="n">
        <f aca="false">'Matrice des notes'!L22</f>
        <v>3</v>
      </c>
      <c r="F595" s="37" t="s">
        <v>708</v>
      </c>
      <c r="G595" s="39" t="s">
        <v>760</v>
      </c>
    </row>
    <row r="596" customFormat="false" ht="15" hidden="false" customHeight="false" outlineLevel="0" collapsed="false">
      <c r="A596" s="37" t="s">
        <v>184</v>
      </c>
      <c r="B596" s="37" t="s">
        <v>201</v>
      </c>
      <c r="C596" s="37" t="s">
        <v>178</v>
      </c>
      <c r="D596" s="37" t="s">
        <v>37</v>
      </c>
      <c r="E596" s="38" t="n">
        <f aca="false">'Matrice des notes'!M22</f>
        <v>1</v>
      </c>
      <c r="F596" s="37" t="s">
        <v>679</v>
      </c>
      <c r="G596" s="39" t="s">
        <v>680</v>
      </c>
    </row>
    <row r="597" customFormat="false" ht="22.35" hidden="false" customHeight="false" outlineLevel="0" collapsed="false">
      <c r="A597" s="37" t="s">
        <v>184</v>
      </c>
      <c r="B597" s="37" t="s">
        <v>201</v>
      </c>
      <c r="C597" s="37" t="s">
        <v>178</v>
      </c>
      <c r="D597" s="37" t="s">
        <v>40</v>
      </c>
      <c r="E597" s="38" t="n">
        <f aca="false">'Matrice des notes'!N22</f>
        <v>1</v>
      </c>
      <c r="F597" s="37" t="s">
        <v>761</v>
      </c>
      <c r="G597" s="39" t="s">
        <v>762</v>
      </c>
    </row>
    <row r="598" customFormat="false" ht="15" hidden="false" customHeight="false" outlineLevel="0" collapsed="false">
      <c r="A598" s="37" t="s">
        <v>184</v>
      </c>
      <c r="B598" s="37" t="s">
        <v>201</v>
      </c>
      <c r="C598" s="37" t="s">
        <v>178</v>
      </c>
      <c r="D598" s="37" t="s">
        <v>43</v>
      </c>
      <c r="E598" s="38" t="n">
        <f aca="false">'Matrice des notes'!O22</f>
        <v>3</v>
      </c>
      <c r="F598" s="37" t="s">
        <v>635</v>
      </c>
      <c r="G598" s="39" t="s">
        <v>724</v>
      </c>
    </row>
    <row r="599" customFormat="false" ht="15" hidden="false" customHeight="false" outlineLevel="0" collapsed="false">
      <c r="A599" s="37" t="s">
        <v>184</v>
      </c>
      <c r="B599" s="37" t="s">
        <v>201</v>
      </c>
      <c r="C599" s="37" t="s">
        <v>178</v>
      </c>
      <c r="D599" s="37" t="s">
        <v>46</v>
      </c>
      <c r="E599" s="38" t="n">
        <f aca="false">'Matrice des notes'!P22</f>
        <v>3</v>
      </c>
      <c r="F599" s="37" t="s">
        <v>708</v>
      </c>
      <c r="G599" s="39" t="s">
        <v>763</v>
      </c>
    </row>
    <row r="600" customFormat="false" ht="15" hidden="false" customHeight="false" outlineLevel="0" collapsed="false">
      <c r="A600" s="37" t="s">
        <v>184</v>
      </c>
      <c r="B600" s="37" t="s">
        <v>201</v>
      </c>
      <c r="C600" s="37" t="s">
        <v>179</v>
      </c>
      <c r="D600" s="37" t="s">
        <v>49</v>
      </c>
      <c r="E600" s="38" t="n">
        <f aca="false">'Matrice des notes'!Q22</f>
        <v>1</v>
      </c>
      <c r="F600" s="37" t="s">
        <v>764</v>
      </c>
      <c r="G600" s="39" t="s">
        <v>765</v>
      </c>
    </row>
    <row r="601" customFormat="false" ht="15" hidden="false" customHeight="false" outlineLevel="0" collapsed="false">
      <c r="A601" s="37" t="s">
        <v>184</v>
      </c>
      <c r="B601" s="37" t="s">
        <v>201</v>
      </c>
      <c r="C601" s="37" t="s">
        <v>179</v>
      </c>
      <c r="D601" s="37" t="s">
        <v>53</v>
      </c>
      <c r="E601" s="38" t="n">
        <f aca="false">'Matrice des notes'!R22</f>
        <v>3</v>
      </c>
      <c r="F601" s="37" t="s">
        <v>712</v>
      </c>
      <c r="G601" s="39" t="s">
        <v>766</v>
      </c>
    </row>
    <row r="602" customFormat="false" ht="15" hidden="false" customHeight="false" outlineLevel="0" collapsed="false">
      <c r="A602" s="37" t="s">
        <v>184</v>
      </c>
      <c r="B602" s="37" t="s">
        <v>201</v>
      </c>
      <c r="C602" s="37" t="s">
        <v>179</v>
      </c>
      <c r="D602" s="37" t="s">
        <v>56</v>
      </c>
      <c r="E602" s="38" t="n">
        <f aca="false">'Matrice des notes'!S22</f>
        <v>2</v>
      </c>
      <c r="F602" s="37" t="s">
        <v>708</v>
      </c>
      <c r="G602" s="39" t="s">
        <v>709</v>
      </c>
    </row>
    <row r="603" customFormat="false" ht="15" hidden="false" customHeight="false" outlineLevel="0" collapsed="false">
      <c r="A603" s="37" t="s">
        <v>184</v>
      </c>
      <c r="B603" s="37" t="s">
        <v>201</v>
      </c>
      <c r="C603" s="37" t="s">
        <v>179</v>
      </c>
      <c r="D603" s="37" t="s">
        <v>59</v>
      </c>
      <c r="E603" s="38" t="n">
        <f aca="false">'Matrice des notes'!T22</f>
        <v>1</v>
      </c>
      <c r="F603" s="37" t="s">
        <v>753</v>
      </c>
      <c r="G603" s="39" t="s">
        <v>754</v>
      </c>
    </row>
    <row r="604" customFormat="false" ht="15" hidden="false" customHeight="false" outlineLevel="0" collapsed="false">
      <c r="A604" s="37" t="s">
        <v>184</v>
      </c>
      <c r="B604" s="37" t="s">
        <v>201</v>
      </c>
      <c r="C604" s="37" t="s">
        <v>179</v>
      </c>
      <c r="D604" s="37" t="s">
        <v>62</v>
      </c>
      <c r="E604" s="38" t="n">
        <f aca="false">'Matrice des notes'!U22</f>
        <v>1</v>
      </c>
      <c r="F604" s="37" t="s">
        <v>764</v>
      </c>
      <c r="G604" s="39" t="s">
        <v>767</v>
      </c>
    </row>
    <row r="605" customFormat="false" ht="15" hidden="false" customHeight="false" outlineLevel="0" collapsed="false">
      <c r="A605" s="37" t="s">
        <v>184</v>
      </c>
      <c r="B605" s="37" t="s">
        <v>201</v>
      </c>
      <c r="C605" s="37" t="s">
        <v>179</v>
      </c>
      <c r="D605" s="37" t="s">
        <v>65</v>
      </c>
      <c r="E605" s="38" t="n">
        <f aca="false">'Matrice des notes'!V22</f>
        <v>3</v>
      </c>
      <c r="F605" s="37" t="s">
        <v>708</v>
      </c>
      <c r="G605" s="39" t="s">
        <v>768</v>
      </c>
    </row>
    <row r="606" customFormat="false" ht="15" hidden="false" customHeight="false" outlineLevel="0" collapsed="false">
      <c r="A606" s="37" t="s">
        <v>184</v>
      </c>
      <c r="B606" s="37" t="s">
        <v>201</v>
      </c>
      <c r="C606" s="37" t="s">
        <v>179</v>
      </c>
      <c r="D606" s="37" t="s">
        <v>68</v>
      </c>
      <c r="E606" s="38" t="n">
        <f aca="false">'Matrice des notes'!W22</f>
        <v>3</v>
      </c>
      <c r="F606" s="37" t="s">
        <v>745</v>
      </c>
      <c r="G606" s="39" t="s">
        <v>746</v>
      </c>
    </row>
    <row r="607" customFormat="false" ht="15" hidden="false" customHeight="false" outlineLevel="0" collapsed="false">
      <c r="A607" s="37" t="s">
        <v>184</v>
      </c>
      <c r="B607" s="37" t="s">
        <v>201</v>
      </c>
      <c r="C607" s="37" t="s">
        <v>179</v>
      </c>
      <c r="D607" s="37" t="s">
        <v>71</v>
      </c>
      <c r="E607" s="38" t="n">
        <f aca="false">'Matrice des notes'!X22</f>
        <v>1</v>
      </c>
      <c r="F607" s="37" t="s">
        <v>764</v>
      </c>
      <c r="G607" s="39" t="s">
        <v>769</v>
      </c>
    </row>
    <row r="608" customFormat="false" ht="15" hidden="false" customHeight="false" outlineLevel="0" collapsed="false">
      <c r="A608" s="37" t="s">
        <v>184</v>
      </c>
      <c r="B608" s="37" t="s">
        <v>201</v>
      </c>
      <c r="C608" s="37" t="s">
        <v>179</v>
      </c>
      <c r="D608" s="37" t="s">
        <v>74</v>
      </c>
      <c r="E608" s="38" t="n">
        <f aca="false">'Matrice des notes'!Y22</f>
        <v>3</v>
      </c>
      <c r="F608" s="37" t="s">
        <v>708</v>
      </c>
      <c r="G608" s="39" t="s">
        <v>770</v>
      </c>
    </row>
    <row r="609" customFormat="false" ht="15" hidden="false" customHeight="false" outlineLevel="0" collapsed="false">
      <c r="A609" s="37" t="s">
        <v>184</v>
      </c>
      <c r="B609" s="37" t="s">
        <v>201</v>
      </c>
      <c r="C609" s="37" t="s">
        <v>179</v>
      </c>
      <c r="D609" s="37" t="s">
        <v>77</v>
      </c>
      <c r="E609" s="38" t="n">
        <f aca="false">'Matrice des notes'!Z22</f>
        <v>3</v>
      </c>
      <c r="F609" s="37" t="s">
        <v>708</v>
      </c>
      <c r="G609" s="39" t="s">
        <v>770</v>
      </c>
    </row>
    <row r="610" customFormat="false" ht="15" hidden="false" customHeight="false" outlineLevel="0" collapsed="false">
      <c r="A610" s="37" t="s">
        <v>184</v>
      </c>
      <c r="B610" s="37" t="s">
        <v>201</v>
      </c>
      <c r="C610" s="37" t="s">
        <v>179</v>
      </c>
      <c r="D610" s="37" t="s">
        <v>80</v>
      </c>
      <c r="E610" s="38" t="n">
        <f aca="false">'Matrice des notes'!AA22</f>
        <v>3</v>
      </c>
      <c r="F610" s="37" t="s">
        <v>708</v>
      </c>
      <c r="G610" s="39" t="s">
        <v>771</v>
      </c>
    </row>
    <row r="611" customFormat="false" ht="15" hidden="false" customHeight="false" outlineLevel="0" collapsed="false">
      <c r="A611" s="37" t="s">
        <v>184</v>
      </c>
      <c r="B611" s="37" t="s">
        <v>201</v>
      </c>
      <c r="C611" s="37" t="s">
        <v>179</v>
      </c>
      <c r="D611" s="37" t="s">
        <v>83</v>
      </c>
      <c r="E611" s="38" t="n">
        <f aca="false">'Matrice des notes'!AB22</f>
        <v>2</v>
      </c>
      <c r="F611" s="37" t="s">
        <v>712</v>
      </c>
      <c r="G611" s="39" t="s">
        <v>713</v>
      </c>
    </row>
    <row r="612" customFormat="false" ht="15" hidden="false" customHeight="false" outlineLevel="0" collapsed="false">
      <c r="A612" s="37" t="s">
        <v>184</v>
      </c>
      <c r="B612" s="37" t="s">
        <v>201</v>
      </c>
      <c r="C612" s="37" t="s">
        <v>179</v>
      </c>
      <c r="D612" s="37" t="s">
        <v>86</v>
      </c>
      <c r="E612" s="38" t="n">
        <f aca="false">'Matrice des notes'!AC22</f>
        <v>2</v>
      </c>
      <c r="F612" s="37" t="s">
        <v>772</v>
      </c>
      <c r="G612" s="39" t="s">
        <v>773</v>
      </c>
    </row>
    <row r="613" customFormat="false" ht="15" hidden="false" customHeight="false" outlineLevel="0" collapsed="false">
      <c r="A613" s="37" t="s">
        <v>184</v>
      </c>
      <c r="B613" s="37" t="s">
        <v>201</v>
      </c>
      <c r="C613" s="37" t="s">
        <v>179</v>
      </c>
      <c r="D613" s="37" t="s">
        <v>89</v>
      </c>
      <c r="E613" s="38" t="n">
        <f aca="false">'Matrice des notes'!AD22</f>
        <v>3</v>
      </c>
      <c r="F613" s="37" t="s">
        <v>708</v>
      </c>
      <c r="G613" s="39" t="s">
        <v>770</v>
      </c>
    </row>
    <row r="614" customFormat="false" ht="15" hidden="false" customHeight="false" outlineLevel="0" collapsed="false">
      <c r="A614" s="37" t="s">
        <v>184</v>
      </c>
      <c r="B614" s="37" t="s">
        <v>201</v>
      </c>
      <c r="C614" s="37" t="s">
        <v>179</v>
      </c>
      <c r="D614" s="37" t="s">
        <v>92</v>
      </c>
      <c r="E614" s="38" t="n">
        <f aca="false">'Matrice des notes'!AE22</f>
        <v>2</v>
      </c>
      <c r="F614" s="37" t="s">
        <v>708</v>
      </c>
      <c r="G614" s="39" t="s">
        <v>714</v>
      </c>
    </row>
    <row r="615" customFormat="false" ht="15" hidden="false" customHeight="false" outlineLevel="0" collapsed="false">
      <c r="A615" s="37" t="s">
        <v>184</v>
      </c>
      <c r="B615" s="37" t="s">
        <v>201</v>
      </c>
      <c r="C615" s="37" t="s">
        <v>180</v>
      </c>
      <c r="D615" s="37" t="s">
        <v>95</v>
      </c>
      <c r="E615" s="38" t="n">
        <f aca="false">'Matrice des notes'!AF22</f>
        <v>1</v>
      </c>
      <c r="F615" s="37" t="s">
        <v>631</v>
      </c>
      <c r="G615" s="39" t="s">
        <v>654</v>
      </c>
    </row>
    <row r="616" customFormat="false" ht="15" hidden="false" customHeight="false" outlineLevel="0" collapsed="false">
      <c r="A616" s="37" t="s">
        <v>184</v>
      </c>
      <c r="B616" s="37" t="s">
        <v>201</v>
      </c>
      <c r="C616" s="37" t="s">
        <v>180</v>
      </c>
      <c r="D616" s="37" t="s">
        <v>99</v>
      </c>
      <c r="E616" s="38" t="n">
        <f aca="false">'Matrice des notes'!AG22</f>
        <v>1</v>
      </c>
      <c r="F616" s="37" t="s">
        <v>655</v>
      </c>
      <c r="G616" s="39" t="s">
        <v>656</v>
      </c>
    </row>
    <row r="617" customFormat="false" ht="15" hidden="false" customHeight="false" outlineLevel="0" collapsed="false">
      <c r="A617" s="37" t="s">
        <v>184</v>
      </c>
      <c r="B617" s="37" t="s">
        <v>201</v>
      </c>
      <c r="C617" s="37" t="s">
        <v>180</v>
      </c>
      <c r="D617" s="37" t="s">
        <v>102</v>
      </c>
      <c r="E617" s="38" t="n">
        <f aca="false">'Matrice des notes'!AH22</f>
        <v>1</v>
      </c>
      <c r="F617" s="37" t="s">
        <v>655</v>
      </c>
      <c r="G617" s="39" t="s">
        <v>656</v>
      </c>
    </row>
    <row r="618" customFormat="false" ht="15" hidden="false" customHeight="false" outlineLevel="0" collapsed="false">
      <c r="A618" s="37" t="s">
        <v>184</v>
      </c>
      <c r="B618" s="37" t="s">
        <v>201</v>
      </c>
      <c r="C618" s="37" t="s">
        <v>180</v>
      </c>
      <c r="D618" s="37" t="s">
        <v>104</v>
      </c>
      <c r="E618" s="38" t="n">
        <f aca="false">'Matrice des notes'!AI22</f>
        <v>1</v>
      </c>
      <c r="F618" s="37" t="s">
        <v>631</v>
      </c>
      <c r="G618" s="39" t="s">
        <v>654</v>
      </c>
    </row>
    <row r="619" customFormat="false" ht="15" hidden="false" customHeight="false" outlineLevel="0" collapsed="false">
      <c r="A619" s="37" t="s">
        <v>184</v>
      </c>
      <c r="B619" s="37" t="s">
        <v>201</v>
      </c>
      <c r="C619" s="37" t="s">
        <v>180</v>
      </c>
      <c r="D619" s="37" t="s">
        <v>107</v>
      </c>
      <c r="E619" s="38" t="n">
        <f aca="false">'Matrice des notes'!AJ22</f>
        <v>1</v>
      </c>
      <c r="F619" s="37" t="s">
        <v>631</v>
      </c>
      <c r="G619" s="39" t="s">
        <v>654</v>
      </c>
    </row>
    <row r="620" customFormat="false" ht="15" hidden="false" customHeight="false" outlineLevel="0" collapsed="false">
      <c r="A620" s="37" t="s">
        <v>184</v>
      </c>
      <c r="B620" s="37" t="s">
        <v>201</v>
      </c>
      <c r="C620" s="37" t="s">
        <v>180</v>
      </c>
      <c r="D620" s="37" t="s">
        <v>110</v>
      </c>
      <c r="E620" s="38" t="n">
        <f aca="false">'Matrice des notes'!AK22</f>
        <v>1</v>
      </c>
      <c r="F620" s="37" t="s">
        <v>631</v>
      </c>
      <c r="G620" s="39" t="s">
        <v>654</v>
      </c>
    </row>
    <row r="621" customFormat="false" ht="15" hidden="false" customHeight="false" outlineLevel="0" collapsed="false">
      <c r="A621" s="37" t="s">
        <v>184</v>
      </c>
      <c r="B621" s="37" t="s">
        <v>201</v>
      </c>
      <c r="C621" s="37" t="s">
        <v>180</v>
      </c>
      <c r="D621" s="37" t="s">
        <v>113</v>
      </c>
      <c r="E621" s="38" t="n">
        <f aca="false">'Matrice des notes'!AL22</f>
        <v>1</v>
      </c>
      <c r="F621" s="37" t="s">
        <v>631</v>
      </c>
      <c r="G621" s="39" t="s">
        <v>654</v>
      </c>
    </row>
    <row r="622" customFormat="false" ht="15" hidden="false" customHeight="false" outlineLevel="0" collapsed="false">
      <c r="A622" s="37" t="s">
        <v>184</v>
      </c>
      <c r="B622" s="37" t="s">
        <v>201</v>
      </c>
      <c r="C622" s="37" t="s">
        <v>180</v>
      </c>
      <c r="D622" s="37" t="s">
        <v>116</v>
      </c>
      <c r="E622" s="38" t="n">
        <f aca="false">'Matrice des notes'!AM22</f>
        <v>1</v>
      </c>
      <c r="F622" s="37" t="s">
        <v>655</v>
      </c>
      <c r="G622" s="39" t="s">
        <v>656</v>
      </c>
    </row>
    <row r="623" customFormat="false" ht="15" hidden="false" customHeight="false" outlineLevel="0" collapsed="false">
      <c r="A623" s="37" t="s">
        <v>184</v>
      </c>
      <c r="B623" s="37" t="s">
        <v>201</v>
      </c>
      <c r="C623" s="37" t="s">
        <v>180</v>
      </c>
      <c r="D623" s="37" t="s">
        <v>119</v>
      </c>
      <c r="E623" s="38" t="n">
        <f aca="false">'Matrice des notes'!AN22</f>
        <v>1</v>
      </c>
      <c r="F623" s="37" t="s">
        <v>631</v>
      </c>
      <c r="G623" s="39" t="s">
        <v>654</v>
      </c>
    </row>
    <row r="624" customFormat="false" ht="15" hidden="false" customHeight="false" outlineLevel="0" collapsed="false">
      <c r="A624" s="37" t="s">
        <v>184</v>
      </c>
      <c r="B624" s="37" t="s">
        <v>201</v>
      </c>
      <c r="C624" s="37" t="s">
        <v>180</v>
      </c>
      <c r="D624" s="37" t="s">
        <v>121</v>
      </c>
      <c r="E624" s="38" t="n">
        <f aca="false">'Matrice des notes'!AO22</f>
        <v>1</v>
      </c>
      <c r="F624" s="37" t="s">
        <v>657</v>
      </c>
      <c r="G624" s="39" t="s">
        <v>658</v>
      </c>
    </row>
    <row r="625" customFormat="false" ht="15" hidden="false" customHeight="false" outlineLevel="0" collapsed="false">
      <c r="A625" s="37" t="s">
        <v>184</v>
      </c>
      <c r="B625" s="37" t="s">
        <v>201</v>
      </c>
      <c r="C625" s="37" t="s">
        <v>180</v>
      </c>
      <c r="D625" s="37" t="s">
        <v>124</v>
      </c>
      <c r="E625" s="38" t="n">
        <f aca="false">'Matrice des notes'!AP22</f>
        <v>2</v>
      </c>
      <c r="F625" s="37" t="s">
        <v>715</v>
      </c>
      <c r="G625" s="39" t="s">
        <v>716</v>
      </c>
    </row>
    <row r="626" customFormat="false" ht="15" hidden="false" customHeight="false" outlineLevel="0" collapsed="false">
      <c r="A626" s="37" t="s">
        <v>184</v>
      </c>
      <c r="B626" s="37" t="s">
        <v>202</v>
      </c>
      <c r="C626" s="37" t="s">
        <v>178</v>
      </c>
      <c r="D626" s="37" t="s">
        <v>7</v>
      </c>
      <c r="E626" s="38" t="n">
        <f aca="false">'Matrice des notes'!D23</f>
        <v>3</v>
      </c>
      <c r="F626" s="37" t="s">
        <v>617</v>
      </c>
      <c r="G626" s="39" t="s">
        <v>618</v>
      </c>
    </row>
    <row r="627" customFormat="false" ht="15" hidden="false" customHeight="false" outlineLevel="0" collapsed="false">
      <c r="A627" s="37" t="s">
        <v>184</v>
      </c>
      <c r="B627" s="37" t="s">
        <v>202</v>
      </c>
      <c r="C627" s="37" t="s">
        <v>178</v>
      </c>
      <c r="D627" s="37" t="s">
        <v>11</v>
      </c>
      <c r="E627" s="38" t="n">
        <f aca="false">'Matrice des notes'!E23</f>
        <v>3</v>
      </c>
      <c r="F627" s="37" t="s">
        <v>712</v>
      </c>
      <c r="G627" s="39" t="s">
        <v>774</v>
      </c>
    </row>
    <row r="628" customFormat="false" ht="15" hidden="false" customHeight="false" outlineLevel="0" collapsed="false">
      <c r="A628" s="37" t="s">
        <v>184</v>
      </c>
      <c r="B628" s="37" t="s">
        <v>202</v>
      </c>
      <c r="C628" s="37" t="s">
        <v>178</v>
      </c>
      <c r="D628" s="37" t="s">
        <v>14</v>
      </c>
      <c r="E628" s="38" t="n">
        <f aca="false">'Matrice des notes'!F23</f>
        <v>3</v>
      </c>
      <c r="F628" s="37" t="s">
        <v>712</v>
      </c>
      <c r="G628" s="39" t="s">
        <v>775</v>
      </c>
    </row>
    <row r="629" customFormat="false" ht="15" hidden="false" customHeight="false" outlineLevel="0" collapsed="false">
      <c r="A629" s="37" t="s">
        <v>184</v>
      </c>
      <c r="B629" s="37" t="s">
        <v>202</v>
      </c>
      <c r="C629" s="37" t="s">
        <v>178</v>
      </c>
      <c r="D629" s="37" t="s">
        <v>17</v>
      </c>
      <c r="E629" s="38" t="n">
        <f aca="false">'Matrice des notes'!G23</f>
        <v>3</v>
      </c>
      <c r="F629" s="37" t="s">
        <v>708</v>
      </c>
      <c r="G629" s="39" t="s">
        <v>776</v>
      </c>
    </row>
    <row r="630" customFormat="false" ht="15" hidden="false" customHeight="false" outlineLevel="0" collapsed="false">
      <c r="A630" s="37" t="s">
        <v>184</v>
      </c>
      <c r="B630" s="37" t="s">
        <v>202</v>
      </c>
      <c r="C630" s="37" t="s">
        <v>178</v>
      </c>
      <c r="D630" s="37" t="s">
        <v>20</v>
      </c>
      <c r="E630" s="38" t="n">
        <f aca="false">'Matrice des notes'!H23</f>
        <v>3</v>
      </c>
      <c r="F630" s="37" t="s">
        <v>777</v>
      </c>
      <c r="G630" s="39" t="s">
        <v>778</v>
      </c>
    </row>
    <row r="631" customFormat="false" ht="15" hidden="false" customHeight="false" outlineLevel="0" collapsed="false">
      <c r="A631" s="37" t="s">
        <v>184</v>
      </c>
      <c r="B631" s="37" t="s">
        <v>202</v>
      </c>
      <c r="C631" s="37" t="s">
        <v>178</v>
      </c>
      <c r="D631" s="37" t="s">
        <v>23</v>
      </c>
      <c r="E631" s="38" t="n">
        <f aca="false">'Matrice des notes'!I23</f>
        <v>3</v>
      </c>
      <c r="F631" s="37" t="s">
        <v>708</v>
      </c>
      <c r="G631" s="39" t="s">
        <v>779</v>
      </c>
    </row>
    <row r="632" customFormat="false" ht="15" hidden="false" customHeight="false" outlineLevel="0" collapsed="false">
      <c r="A632" s="37" t="s">
        <v>184</v>
      </c>
      <c r="B632" s="37" t="s">
        <v>202</v>
      </c>
      <c r="C632" s="37" t="s">
        <v>178</v>
      </c>
      <c r="D632" s="37" t="s">
        <v>26</v>
      </c>
      <c r="E632" s="38" t="n">
        <f aca="false">'Matrice des notes'!J23</f>
        <v>3</v>
      </c>
      <c r="F632" s="37" t="s">
        <v>677</v>
      </c>
      <c r="G632" s="39" t="s">
        <v>780</v>
      </c>
    </row>
    <row r="633" customFormat="false" ht="15" hidden="false" customHeight="false" outlineLevel="0" collapsed="false">
      <c r="A633" s="37" t="s">
        <v>184</v>
      </c>
      <c r="B633" s="37" t="s">
        <v>202</v>
      </c>
      <c r="C633" s="37" t="s">
        <v>178</v>
      </c>
      <c r="D633" s="37" t="s">
        <v>30</v>
      </c>
      <c r="E633" s="38" t="n">
        <f aca="false">'Matrice des notes'!K23</f>
        <v>3</v>
      </c>
      <c r="F633" s="37" t="s">
        <v>677</v>
      </c>
      <c r="G633" s="39" t="s">
        <v>781</v>
      </c>
    </row>
    <row r="634" customFormat="false" ht="15" hidden="false" customHeight="false" outlineLevel="0" collapsed="false">
      <c r="A634" s="37" t="s">
        <v>184</v>
      </c>
      <c r="B634" s="37" t="s">
        <v>202</v>
      </c>
      <c r="C634" s="37" t="s">
        <v>178</v>
      </c>
      <c r="D634" s="37" t="s">
        <v>34</v>
      </c>
      <c r="E634" s="38" t="n">
        <f aca="false">'Matrice des notes'!L23</f>
        <v>4</v>
      </c>
      <c r="F634" s="37" t="s">
        <v>623</v>
      </c>
      <c r="G634" s="39" t="s">
        <v>782</v>
      </c>
    </row>
    <row r="635" customFormat="false" ht="15" hidden="false" customHeight="false" outlineLevel="0" collapsed="false">
      <c r="A635" s="37" t="s">
        <v>184</v>
      </c>
      <c r="B635" s="37" t="s">
        <v>202</v>
      </c>
      <c r="C635" s="37" t="s">
        <v>178</v>
      </c>
      <c r="D635" s="37" t="s">
        <v>37</v>
      </c>
      <c r="E635" s="38" t="n">
        <f aca="false">'Matrice des notes'!M23</f>
        <v>2</v>
      </c>
      <c r="F635" s="37" t="s">
        <v>631</v>
      </c>
      <c r="G635" s="39" t="s">
        <v>632</v>
      </c>
    </row>
    <row r="636" customFormat="false" ht="15" hidden="false" customHeight="false" outlineLevel="0" collapsed="false">
      <c r="A636" s="37" t="s">
        <v>184</v>
      </c>
      <c r="B636" s="37" t="s">
        <v>202</v>
      </c>
      <c r="C636" s="37" t="s">
        <v>178</v>
      </c>
      <c r="D636" s="37" t="s">
        <v>40</v>
      </c>
      <c r="E636" s="38" t="n">
        <f aca="false">'Matrice des notes'!N23</f>
        <v>3</v>
      </c>
      <c r="F636" s="37" t="s">
        <v>712</v>
      </c>
      <c r="G636" s="39" t="s">
        <v>783</v>
      </c>
    </row>
    <row r="637" customFormat="false" ht="15" hidden="false" customHeight="false" outlineLevel="0" collapsed="false">
      <c r="A637" s="37" t="s">
        <v>184</v>
      </c>
      <c r="B637" s="37" t="s">
        <v>202</v>
      </c>
      <c r="C637" s="37" t="s">
        <v>178</v>
      </c>
      <c r="D637" s="37" t="s">
        <v>43</v>
      </c>
      <c r="E637" s="38" t="n">
        <f aca="false">'Matrice des notes'!O23</f>
        <v>2</v>
      </c>
      <c r="F637" s="37" t="s">
        <v>635</v>
      </c>
      <c r="G637" s="39" t="s">
        <v>636</v>
      </c>
    </row>
    <row r="638" customFormat="false" ht="15" hidden="false" customHeight="false" outlineLevel="0" collapsed="false">
      <c r="A638" s="37" t="s">
        <v>184</v>
      </c>
      <c r="B638" s="37" t="s">
        <v>202</v>
      </c>
      <c r="C638" s="37" t="s">
        <v>178</v>
      </c>
      <c r="D638" s="37" t="s">
        <v>46</v>
      </c>
      <c r="E638" s="38" t="n">
        <f aca="false">'Matrice des notes'!P23</f>
        <v>3</v>
      </c>
      <c r="F638" s="37" t="s">
        <v>637</v>
      </c>
      <c r="G638" s="39" t="s">
        <v>638</v>
      </c>
    </row>
    <row r="639" customFormat="false" ht="22.35" hidden="false" customHeight="false" outlineLevel="0" collapsed="false">
      <c r="A639" s="37" t="s">
        <v>184</v>
      </c>
      <c r="B639" s="37" t="s">
        <v>202</v>
      </c>
      <c r="C639" s="37" t="s">
        <v>179</v>
      </c>
      <c r="D639" s="37" t="s">
        <v>49</v>
      </c>
      <c r="E639" s="38" t="n">
        <f aca="false">'Matrice des notes'!Q23</f>
        <v>4</v>
      </c>
      <c r="F639" s="37" t="s">
        <v>784</v>
      </c>
      <c r="G639" s="39" t="s">
        <v>785</v>
      </c>
    </row>
    <row r="640" customFormat="false" ht="15" hidden="false" customHeight="false" outlineLevel="0" collapsed="false">
      <c r="A640" s="37" t="s">
        <v>184</v>
      </c>
      <c r="B640" s="37" t="s">
        <v>202</v>
      </c>
      <c r="C640" s="37" t="s">
        <v>179</v>
      </c>
      <c r="D640" s="37" t="s">
        <v>53</v>
      </c>
      <c r="E640" s="38" t="n">
        <f aca="false">'Matrice des notes'!R23</f>
        <v>4</v>
      </c>
      <c r="F640" s="37" t="s">
        <v>641</v>
      </c>
      <c r="G640" s="39" t="s">
        <v>786</v>
      </c>
    </row>
    <row r="641" customFormat="false" ht="15" hidden="false" customHeight="false" outlineLevel="0" collapsed="false">
      <c r="A641" s="37" t="s">
        <v>184</v>
      </c>
      <c r="B641" s="37" t="s">
        <v>202</v>
      </c>
      <c r="C641" s="37" t="s">
        <v>179</v>
      </c>
      <c r="D641" s="37" t="s">
        <v>56</v>
      </c>
      <c r="E641" s="38" t="n">
        <f aca="false">'Matrice des notes'!S23</f>
        <v>3</v>
      </c>
      <c r="F641" s="37" t="s">
        <v>708</v>
      </c>
      <c r="G641" s="39" t="s">
        <v>709</v>
      </c>
    </row>
    <row r="642" customFormat="false" ht="15" hidden="false" customHeight="false" outlineLevel="0" collapsed="false">
      <c r="A642" s="37" t="s">
        <v>184</v>
      </c>
      <c r="B642" s="37" t="s">
        <v>202</v>
      </c>
      <c r="C642" s="37" t="s">
        <v>179</v>
      </c>
      <c r="D642" s="37" t="s">
        <v>59</v>
      </c>
      <c r="E642" s="38" t="n">
        <f aca="false">'Matrice des notes'!T23</f>
        <v>3</v>
      </c>
      <c r="F642" s="37" t="s">
        <v>708</v>
      </c>
      <c r="G642" s="39" t="s">
        <v>776</v>
      </c>
    </row>
    <row r="643" customFormat="false" ht="15" hidden="false" customHeight="false" outlineLevel="0" collapsed="false">
      <c r="A643" s="37" t="s">
        <v>184</v>
      </c>
      <c r="B643" s="37" t="s">
        <v>202</v>
      </c>
      <c r="C643" s="37" t="s">
        <v>179</v>
      </c>
      <c r="D643" s="37" t="s">
        <v>62</v>
      </c>
      <c r="E643" s="38" t="n">
        <f aca="false">'Matrice des notes'!U23</f>
        <v>3</v>
      </c>
      <c r="F643" s="37" t="s">
        <v>712</v>
      </c>
      <c r="G643" s="39" t="s">
        <v>775</v>
      </c>
    </row>
    <row r="644" customFormat="false" ht="15" hidden="false" customHeight="false" outlineLevel="0" collapsed="false">
      <c r="A644" s="37" t="s">
        <v>184</v>
      </c>
      <c r="B644" s="37" t="s">
        <v>202</v>
      </c>
      <c r="C644" s="37" t="s">
        <v>179</v>
      </c>
      <c r="D644" s="37" t="s">
        <v>65</v>
      </c>
      <c r="E644" s="38" t="n">
        <f aca="false">'Matrice des notes'!V23</f>
        <v>3</v>
      </c>
      <c r="F644" s="37" t="s">
        <v>637</v>
      </c>
      <c r="G644" s="39" t="s">
        <v>638</v>
      </c>
    </row>
    <row r="645" customFormat="false" ht="15" hidden="false" customHeight="false" outlineLevel="0" collapsed="false">
      <c r="A645" s="37" t="s">
        <v>184</v>
      </c>
      <c r="B645" s="37" t="s">
        <v>202</v>
      </c>
      <c r="C645" s="37" t="s">
        <v>179</v>
      </c>
      <c r="D645" s="37" t="s">
        <v>68</v>
      </c>
      <c r="E645" s="38" t="n">
        <f aca="false">'Matrice des notes'!W23</f>
        <v>2</v>
      </c>
      <c r="F645" s="37" t="s">
        <v>649</v>
      </c>
      <c r="G645" s="39" t="s">
        <v>650</v>
      </c>
    </row>
    <row r="646" customFormat="false" ht="22.35" hidden="false" customHeight="false" outlineLevel="0" collapsed="false">
      <c r="A646" s="37" t="s">
        <v>184</v>
      </c>
      <c r="B646" s="37" t="s">
        <v>202</v>
      </c>
      <c r="C646" s="37" t="s">
        <v>179</v>
      </c>
      <c r="D646" s="37" t="s">
        <v>71</v>
      </c>
      <c r="E646" s="38" t="n">
        <f aca="false">'Matrice des notes'!X23</f>
        <v>4</v>
      </c>
      <c r="F646" s="37" t="s">
        <v>784</v>
      </c>
      <c r="G646" s="39" t="s">
        <v>787</v>
      </c>
    </row>
    <row r="647" customFormat="false" ht="15" hidden="false" customHeight="false" outlineLevel="0" collapsed="false">
      <c r="A647" s="37" t="s">
        <v>184</v>
      </c>
      <c r="B647" s="37" t="s">
        <v>202</v>
      </c>
      <c r="C647" s="37" t="s">
        <v>179</v>
      </c>
      <c r="D647" s="37" t="s">
        <v>74</v>
      </c>
      <c r="E647" s="38" t="n">
        <f aca="false">'Matrice des notes'!Y23</f>
        <v>3</v>
      </c>
      <c r="F647" s="37" t="s">
        <v>637</v>
      </c>
      <c r="G647" s="39" t="s">
        <v>638</v>
      </c>
    </row>
    <row r="648" customFormat="false" ht="15" hidden="false" customHeight="false" outlineLevel="0" collapsed="false">
      <c r="A648" s="37" t="s">
        <v>184</v>
      </c>
      <c r="B648" s="37" t="s">
        <v>202</v>
      </c>
      <c r="C648" s="37" t="s">
        <v>179</v>
      </c>
      <c r="D648" s="37" t="s">
        <v>77</v>
      </c>
      <c r="E648" s="38" t="n">
        <f aca="false">'Matrice des notes'!Z23</f>
        <v>3</v>
      </c>
      <c r="F648" s="37" t="s">
        <v>637</v>
      </c>
      <c r="G648" s="39" t="s">
        <v>638</v>
      </c>
    </row>
    <row r="649" customFormat="false" ht="15" hidden="false" customHeight="false" outlineLevel="0" collapsed="false">
      <c r="A649" s="37" t="s">
        <v>184</v>
      </c>
      <c r="B649" s="37" t="s">
        <v>202</v>
      </c>
      <c r="C649" s="37" t="s">
        <v>179</v>
      </c>
      <c r="D649" s="37" t="s">
        <v>80</v>
      </c>
      <c r="E649" s="38" t="n">
        <f aca="false">'Matrice des notes'!AA23</f>
        <v>3</v>
      </c>
      <c r="F649" s="37" t="s">
        <v>637</v>
      </c>
      <c r="G649" s="39" t="s">
        <v>638</v>
      </c>
    </row>
    <row r="650" customFormat="false" ht="15" hidden="false" customHeight="false" outlineLevel="0" collapsed="false">
      <c r="A650" s="37" t="s">
        <v>184</v>
      </c>
      <c r="B650" s="37" t="s">
        <v>202</v>
      </c>
      <c r="C650" s="37" t="s">
        <v>179</v>
      </c>
      <c r="D650" s="37" t="s">
        <v>83</v>
      </c>
      <c r="E650" s="38" t="n">
        <f aca="false">'Matrice des notes'!AB23</f>
        <v>3</v>
      </c>
      <c r="F650" s="37" t="s">
        <v>712</v>
      </c>
      <c r="G650" s="39" t="s">
        <v>713</v>
      </c>
    </row>
    <row r="651" customFormat="false" ht="15" hidden="false" customHeight="false" outlineLevel="0" collapsed="false">
      <c r="A651" s="37" t="s">
        <v>184</v>
      </c>
      <c r="B651" s="37" t="s">
        <v>202</v>
      </c>
      <c r="C651" s="37" t="s">
        <v>179</v>
      </c>
      <c r="D651" s="37" t="s">
        <v>86</v>
      </c>
      <c r="E651" s="38" t="n">
        <f aca="false">'Matrice des notes'!AC23</f>
        <v>2</v>
      </c>
      <c r="F651" s="37" t="s">
        <v>637</v>
      </c>
      <c r="G651" s="39" t="s">
        <v>638</v>
      </c>
    </row>
    <row r="652" customFormat="false" ht="15" hidden="false" customHeight="false" outlineLevel="0" collapsed="false">
      <c r="A652" s="37" t="s">
        <v>184</v>
      </c>
      <c r="B652" s="37" t="s">
        <v>202</v>
      </c>
      <c r="C652" s="37" t="s">
        <v>179</v>
      </c>
      <c r="D652" s="37" t="s">
        <v>89</v>
      </c>
      <c r="E652" s="38" t="n">
        <f aca="false">'Matrice des notes'!AD23</f>
        <v>3</v>
      </c>
      <c r="F652" s="37" t="s">
        <v>637</v>
      </c>
      <c r="G652" s="39" t="s">
        <v>638</v>
      </c>
    </row>
    <row r="653" customFormat="false" ht="15" hidden="false" customHeight="false" outlineLevel="0" collapsed="false">
      <c r="A653" s="37" t="s">
        <v>184</v>
      </c>
      <c r="B653" s="37" t="s">
        <v>202</v>
      </c>
      <c r="C653" s="37" t="s">
        <v>179</v>
      </c>
      <c r="D653" s="37" t="s">
        <v>92</v>
      </c>
      <c r="E653" s="38" t="n">
        <f aca="false">'Matrice des notes'!AE23</f>
        <v>2</v>
      </c>
      <c r="F653" s="37" t="s">
        <v>718</v>
      </c>
      <c r="G653" s="39" t="s">
        <v>719</v>
      </c>
    </row>
    <row r="654" customFormat="false" ht="15" hidden="false" customHeight="false" outlineLevel="0" collapsed="false">
      <c r="A654" s="37" t="s">
        <v>184</v>
      </c>
      <c r="B654" s="37" t="s">
        <v>202</v>
      </c>
      <c r="C654" s="37" t="s">
        <v>180</v>
      </c>
      <c r="D654" s="37" t="s">
        <v>95</v>
      </c>
      <c r="E654" s="38" t="n">
        <f aca="false">'Matrice des notes'!AF23</f>
        <v>1</v>
      </c>
      <c r="F654" s="37" t="s">
        <v>631</v>
      </c>
      <c r="G654" s="39" t="s">
        <v>654</v>
      </c>
    </row>
    <row r="655" customFormat="false" ht="15" hidden="false" customHeight="false" outlineLevel="0" collapsed="false">
      <c r="A655" s="37" t="s">
        <v>184</v>
      </c>
      <c r="B655" s="37" t="s">
        <v>202</v>
      </c>
      <c r="C655" s="37" t="s">
        <v>180</v>
      </c>
      <c r="D655" s="37" t="s">
        <v>99</v>
      </c>
      <c r="E655" s="38" t="n">
        <f aca="false">'Matrice des notes'!AG23</f>
        <v>1</v>
      </c>
      <c r="F655" s="37" t="s">
        <v>655</v>
      </c>
      <c r="G655" s="39" t="s">
        <v>656</v>
      </c>
    </row>
    <row r="656" customFormat="false" ht="15" hidden="false" customHeight="false" outlineLevel="0" collapsed="false">
      <c r="A656" s="37" t="s">
        <v>184</v>
      </c>
      <c r="B656" s="37" t="s">
        <v>202</v>
      </c>
      <c r="C656" s="37" t="s">
        <v>180</v>
      </c>
      <c r="D656" s="37" t="s">
        <v>102</v>
      </c>
      <c r="E656" s="38" t="n">
        <f aca="false">'Matrice des notes'!AH23</f>
        <v>1</v>
      </c>
      <c r="F656" s="37" t="s">
        <v>655</v>
      </c>
      <c r="G656" s="39" t="s">
        <v>656</v>
      </c>
    </row>
    <row r="657" customFormat="false" ht="15" hidden="false" customHeight="false" outlineLevel="0" collapsed="false">
      <c r="A657" s="37" t="s">
        <v>184</v>
      </c>
      <c r="B657" s="37" t="s">
        <v>202</v>
      </c>
      <c r="C657" s="37" t="s">
        <v>180</v>
      </c>
      <c r="D657" s="37" t="s">
        <v>104</v>
      </c>
      <c r="E657" s="38" t="n">
        <f aca="false">'Matrice des notes'!AI23</f>
        <v>1</v>
      </c>
      <c r="F657" s="37" t="s">
        <v>631</v>
      </c>
      <c r="G657" s="39" t="s">
        <v>654</v>
      </c>
    </row>
    <row r="658" customFormat="false" ht="15" hidden="false" customHeight="false" outlineLevel="0" collapsed="false">
      <c r="A658" s="37" t="s">
        <v>184</v>
      </c>
      <c r="B658" s="37" t="s">
        <v>202</v>
      </c>
      <c r="C658" s="37" t="s">
        <v>180</v>
      </c>
      <c r="D658" s="37" t="s">
        <v>107</v>
      </c>
      <c r="E658" s="38" t="n">
        <f aca="false">'Matrice des notes'!AJ23</f>
        <v>1</v>
      </c>
      <c r="F658" s="37" t="s">
        <v>631</v>
      </c>
      <c r="G658" s="39" t="s">
        <v>654</v>
      </c>
    </row>
    <row r="659" customFormat="false" ht="15" hidden="false" customHeight="false" outlineLevel="0" collapsed="false">
      <c r="A659" s="37" t="s">
        <v>184</v>
      </c>
      <c r="B659" s="37" t="s">
        <v>202</v>
      </c>
      <c r="C659" s="37" t="s">
        <v>180</v>
      </c>
      <c r="D659" s="37" t="s">
        <v>110</v>
      </c>
      <c r="E659" s="38" t="n">
        <f aca="false">'Matrice des notes'!AK23</f>
        <v>1</v>
      </c>
      <c r="F659" s="37" t="s">
        <v>631</v>
      </c>
      <c r="G659" s="39" t="s">
        <v>654</v>
      </c>
    </row>
    <row r="660" customFormat="false" ht="15" hidden="false" customHeight="false" outlineLevel="0" collapsed="false">
      <c r="A660" s="37" t="s">
        <v>184</v>
      </c>
      <c r="B660" s="37" t="s">
        <v>202</v>
      </c>
      <c r="C660" s="37" t="s">
        <v>180</v>
      </c>
      <c r="D660" s="37" t="s">
        <v>113</v>
      </c>
      <c r="E660" s="38" t="n">
        <f aca="false">'Matrice des notes'!AL23</f>
        <v>1</v>
      </c>
      <c r="F660" s="37" t="s">
        <v>631</v>
      </c>
      <c r="G660" s="39" t="s">
        <v>654</v>
      </c>
    </row>
    <row r="661" customFormat="false" ht="15" hidden="false" customHeight="false" outlineLevel="0" collapsed="false">
      <c r="A661" s="37" t="s">
        <v>184</v>
      </c>
      <c r="B661" s="37" t="s">
        <v>202</v>
      </c>
      <c r="C661" s="37" t="s">
        <v>180</v>
      </c>
      <c r="D661" s="37" t="s">
        <v>116</v>
      </c>
      <c r="E661" s="38" t="n">
        <f aca="false">'Matrice des notes'!AM23</f>
        <v>1</v>
      </c>
      <c r="F661" s="37" t="s">
        <v>655</v>
      </c>
      <c r="G661" s="39" t="s">
        <v>656</v>
      </c>
    </row>
    <row r="662" customFormat="false" ht="15" hidden="false" customHeight="false" outlineLevel="0" collapsed="false">
      <c r="A662" s="37" t="s">
        <v>184</v>
      </c>
      <c r="B662" s="37" t="s">
        <v>202</v>
      </c>
      <c r="C662" s="37" t="s">
        <v>180</v>
      </c>
      <c r="D662" s="37" t="s">
        <v>119</v>
      </c>
      <c r="E662" s="38" t="n">
        <f aca="false">'Matrice des notes'!AN23</f>
        <v>1</v>
      </c>
      <c r="F662" s="37" t="s">
        <v>631</v>
      </c>
      <c r="G662" s="39" t="s">
        <v>654</v>
      </c>
    </row>
    <row r="663" customFormat="false" ht="15" hidden="false" customHeight="false" outlineLevel="0" collapsed="false">
      <c r="A663" s="37" t="s">
        <v>184</v>
      </c>
      <c r="B663" s="37" t="s">
        <v>202</v>
      </c>
      <c r="C663" s="37" t="s">
        <v>180</v>
      </c>
      <c r="D663" s="37" t="s">
        <v>121</v>
      </c>
      <c r="E663" s="38" t="n">
        <f aca="false">'Matrice des notes'!AO23</f>
        <v>1</v>
      </c>
      <c r="F663" s="37" t="s">
        <v>657</v>
      </c>
      <c r="G663" s="39" t="s">
        <v>658</v>
      </c>
    </row>
    <row r="664" customFormat="false" ht="15" hidden="false" customHeight="false" outlineLevel="0" collapsed="false">
      <c r="A664" s="37" t="s">
        <v>184</v>
      </c>
      <c r="B664" s="37" t="s">
        <v>202</v>
      </c>
      <c r="C664" s="37" t="s">
        <v>180</v>
      </c>
      <c r="D664" s="37" t="s">
        <v>124</v>
      </c>
      <c r="E664" s="38" t="n">
        <f aca="false">'Matrice des notes'!AP23</f>
        <v>2</v>
      </c>
      <c r="F664" s="37" t="s">
        <v>715</v>
      </c>
      <c r="G664" s="39" t="s">
        <v>716</v>
      </c>
    </row>
    <row r="665" customFormat="false" ht="15" hidden="false" customHeight="false" outlineLevel="0" collapsed="false">
      <c r="A665" s="37" t="s">
        <v>184</v>
      </c>
      <c r="B665" s="37" t="s">
        <v>203</v>
      </c>
      <c r="C665" s="37" t="s">
        <v>178</v>
      </c>
      <c r="D665" s="37" t="s">
        <v>7</v>
      </c>
      <c r="E665" s="38" t="n">
        <f aca="false">'Matrice des notes'!D24</f>
        <v>3</v>
      </c>
      <c r="F665" s="37" t="s">
        <v>617</v>
      </c>
      <c r="G665" s="39" t="s">
        <v>618</v>
      </c>
    </row>
    <row r="666" customFormat="false" ht="15" hidden="false" customHeight="false" outlineLevel="0" collapsed="false">
      <c r="A666" s="37" t="s">
        <v>184</v>
      </c>
      <c r="B666" s="37" t="s">
        <v>203</v>
      </c>
      <c r="C666" s="37" t="s">
        <v>178</v>
      </c>
      <c r="D666" s="37" t="s">
        <v>11</v>
      </c>
      <c r="E666" s="38" t="n">
        <f aca="false">'Matrice des notes'!E24</f>
        <v>4</v>
      </c>
      <c r="F666" s="37" t="s">
        <v>619</v>
      </c>
      <c r="G666" s="39" t="s">
        <v>620</v>
      </c>
    </row>
    <row r="667" customFormat="false" ht="22.35" hidden="false" customHeight="false" outlineLevel="0" collapsed="false">
      <c r="A667" s="37" t="s">
        <v>184</v>
      </c>
      <c r="B667" s="37" t="s">
        <v>203</v>
      </c>
      <c r="C667" s="37" t="s">
        <v>178</v>
      </c>
      <c r="D667" s="37" t="s">
        <v>14</v>
      </c>
      <c r="E667" s="38" t="n">
        <f aca="false">'Matrice des notes'!F24</f>
        <v>4</v>
      </c>
      <c r="F667" s="37" t="s">
        <v>621</v>
      </c>
      <c r="G667" s="39" t="s">
        <v>622</v>
      </c>
    </row>
    <row r="668" customFormat="false" ht="15" hidden="false" customHeight="false" outlineLevel="0" collapsed="false">
      <c r="A668" s="37" t="s">
        <v>184</v>
      </c>
      <c r="B668" s="37" t="s">
        <v>203</v>
      </c>
      <c r="C668" s="37" t="s">
        <v>178</v>
      </c>
      <c r="D668" s="37" t="s">
        <v>17</v>
      </c>
      <c r="E668" s="38" t="n">
        <f aca="false">'Matrice des notes'!G24</f>
        <v>4</v>
      </c>
      <c r="F668" s="37" t="s">
        <v>623</v>
      </c>
      <c r="G668" s="39" t="s">
        <v>624</v>
      </c>
    </row>
    <row r="669" customFormat="false" ht="15" hidden="false" customHeight="false" outlineLevel="0" collapsed="false">
      <c r="A669" s="37" t="s">
        <v>184</v>
      </c>
      <c r="B669" s="37" t="s">
        <v>203</v>
      </c>
      <c r="C669" s="37" t="s">
        <v>178</v>
      </c>
      <c r="D669" s="37" t="s">
        <v>20</v>
      </c>
      <c r="E669" s="38" t="n">
        <f aca="false">'Matrice des notes'!H24</f>
        <v>4</v>
      </c>
      <c r="F669" s="37" t="s">
        <v>625</v>
      </c>
      <c r="G669" s="39" t="s">
        <v>626</v>
      </c>
    </row>
    <row r="670" customFormat="false" ht="15" hidden="false" customHeight="false" outlineLevel="0" collapsed="false">
      <c r="A670" s="37" t="s">
        <v>184</v>
      </c>
      <c r="B670" s="37" t="s">
        <v>203</v>
      </c>
      <c r="C670" s="37" t="s">
        <v>178</v>
      </c>
      <c r="D670" s="37" t="s">
        <v>23</v>
      </c>
      <c r="E670" s="38" t="n">
        <f aca="false">'Matrice des notes'!I24</f>
        <v>5</v>
      </c>
      <c r="F670" s="37" t="s">
        <v>627</v>
      </c>
      <c r="G670" s="39" t="s">
        <v>628</v>
      </c>
    </row>
    <row r="671" customFormat="false" ht="15" hidden="false" customHeight="false" outlineLevel="0" collapsed="false">
      <c r="A671" s="37" t="s">
        <v>184</v>
      </c>
      <c r="B671" s="37" t="s">
        <v>203</v>
      </c>
      <c r="C671" s="37" t="s">
        <v>178</v>
      </c>
      <c r="D671" s="37" t="s">
        <v>26</v>
      </c>
      <c r="E671" s="38" t="n">
        <f aca="false">'Matrice des notes'!J24</f>
        <v>4</v>
      </c>
      <c r="F671" s="37" t="s">
        <v>629</v>
      </c>
      <c r="G671" s="39" t="s">
        <v>630</v>
      </c>
    </row>
    <row r="672" customFormat="false" ht="15" hidden="false" customHeight="false" outlineLevel="0" collapsed="false">
      <c r="A672" s="37" t="s">
        <v>184</v>
      </c>
      <c r="B672" s="37" t="s">
        <v>203</v>
      </c>
      <c r="C672" s="37" t="s">
        <v>178</v>
      </c>
      <c r="D672" s="37" t="s">
        <v>30</v>
      </c>
      <c r="E672" s="38" t="n">
        <f aca="false">'Matrice des notes'!K24</f>
        <v>4</v>
      </c>
      <c r="F672" s="37" t="s">
        <v>629</v>
      </c>
      <c r="G672" s="39" t="s">
        <v>630</v>
      </c>
    </row>
    <row r="673" customFormat="false" ht="15" hidden="false" customHeight="false" outlineLevel="0" collapsed="false">
      <c r="A673" s="37" t="s">
        <v>184</v>
      </c>
      <c r="B673" s="37" t="s">
        <v>203</v>
      </c>
      <c r="C673" s="37" t="s">
        <v>178</v>
      </c>
      <c r="D673" s="37" t="s">
        <v>34</v>
      </c>
      <c r="E673" s="38" t="n">
        <f aca="false">'Matrice des notes'!L24</f>
        <v>4</v>
      </c>
      <c r="F673" s="37" t="s">
        <v>623</v>
      </c>
      <c r="G673" s="39" t="s">
        <v>624</v>
      </c>
    </row>
    <row r="674" customFormat="false" ht="15" hidden="false" customHeight="false" outlineLevel="0" collapsed="false">
      <c r="A674" s="37" t="s">
        <v>184</v>
      </c>
      <c r="B674" s="37" t="s">
        <v>203</v>
      </c>
      <c r="C674" s="37" t="s">
        <v>178</v>
      </c>
      <c r="D674" s="37" t="s">
        <v>37</v>
      </c>
      <c r="E674" s="38" t="n">
        <f aca="false">'Matrice des notes'!M24</f>
        <v>2</v>
      </c>
      <c r="F674" s="37" t="s">
        <v>631</v>
      </c>
      <c r="G674" s="39" t="s">
        <v>632</v>
      </c>
    </row>
    <row r="675" customFormat="false" ht="15" hidden="false" customHeight="false" outlineLevel="0" collapsed="false">
      <c r="A675" s="37" t="s">
        <v>184</v>
      </c>
      <c r="B675" s="37" t="s">
        <v>203</v>
      </c>
      <c r="C675" s="37" t="s">
        <v>178</v>
      </c>
      <c r="D675" s="37" t="s">
        <v>40</v>
      </c>
      <c r="E675" s="38" t="n">
        <f aca="false">'Matrice des notes'!N24</f>
        <v>4</v>
      </c>
      <c r="F675" s="37" t="s">
        <v>633</v>
      </c>
      <c r="G675" s="39" t="s">
        <v>634</v>
      </c>
    </row>
    <row r="676" customFormat="false" ht="15" hidden="false" customHeight="false" outlineLevel="0" collapsed="false">
      <c r="A676" s="37" t="s">
        <v>184</v>
      </c>
      <c r="B676" s="37" t="s">
        <v>203</v>
      </c>
      <c r="C676" s="37" t="s">
        <v>178</v>
      </c>
      <c r="D676" s="37" t="s">
        <v>43</v>
      </c>
      <c r="E676" s="38" t="n">
        <f aca="false">'Matrice des notes'!O24</f>
        <v>2</v>
      </c>
      <c r="F676" s="37" t="s">
        <v>635</v>
      </c>
      <c r="G676" s="39" t="s">
        <v>636</v>
      </c>
    </row>
    <row r="677" customFormat="false" ht="15" hidden="false" customHeight="false" outlineLevel="0" collapsed="false">
      <c r="A677" s="37" t="s">
        <v>184</v>
      </c>
      <c r="B677" s="37" t="s">
        <v>203</v>
      </c>
      <c r="C677" s="37" t="s">
        <v>178</v>
      </c>
      <c r="D677" s="37" t="s">
        <v>46</v>
      </c>
      <c r="E677" s="38" t="n">
        <f aca="false">'Matrice des notes'!P24</f>
        <v>3</v>
      </c>
      <c r="F677" s="37" t="s">
        <v>637</v>
      </c>
      <c r="G677" s="39" t="s">
        <v>638</v>
      </c>
    </row>
    <row r="678" customFormat="false" ht="22.35" hidden="false" customHeight="false" outlineLevel="0" collapsed="false">
      <c r="A678" s="37" t="s">
        <v>184</v>
      </c>
      <c r="B678" s="37" t="s">
        <v>203</v>
      </c>
      <c r="C678" s="37" t="s">
        <v>179</v>
      </c>
      <c r="D678" s="37" t="s">
        <v>49</v>
      </c>
      <c r="E678" s="38" t="n">
        <f aca="false">'Matrice des notes'!Q24</f>
        <v>4</v>
      </c>
      <c r="F678" s="37" t="s">
        <v>688</v>
      </c>
      <c r="G678" s="39" t="s">
        <v>689</v>
      </c>
    </row>
    <row r="679" customFormat="false" ht="15" hidden="false" customHeight="false" outlineLevel="0" collapsed="false">
      <c r="A679" s="37" t="s">
        <v>184</v>
      </c>
      <c r="B679" s="37" t="s">
        <v>203</v>
      </c>
      <c r="C679" s="37" t="s">
        <v>179</v>
      </c>
      <c r="D679" s="37" t="s">
        <v>53</v>
      </c>
      <c r="E679" s="38" t="n">
        <f aca="false">'Matrice des notes'!R24</f>
        <v>4</v>
      </c>
      <c r="F679" s="37" t="s">
        <v>641</v>
      </c>
      <c r="G679" s="39" t="s">
        <v>642</v>
      </c>
    </row>
    <row r="680" customFormat="false" ht="22.35" hidden="false" customHeight="false" outlineLevel="0" collapsed="false">
      <c r="A680" s="37" t="s">
        <v>184</v>
      </c>
      <c r="B680" s="37" t="s">
        <v>203</v>
      </c>
      <c r="C680" s="37" t="s">
        <v>179</v>
      </c>
      <c r="D680" s="37" t="s">
        <v>56</v>
      </c>
      <c r="E680" s="38" t="n">
        <f aca="false">'Matrice des notes'!S24</f>
        <v>4</v>
      </c>
      <c r="F680" s="37" t="s">
        <v>643</v>
      </c>
      <c r="G680" s="39" t="s">
        <v>644</v>
      </c>
    </row>
    <row r="681" customFormat="false" ht="15" hidden="false" customHeight="false" outlineLevel="0" collapsed="false">
      <c r="A681" s="37" t="s">
        <v>184</v>
      </c>
      <c r="B681" s="37" t="s">
        <v>203</v>
      </c>
      <c r="C681" s="37" t="s">
        <v>179</v>
      </c>
      <c r="D681" s="37" t="s">
        <v>59</v>
      </c>
      <c r="E681" s="38" t="n">
        <f aca="false">'Matrice des notes'!T24</f>
        <v>4</v>
      </c>
      <c r="F681" s="37" t="s">
        <v>623</v>
      </c>
      <c r="G681" s="39" t="s">
        <v>624</v>
      </c>
    </row>
    <row r="682" customFormat="false" ht="15" hidden="false" customHeight="false" outlineLevel="0" collapsed="false">
      <c r="A682" s="37" t="s">
        <v>184</v>
      </c>
      <c r="B682" s="37" t="s">
        <v>203</v>
      </c>
      <c r="C682" s="37" t="s">
        <v>179</v>
      </c>
      <c r="D682" s="37" t="s">
        <v>62</v>
      </c>
      <c r="E682" s="38" t="n">
        <f aca="false">'Matrice des notes'!U24</f>
        <v>4</v>
      </c>
      <c r="F682" s="37" t="s">
        <v>647</v>
      </c>
      <c r="G682" s="39" t="s">
        <v>648</v>
      </c>
    </row>
    <row r="683" customFormat="false" ht="15" hidden="false" customHeight="false" outlineLevel="0" collapsed="false">
      <c r="A683" s="37" t="s">
        <v>184</v>
      </c>
      <c r="B683" s="37" t="s">
        <v>203</v>
      </c>
      <c r="C683" s="37" t="s">
        <v>179</v>
      </c>
      <c r="D683" s="37" t="s">
        <v>65</v>
      </c>
      <c r="E683" s="38" t="n">
        <f aca="false">'Matrice des notes'!V24</f>
        <v>3</v>
      </c>
      <c r="F683" s="37" t="s">
        <v>637</v>
      </c>
      <c r="G683" s="39" t="s">
        <v>638</v>
      </c>
    </row>
    <row r="684" customFormat="false" ht="15" hidden="false" customHeight="false" outlineLevel="0" collapsed="false">
      <c r="A684" s="37" t="s">
        <v>184</v>
      </c>
      <c r="B684" s="37" t="s">
        <v>203</v>
      </c>
      <c r="C684" s="37" t="s">
        <v>179</v>
      </c>
      <c r="D684" s="37" t="s">
        <v>68</v>
      </c>
      <c r="E684" s="38" t="n">
        <f aca="false">'Matrice des notes'!W24</f>
        <v>2</v>
      </c>
      <c r="F684" s="37" t="s">
        <v>649</v>
      </c>
      <c r="G684" s="39" t="s">
        <v>650</v>
      </c>
    </row>
    <row r="685" customFormat="false" ht="22.35" hidden="false" customHeight="false" outlineLevel="0" collapsed="false">
      <c r="A685" s="37" t="s">
        <v>184</v>
      </c>
      <c r="B685" s="37" t="s">
        <v>203</v>
      </c>
      <c r="C685" s="37" t="s">
        <v>179</v>
      </c>
      <c r="D685" s="37" t="s">
        <v>71</v>
      </c>
      <c r="E685" s="38" t="n">
        <f aca="false">'Matrice des notes'!X24</f>
        <v>4</v>
      </c>
      <c r="F685" s="37" t="s">
        <v>688</v>
      </c>
      <c r="G685" s="39" t="s">
        <v>690</v>
      </c>
    </row>
    <row r="686" customFormat="false" ht="15" hidden="false" customHeight="false" outlineLevel="0" collapsed="false">
      <c r="A686" s="37" t="s">
        <v>184</v>
      </c>
      <c r="B686" s="37" t="s">
        <v>203</v>
      </c>
      <c r="C686" s="37" t="s">
        <v>179</v>
      </c>
      <c r="D686" s="37" t="s">
        <v>74</v>
      </c>
      <c r="E686" s="38" t="n">
        <f aca="false">'Matrice des notes'!Y24</f>
        <v>3</v>
      </c>
      <c r="F686" s="37" t="s">
        <v>637</v>
      </c>
      <c r="G686" s="39" t="s">
        <v>638</v>
      </c>
    </row>
    <row r="687" customFormat="false" ht="15" hidden="false" customHeight="false" outlineLevel="0" collapsed="false">
      <c r="A687" s="37" t="s">
        <v>184</v>
      </c>
      <c r="B687" s="37" t="s">
        <v>203</v>
      </c>
      <c r="C687" s="37" t="s">
        <v>179</v>
      </c>
      <c r="D687" s="37" t="s">
        <v>77</v>
      </c>
      <c r="E687" s="38" t="n">
        <f aca="false">'Matrice des notes'!Z24</f>
        <v>3</v>
      </c>
      <c r="F687" s="37" t="s">
        <v>637</v>
      </c>
      <c r="G687" s="39" t="s">
        <v>638</v>
      </c>
    </row>
    <row r="688" customFormat="false" ht="15" hidden="false" customHeight="false" outlineLevel="0" collapsed="false">
      <c r="A688" s="37" t="s">
        <v>184</v>
      </c>
      <c r="B688" s="37" t="s">
        <v>203</v>
      </c>
      <c r="C688" s="37" t="s">
        <v>179</v>
      </c>
      <c r="D688" s="37" t="s">
        <v>80</v>
      </c>
      <c r="E688" s="38" t="n">
        <f aca="false">'Matrice des notes'!AA24</f>
        <v>3</v>
      </c>
      <c r="F688" s="37" t="s">
        <v>637</v>
      </c>
      <c r="G688" s="39" t="s">
        <v>638</v>
      </c>
    </row>
    <row r="689" customFormat="false" ht="15" hidden="false" customHeight="false" outlineLevel="0" collapsed="false">
      <c r="A689" s="37" t="s">
        <v>184</v>
      </c>
      <c r="B689" s="37" t="s">
        <v>203</v>
      </c>
      <c r="C689" s="37" t="s">
        <v>179</v>
      </c>
      <c r="D689" s="37" t="s">
        <v>83</v>
      </c>
      <c r="E689" s="38" t="n">
        <f aca="false">'Matrice des notes'!AB24</f>
        <v>3</v>
      </c>
      <c r="F689" s="37" t="s">
        <v>652</v>
      </c>
      <c r="G689" s="39" t="s">
        <v>653</v>
      </c>
    </row>
    <row r="690" customFormat="false" ht="15" hidden="false" customHeight="false" outlineLevel="0" collapsed="false">
      <c r="A690" s="37" t="s">
        <v>184</v>
      </c>
      <c r="B690" s="37" t="s">
        <v>203</v>
      </c>
      <c r="C690" s="37" t="s">
        <v>179</v>
      </c>
      <c r="D690" s="37" t="s">
        <v>86</v>
      </c>
      <c r="E690" s="38" t="n">
        <f aca="false">'Matrice des notes'!AC24</f>
        <v>2</v>
      </c>
      <c r="F690" s="37" t="s">
        <v>637</v>
      </c>
      <c r="G690" s="39" t="s">
        <v>638</v>
      </c>
    </row>
    <row r="691" customFormat="false" ht="15" hidden="false" customHeight="false" outlineLevel="0" collapsed="false">
      <c r="A691" s="37" t="s">
        <v>184</v>
      </c>
      <c r="B691" s="37" t="s">
        <v>203</v>
      </c>
      <c r="C691" s="37" t="s">
        <v>179</v>
      </c>
      <c r="D691" s="37" t="s">
        <v>89</v>
      </c>
      <c r="E691" s="38" t="n">
        <f aca="false">'Matrice des notes'!AD24</f>
        <v>3</v>
      </c>
      <c r="F691" s="37" t="s">
        <v>637</v>
      </c>
      <c r="G691" s="39" t="s">
        <v>638</v>
      </c>
    </row>
    <row r="692" customFormat="false" ht="15" hidden="false" customHeight="false" outlineLevel="0" collapsed="false">
      <c r="A692" s="37" t="s">
        <v>184</v>
      </c>
      <c r="B692" s="37" t="s">
        <v>203</v>
      </c>
      <c r="C692" s="37" t="s">
        <v>179</v>
      </c>
      <c r="D692" s="37" t="s">
        <v>92</v>
      </c>
      <c r="E692" s="38" t="n">
        <f aca="false">'Matrice des notes'!AE24</f>
        <v>2</v>
      </c>
      <c r="F692" s="37" t="s">
        <v>637</v>
      </c>
      <c r="G692" s="39" t="s">
        <v>638</v>
      </c>
    </row>
    <row r="693" customFormat="false" ht="15" hidden="false" customHeight="false" outlineLevel="0" collapsed="false">
      <c r="A693" s="37" t="s">
        <v>184</v>
      </c>
      <c r="B693" s="37" t="s">
        <v>203</v>
      </c>
      <c r="C693" s="37" t="s">
        <v>180</v>
      </c>
      <c r="D693" s="37" t="s">
        <v>95</v>
      </c>
      <c r="E693" s="38" t="n">
        <f aca="false">'Matrice des notes'!AF24</f>
        <v>1</v>
      </c>
      <c r="F693" s="37" t="s">
        <v>631</v>
      </c>
      <c r="G693" s="39" t="s">
        <v>654</v>
      </c>
    </row>
    <row r="694" customFormat="false" ht="15" hidden="false" customHeight="false" outlineLevel="0" collapsed="false">
      <c r="A694" s="37" t="s">
        <v>184</v>
      </c>
      <c r="B694" s="37" t="s">
        <v>203</v>
      </c>
      <c r="C694" s="37" t="s">
        <v>180</v>
      </c>
      <c r="D694" s="37" t="s">
        <v>99</v>
      </c>
      <c r="E694" s="38" t="n">
        <f aca="false">'Matrice des notes'!AG24</f>
        <v>1</v>
      </c>
      <c r="F694" s="37" t="s">
        <v>655</v>
      </c>
      <c r="G694" s="39" t="s">
        <v>656</v>
      </c>
    </row>
    <row r="695" customFormat="false" ht="15" hidden="false" customHeight="false" outlineLevel="0" collapsed="false">
      <c r="A695" s="37" t="s">
        <v>184</v>
      </c>
      <c r="B695" s="37" t="s">
        <v>203</v>
      </c>
      <c r="C695" s="37" t="s">
        <v>180</v>
      </c>
      <c r="D695" s="37" t="s">
        <v>102</v>
      </c>
      <c r="E695" s="38" t="n">
        <f aca="false">'Matrice des notes'!AH24</f>
        <v>1</v>
      </c>
      <c r="F695" s="37" t="s">
        <v>655</v>
      </c>
      <c r="G695" s="39" t="s">
        <v>656</v>
      </c>
    </row>
    <row r="696" customFormat="false" ht="15" hidden="false" customHeight="false" outlineLevel="0" collapsed="false">
      <c r="A696" s="37" t="s">
        <v>184</v>
      </c>
      <c r="B696" s="37" t="s">
        <v>203</v>
      </c>
      <c r="C696" s="37" t="s">
        <v>180</v>
      </c>
      <c r="D696" s="37" t="s">
        <v>104</v>
      </c>
      <c r="E696" s="38" t="n">
        <f aca="false">'Matrice des notes'!AI24</f>
        <v>1</v>
      </c>
      <c r="F696" s="37" t="s">
        <v>631</v>
      </c>
      <c r="G696" s="39" t="s">
        <v>654</v>
      </c>
    </row>
    <row r="697" customFormat="false" ht="15" hidden="false" customHeight="false" outlineLevel="0" collapsed="false">
      <c r="A697" s="37" t="s">
        <v>184</v>
      </c>
      <c r="B697" s="37" t="s">
        <v>203</v>
      </c>
      <c r="C697" s="37" t="s">
        <v>180</v>
      </c>
      <c r="D697" s="37" t="s">
        <v>107</v>
      </c>
      <c r="E697" s="38" t="n">
        <f aca="false">'Matrice des notes'!AJ24</f>
        <v>1</v>
      </c>
      <c r="F697" s="37" t="s">
        <v>631</v>
      </c>
      <c r="G697" s="39" t="s">
        <v>654</v>
      </c>
    </row>
    <row r="698" customFormat="false" ht="15" hidden="false" customHeight="false" outlineLevel="0" collapsed="false">
      <c r="A698" s="37" t="s">
        <v>184</v>
      </c>
      <c r="B698" s="37" t="s">
        <v>203</v>
      </c>
      <c r="C698" s="37" t="s">
        <v>180</v>
      </c>
      <c r="D698" s="37" t="s">
        <v>110</v>
      </c>
      <c r="E698" s="38" t="n">
        <f aca="false">'Matrice des notes'!AK24</f>
        <v>1</v>
      </c>
      <c r="F698" s="37" t="s">
        <v>631</v>
      </c>
      <c r="G698" s="39" t="s">
        <v>654</v>
      </c>
    </row>
    <row r="699" customFormat="false" ht="15" hidden="false" customHeight="false" outlineLevel="0" collapsed="false">
      <c r="A699" s="37" t="s">
        <v>184</v>
      </c>
      <c r="B699" s="37" t="s">
        <v>203</v>
      </c>
      <c r="C699" s="37" t="s">
        <v>180</v>
      </c>
      <c r="D699" s="37" t="s">
        <v>113</v>
      </c>
      <c r="E699" s="38" t="n">
        <f aca="false">'Matrice des notes'!AL24</f>
        <v>1</v>
      </c>
      <c r="F699" s="37" t="s">
        <v>631</v>
      </c>
      <c r="G699" s="39" t="s">
        <v>654</v>
      </c>
    </row>
    <row r="700" customFormat="false" ht="15" hidden="false" customHeight="false" outlineLevel="0" collapsed="false">
      <c r="A700" s="37" t="s">
        <v>184</v>
      </c>
      <c r="B700" s="37" t="s">
        <v>203</v>
      </c>
      <c r="C700" s="37" t="s">
        <v>180</v>
      </c>
      <c r="D700" s="37" t="s">
        <v>116</v>
      </c>
      <c r="E700" s="38" t="n">
        <f aca="false">'Matrice des notes'!AM24</f>
        <v>1</v>
      </c>
      <c r="F700" s="37" t="s">
        <v>655</v>
      </c>
      <c r="G700" s="39" t="s">
        <v>656</v>
      </c>
    </row>
    <row r="701" customFormat="false" ht="15" hidden="false" customHeight="false" outlineLevel="0" collapsed="false">
      <c r="A701" s="37" t="s">
        <v>184</v>
      </c>
      <c r="B701" s="37" t="s">
        <v>203</v>
      </c>
      <c r="C701" s="37" t="s">
        <v>180</v>
      </c>
      <c r="D701" s="37" t="s">
        <v>119</v>
      </c>
      <c r="E701" s="38" t="n">
        <f aca="false">'Matrice des notes'!AN24</f>
        <v>1</v>
      </c>
      <c r="F701" s="37" t="s">
        <v>631</v>
      </c>
      <c r="G701" s="39" t="s">
        <v>654</v>
      </c>
    </row>
    <row r="702" customFormat="false" ht="15" hidden="false" customHeight="false" outlineLevel="0" collapsed="false">
      <c r="A702" s="37" t="s">
        <v>184</v>
      </c>
      <c r="B702" s="37" t="s">
        <v>203</v>
      </c>
      <c r="C702" s="37" t="s">
        <v>180</v>
      </c>
      <c r="D702" s="37" t="s">
        <v>121</v>
      </c>
      <c r="E702" s="38" t="n">
        <f aca="false">'Matrice des notes'!AO24</f>
        <v>1</v>
      </c>
      <c r="F702" s="37" t="s">
        <v>657</v>
      </c>
      <c r="G702" s="39" t="s">
        <v>658</v>
      </c>
    </row>
    <row r="703" customFormat="false" ht="15" hidden="false" customHeight="false" outlineLevel="0" collapsed="false">
      <c r="A703" s="37" t="s">
        <v>184</v>
      </c>
      <c r="B703" s="37" t="s">
        <v>203</v>
      </c>
      <c r="C703" s="37" t="s">
        <v>180</v>
      </c>
      <c r="D703" s="37" t="s">
        <v>124</v>
      </c>
      <c r="E703" s="38" t="n">
        <f aca="false">'Matrice des notes'!AP24</f>
        <v>3</v>
      </c>
      <c r="F703" s="37" t="s">
        <v>659</v>
      </c>
      <c r="G703" s="39" t="s">
        <v>660</v>
      </c>
    </row>
    <row r="704" customFormat="false" ht="15" hidden="false" customHeight="false" outlineLevel="0" collapsed="false">
      <c r="A704" s="37" t="s">
        <v>184</v>
      </c>
      <c r="B704" s="37" t="s">
        <v>204</v>
      </c>
      <c r="C704" s="37" t="s">
        <v>178</v>
      </c>
      <c r="D704" s="37" t="s">
        <v>7</v>
      </c>
      <c r="E704" s="38" t="n">
        <f aca="false">'Matrice des notes'!D25</f>
        <v>2</v>
      </c>
      <c r="F704" s="37" t="s">
        <v>720</v>
      </c>
      <c r="G704" s="39" t="s">
        <v>721</v>
      </c>
    </row>
    <row r="705" customFormat="false" ht="22.35" hidden="false" customHeight="false" outlineLevel="0" collapsed="false">
      <c r="A705" s="37" t="s">
        <v>184</v>
      </c>
      <c r="B705" s="37" t="s">
        <v>204</v>
      </c>
      <c r="C705" s="37" t="s">
        <v>178</v>
      </c>
      <c r="D705" s="37" t="s">
        <v>11</v>
      </c>
      <c r="E705" s="38" t="n">
        <f aca="false">'Matrice des notes'!E25</f>
        <v>1</v>
      </c>
      <c r="F705" s="37" t="s">
        <v>730</v>
      </c>
      <c r="G705" s="39" t="s">
        <v>731</v>
      </c>
    </row>
    <row r="706" customFormat="false" ht="15" hidden="false" customHeight="false" outlineLevel="0" collapsed="false">
      <c r="A706" s="37" t="s">
        <v>184</v>
      </c>
      <c r="B706" s="37" t="s">
        <v>204</v>
      </c>
      <c r="C706" s="37" t="s">
        <v>178</v>
      </c>
      <c r="D706" s="37" t="s">
        <v>14</v>
      </c>
      <c r="E706" s="38" t="n">
        <f aca="false">'Matrice des notes'!F25</f>
        <v>2</v>
      </c>
      <c r="F706" s="37" t="s">
        <v>695</v>
      </c>
      <c r="G706" s="39" t="s">
        <v>696</v>
      </c>
    </row>
    <row r="707" customFormat="false" ht="15" hidden="false" customHeight="false" outlineLevel="0" collapsed="false">
      <c r="A707" s="37" t="s">
        <v>184</v>
      </c>
      <c r="B707" s="37" t="s">
        <v>204</v>
      </c>
      <c r="C707" s="37" t="s">
        <v>178</v>
      </c>
      <c r="D707" s="37" t="s">
        <v>17</v>
      </c>
      <c r="E707" s="38" t="n">
        <f aca="false">'Matrice des notes'!G25</f>
        <v>2</v>
      </c>
      <c r="F707" s="37" t="s">
        <v>697</v>
      </c>
      <c r="G707" s="39" t="s">
        <v>698</v>
      </c>
    </row>
    <row r="708" customFormat="false" ht="22.35" hidden="false" customHeight="false" outlineLevel="0" collapsed="false">
      <c r="A708" s="37" t="s">
        <v>184</v>
      </c>
      <c r="B708" s="37" t="s">
        <v>204</v>
      </c>
      <c r="C708" s="37" t="s">
        <v>178</v>
      </c>
      <c r="D708" s="37" t="s">
        <v>20</v>
      </c>
      <c r="E708" s="38" t="n">
        <f aca="false">'Matrice des notes'!H25</f>
        <v>1</v>
      </c>
      <c r="F708" s="37" t="s">
        <v>732</v>
      </c>
      <c r="G708" s="39" t="s">
        <v>733</v>
      </c>
    </row>
    <row r="709" customFormat="false" ht="15" hidden="false" customHeight="false" outlineLevel="0" collapsed="false">
      <c r="A709" s="37" t="s">
        <v>184</v>
      </c>
      <c r="B709" s="37" t="s">
        <v>204</v>
      </c>
      <c r="C709" s="37" t="s">
        <v>178</v>
      </c>
      <c r="D709" s="37" t="s">
        <v>23</v>
      </c>
      <c r="E709" s="38" t="n">
        <f aca="false">'Matrice des notes'!I25</f>
        <v>2</v>
      </c>
      <c r="F709" s="37" t="s">
        <v>697</v>
      </c>
      <c r="G709" s="39" t="s">
        <v>701</v>
      </c>
    </row>
    <row r="710" customFormat="false" ht="15" hidden="false" customHeight="false" outlineLevel="0" collapsed="false">
      <c r="A710" s="37" t="s">
        <v>184</v>
      </c>
      <c r="B710" s="37" t="s">
        <v>204</v>
      </c>
      <c r="C710" s="37" t="s">
        <v>178</v>
      </c>
      <c r="D710" s="37" t="s">
        <v>26</v>
      </c>
      <c r="E710" s="38" t="n">
        <f aca="false">'Matrice des notes'!J25</f>
        <v>2</v>
      </c>
      <c r="F710" s="37" t="s">
        <v>677</v>
      </c>
      <c r="G710" s="39" t="s">
        <v>702</v>
      </c>
    </row>
    <row r="711" customFormat="false" ht="15" hidden="false" customHeight="false" outlineLevel="0" collapsed="false">
      <c r="A711" s="37" t="s">
        <v>184</v>
      </c>
      <c r="B711" s="37" t="s">
        <v>204</v>
      </c>
      <c r="C711" s="37" t="s">
        <v>178</v>
      </c>
      <c r="D711" s="37" t="s">
        <v>30</v>
      </c>
      <c r="E711" s="38" t="n">
        <f aca="false">'Matrice des notes'!K25</f>
        <v>2</v>
      </c>
      <c r="F711" s="37" t="s">
        <v>677</v>
      </c>
      <c r="G711" s="39" t="s">
        <v>703</v>
      </c>
    </row>
    <row r="712" customFormat="false" ht="15" hidden="false" customHeight="false" outlineLevel="0" collapsed="false">
      <c r="A712" s="37" t="s">
        <v>184</v>
      </c>
      <c r="B712" s="37" t="s">
        <v>204</v>
      </c>
      <c r="C712" s="37" t="s">
        <v>178</v>
      </c>
      <c r="D712" s="37" t="s">
        <v>34</v>
      </c>
      <c r="E712" s="38" t="n">
        <f aca="false">'Matrice des notes'!L25</f>
        <v>4</v>
      </c>
      <c r="F712" s="37" t="s">
        <v>623</v>
      </c>
      <c r="G712" s="39" t="s">
        <v>741</v>
      </c>
    </row>
    <row r="713" customFormat="false" ht="15" hidden="false" customHeight="false" outlineLevel="0" collapsed="false">
      <c r="A713" s="37" t="s">
        <v>184</v>
      </c>
      <c r="B713" s="37" t="s">
        <v>204</v>
      </c>
      <c r="C713" s="37" t="s">
        <v>178</v>
      </c>
      <c r="D713" s="37" t="s">
        <v>37</v>
      </c>
      <c r="E713" s="38" t="n">
        <f aca="false">'Matrice des notes'!M25</f>
        <v>2</v>
      </c>
      <c r="F713" s="37" t="s">
        <v>631</v>
      </c>
      <c r="G713" s="39" t="s">
        <v>632</v>
      </c>
    </row>
    <row r="714" customFormat="false" ht="22.35" hidden="false" customHeight="false" outlineLevel="0" collapsed="false">
      <c r="A714" s="37" t="s">
        <v>184</v>
      </c>
      <c r="B714" s="37" t="s">
        <v>204</v>
      </c>
      <c r="C714" s="37" t="s">
        <v>178</v>
      </c>
      <c r="D714" s="37" t="s">
        <v>40</v>
      </c>
      <c r="E714" s="38" t="n">
        <f aca="false">'Matrice des notes'!N25</f>
        <v>1</v>
      </c>
      <c r="F714" s="37" t="s">
        <v>742</v>
      </c>
      <c r="G714" s="39" t="s">
        <v>743</v>
      </c>
    </row>
    <row r="715" customFormat="false" ht="15" hidden="false" customHeight="false" outlineLevel="0" collapsed="false">
      <c r="A715" s="37" t="s">
        <v>184</v>
      </c>
      <c r="B715" s="37" t="s">
        <v>204</v>
      </c>
      <c r="C715" s="37" t="s">
        <v>178</v>
      </c>
      <c r="D715" s="37" t="s">
        <v>43</v>
      </c>
      <c r="E715" s="38" t="n">
        <f aca="false">'Matrice des notes'!O25</f>
        <v>3</v>
      </c>
      <c r="F715" s="37" t="s">
        <v>635</v>
      </c>
      <c r="G715" s="39" t="s">
        <v>724</v>
      </c>
    </row>
    <row r="716" customFormat="false" ht="15" hidden="false" customHeight="false" outlineLevel="0" collapsed="false">
      <c r="A716" s="37" t="s">
        <v>184</v>
      </c>
      <c r="B716" s="37" t="s">
        <v>204</v>
      </c>
      <c r="C716" s="37" t="s">
        <v>178</v>
      </c>
      <c r="D716" s="37" t="s">
        <v>46</v>
      </c>
      <c r="E716" s="38" t="n">
        <f aca="false">'Matrice des notes'!P25</f>
        <v>4</v>
      </c>
      <c r="F716" s="37" t="s">
        <v>623</v>
      </c>
      <c r="G716" s="39" t="s">
        <v>741</v>
      </c>
    </row>
    <row r="717" customFormat="false" ht="15" hidden="false" customHeight="false" outlineLevel="0" collapsed="false">
      <c r="A717" s="37" t="s">
        <v>184</v>
      </c>
      <c r="B717" s="37" t="s">
        <v>204</v>
      </c>
      <c r="C717" s="37" t="s">
        <v>179</v>
      </c>
      <c r="D717" s="37" t="s">
        <v>49</v>
      </c>
      <c r="E717" s="38" t="n">
        <f aca="false">'Matrice des notes'!Q25</f>
        <v>2</v>
      </c>
      <c r="F717" s="37" t="s">
        <v>693</v>
      </c>
      <c r="G717" s="39" t="s">
        <v>706</v>
      </c>
    </row>
    <row r="718" customFormat="false" ht="15" hidden="false" customHeight="false" outlineLevel="0" collapsed="false">
      <c r="A718" s="37" t="s">
        <v>184</v>
      </c>
      <c r="B718" s="37" t="s">
        <v>204</v>
      </c>
      <c r="C718" s="37" t="s">
        <v>179</v>
      </c>
      <c r="D718" s="37" t="s">
        <v>53</v>
      </c>
      <c r="E718" s="38" t="n">
        <f aca="false">'Matrice des notes'!R25</f>
        <v>4</v>
      </c>
      <c r="F718" s="37" t="s">
        <v>641</v>
      </c>
      <c r="G718" s="39" t="s">
        <v>744</v>
      </c>
    </row>
    <row r="719" customFormat="false" ht="15" hidden="false" customHeight="false" outlineLevel="0" collapsed="false">
      <c r="A719" s="37" t="s">
        <v>184</v>
      </c>
      <c r="B719" s="37" t="s">
        <v>204</v>
      </c>
      <c r="C719" s="37" t="s">
        <v>179</v>
      </c>
      <c r="D719" s="37" t="s">
        <v>56</v>
      </c>
      <c r="E719" s="38" t="n">
        <f aca="false">'Matrice des notes'!S25</f>
        <v>3</v>
      </c>
      <c r="F719" s="37" t="s">
        <v>708</v>
      </c>
      <c r="G719" s="39" t="s">
        <v>709</v>
      </c>
    </row>
    <row r="720" customFormat="false" ht="15" hidden="false" customHeight="false" outlineLevel="0" collapsed="false">
      <c r="A720" s="37" t="s">
        <v>184</v>
      </c>
      <c r="B720" s="37" t="s">
        <v>204</v>
      </c>
      <c r="C720" s="37" t="s">
        <v>179</v>
      </c>
      <c r="D720" s="37" t="s">
        <v>59</v>
      </c>
      <c r="E720" s="38" t="n">
        <f aca="false">'Matrice des notes'!T25</f>
        <v>2</v>
      </c>
      <c r="F720" s="37" t="s">
        <v>697</v>
      </c>
      <c r="G720" s="39" t="s">
        <v>698</v>
      </c>
    </row>
    <row r="721" customFormat="false" ht="15" hidden="false" customHeight="false" outlineLevel="0" collapsed="false">
      <c r="A721" s="37" t="s">
        <v>184</v>
      </c>
      <c r="B721" s="37" t="s">
        <v>204</v>
      </c>
      <c r="C721" s="37" t="s">
        <v>179</v>
      </c>
      <c r="D721" s="37" t="s">
        <v>62</v>
      </c>
      <c r="E721" s="38" t="n">
        <f aca="false">'Matrice des notes'!U25</f>
        <v>2</v>
      </c>
      <c r="F721" s="37" t="s">
        <v>693</v>
      </c>
      <c r="G721" s="39" t="s">
        <v>710</v>
      </c>
    </row>
    <row r="722" customFormat="false" ht="15" hidden="false" customHeight="false" outlineLevel="0" collapsed="false">
      <c r="A722" s="37" t="s">
        <v>184</v>
      </c>
      <c r="B722" s="37" t="s">
        <v>204</v>
      </c>
      <c r="C722" s="37" t="s">
        <v>179</v>
      </c>
      <c r="D722" s="37" t="s">
        <v>65</v>
      </c>
      <c r="E722" s="38" t="n">
        <f aca="false">'Matrice des notes'!V25</f>
        <v>4</v>
      </c>
      <c r="F722" s="37" t="s">
        <v>623</v>
      </c>
      <c r="G722" s="39" t="s">
        <v>741</v>
      </c>
    </row>
    <row r="723" customFormat="false" ht="15" hidden="false" customHeight="false" outlineLevel="0" collapsed="false">
      <c r="A723" s="37" t="s">
        <v>184</v>
      </c>
      <c r="B723" s="37" t="s">
        <v>204</v>
      </c>
      <c r="C723" s="37" t="s">
        <v>179</v>
      </c>
      <c r="D723" s="37" t="s">
        <v>68</v>
      </c>
      <c r="E723" s="38" t="n">
        <f aca="false">'Matrice des notes'!W25</f>
        <v>3</v>
      </c>
      <c r="F723" s="37" t="s">
        <v>745</v>
      </c>
      <c r="G723" s="39" t="s">
        <v>746</v>
      </c>
    </row>
    <row r="724" customFormat="false" ht="15" hidden="false" customHeight="false" outlineLevel="0" collapsed="false">
      <c r="A724" s="37" t="s">
        <v>184</v>
      </c>
      <c r="B724" s="37" t="s">
        <v>204</v>
      </c>
      <c r="C724" s="37" t="s">
        <v>179</v>
      </c>
      <c r="D724" s="37" t="s">
        <v>71</v>
      </c>
      <c r="E724" s="38" t="n">
        <f aca="false">'Matrice des notes'!X25</f>
        <v>2</v>
      </c>
      <c r="F724" s="37" t="s">
        <v>693</v>
      </c>
      <c r="G724" s="39" t="s">
        <v>711</v>
      </c>
    </row>
    <row r="725" customFormat="false" ht="15" hidden="false" customHeight="false" outlineLevel="0" collapsed="false">
      <c r="A725" s="37" t="s">
        <v>184</v>
      </c>
      <c r="B725" s="37" t="s">
        <v>204</v>
      </c>
      <c r="C725" s="37" t="s">
        <v>179</v>
      </c>
      <c r="D725" s="37" t="s">
        <v>74</v>
      </c>
      <c r="E725" s="38" t="n">
        <f aca="false">'Matrice des notes'!Y25</f>
        <v>4</v>
      </c>
      <c r="F725" s="37" t="s">
        <v>623</v>
      </c>
      <c r="G725" s="39" t="s">
        <v>741</v>
      </c>
    </row>
    <row r="726" customFormat="false" ht="15" hidden="false" customHeight="false" outlineLevel="0" collapsed="false">
      <c r="A726" s="37" t="s">
        <v>184</v>
      </c>
      <c r="B726" s="37" t="s">
        <v>204</v>
      </c>
      <c r="C726" s="37" t="s">
        <v>179</v>
      </c>
      <c r="D726" s="37" t="s">
        <v>77</v>
      </c>
      <c r="E726" s="38" t="n">
        <f aca="false">'Matrice des notes'!Z25</f>
        <v>4</v>
      </c>
      <c r="F726" s="37" t="s">
        <v>623</v>
      </c>
      <c r="G726" s="39" t="s">
        <v>741</v>
      </c>
    </row>
    <row r="727" customFormat="false" ht="15" hidden="false" customHeight="false" outlineLevel="0" collapsed="false">
      <c r="A727" s="37" t="s">
        <v>184</v>
      </c>
      <c r="B727" s="37" t="s">
        <v>204</v>
      </c>
      <c r="C727" s="37" t="s">
        <v>179</v>
      </c>
      <c r="D727" s="37" t="s">
        <v>80</v>
      </c>
      <c r="E727" s="38" t="n">
        <f aca="false">'Matrice des notes'!AA25</f>
        <v>4</v>
      </c>
      <c r="F727" s="37" t="s">
        <v>623</v>
      </c>
      <c r="G727" s="39" t="s">
        <v>741</v>
      </c>
    </row>
    <row r="728" customFormat="false" ht="15" hidden="false" customHeight="false" outlineLevel="0" collapsed="false">
      <c r="A728" s="37" t="s">
        <v>184</v>
      </c>
      <c r="B728" s="37" t="s">
        <v>204</v>
      </c>
      <c r="C728" s="37" t="s">
        <v>179</v>
      </c>
      <c r="D728" s="37" t="s">
        <v>83</v>
      </c>
      <c r="E728" s="38" t="n">
        <f aca="false">'Matrice des notes'!AB25</f>
        <v>3</v>
      </c>
      <c r="F728" s="37" t="s">
        <v>712</v>
      </c>
      <c r="G728" s="39" t="s">
        <v>713</v>
      </c>
    </row>
    <row r="729" customFormat="false" ht="15" hidden="false" customHeight="false" outlineLevel="0" collapsed="false">
      <c r="A729" s="37" t="s">
        <v>184</v>
      </c>
      <c r="B729" s="37" t="s">
        <v>204</v>
      </c>
      <c r="C729" s="37" t="s">
        <v>179</v>
      </c>
      <c r="D729" s="37" t="s">
        <v>86</v>
      </c>
      <c r="E729" s="38" t="n">
        <f aca="false">'Matrice des notes'!AC25</f>
        <v>2</v>
      </c>
      <c r="F729" s="37" t="s">
        <v>652</v>
      </c>
      <c r="G729" s="39" t="s">
        <v>653</v>
      </c>
    </row>
    <row r="730" customFormat="false" ht="15" hidden="false" customHeight="false" outlineLevel="0" collapsed="false">
      <c r="A730" s="37" t="s">
        <v>184</v>
      </c>
      <c r="B730" s="37" t="s">
        <v>204</v>
      </c>
      <c r="C730" s="37" t="s">
        <v>179</v>
      </c>
      <c r="D730" s="37" t="s">
        <v>89</v>
      </c>
      <c r="E730" s="38" t="n">
        <f aca="false">'Matrice des notes'!AD25</f>
        <v>3</v>
      </c>
      <c r="F730" s="37" t="s">
        <v>652</v>
      </c>
      <c r="G730" s="39" t="s">
        <v>653</v>
      </c>
    </row>
    <row r="731" customFormat="false" ht="15" hidden="false" customHeight="false" outlineLevel="0" collapsed="false">
      <c r="A731" s="37" t="s">
        <v>184</v>
      </c>
      <c r="B731" s="37" t="s">
        <v>204</v>
      </c>
      <c r="C731" s="37" t="s">
        <v>179</v>
      </c>
      <c r="D731" s="37" t="s">
        <v>92</v>
      </c>
      <c r="E731" s="38" t="n">
        <f aca="false">'Matrice des notes'!AE25</f>
        <v>2</v>
      </c>
      <c r="F731" s="37" t="s">
        <v>708</v>
      </c>
      <c r="G731" s="39" t="s">
        <v>714</v>
      </c>
    </row>
    <row r="732" customFormat="false" ht="15" hidden="false" customHeight="false" outlineLevel="0" collapsed="false">
      <c r="A732" s="37" t="s">
        <v>184</v>
      </c>
      <c r="B732" s="37" t="s">
        <v>204</v>
      </c>
      <c r="C732" s="37" t="s">
        <v>180</v>
      </c>
      <c r="D732" s="37" t="s">
        <v>95</v>
      </c>
      <c r="E732" s="38" t="n">
        <f aca="false">'Matrice des notes'!AF25</f>
        <v>1</v>
      </c>
      <c r="F732" s="37" t="s">
        <v>631</v>
      </c>
      <c r="G732" s="39" t="s">
        <v>654</v>
      </c>
    </row>
    <row r="733" customFormat="false" ht="15" hidden="false" customHeight="false" outlineLevel="0" collapsed="false">
      <c r="A733" s="37" t="s">
        <v>184</v>
      </c>
      <c r="B733" s="37" t="s">
        <v>204</v>
      </c>
      <c r="C733" s="37" t="s">
        <v>180</v>
      </c>
      <c r="D733" s="37" t="s">
        <v>99</v>
      </c>
      <c r="E733" s="38" t="n">
        <f aca="false">'Matrice des notes'!AG25</f>
        <v>1</v>
      </c>
      <c r="F733" s="37" t="s">
        <v>655</v>
      </c>
      <c r="G733" s="39" t="s">
        <v>656</v>
      </c>
    </row>
    <row r="734" customFormat="false" ht="15" hidden="false" customHeight="false" outlineLevel="0" collapsed="false">
      <c r="A734" s="37" t="s">
        <v>184</v>
      </c>
      <c r="B734" s="37" t="s">
        <v>204</v>
      </c>
      <c r="C734" s="37" t="s">
        <v>180</v>
      </c>
      <c r="D734" s="37" t="s">
        <v>102</v>
      </c>
      <c r="E734" s="38" t="n">
        <f aca="false">'Matrice des notes'!AH25</f>
        <v>1</v>
      </c>
      <c r="F734" s="37" t="s">
        <v>655</v>
      </c>
      <c r="G734" s="39" t="s">
        <v>656</v>
      </c>
    </row>
    <row r="735" customFormat="false" ht="15" hidden="false" customHeight="false" outlineLevel="0" collapsed="false">
      <c r="A735" s="37" t="s">
        <v>184</v>
      </c>
      <c r="B735" s="37" t="s">
        <v>204</v>
      </c>
      <c r="C735" s="37" t="s">
        <v>180</v>
      </c>
      <c r="D735" s="37" t="s">
        <v>104</v>
      </c>
      <c r="E735" s="38" t="n">
        <f aca="false">'Matrice des notes'!AI25</f>
        <v>1</v>
      </c>
      <c r="F735" s="37" t="s">
        <v>631</v>
      </c>
      <c r="G735" s="39" t="s">
        <v>654</v>
      </c>
    </row>
    <row r="736" customFormat="false" ht="15" hidden="false" customHeight="false" outlineLevel="0" collapsed="false">
      <c r="A736" s="37" t="s">
        <v>184</v>
      </c>
      <c r="B736" s="37" t="s">
        <v>204</v>
      </c>
      <c r="C736" s="37" t="s">
        <v>180</v>
      </c>
      <c r="D736" s="37" t="s">
        <v>107</v>
      </c>
      <c r="E736" s="38" t="n">
        <f aca="false">'Matrice des notes'!AJ25</f>
        <v>1</v>
      </c>
      <c r="F736" s="37" t="s">
        <v>631</v>
      </c>
      <c r="G736" s="39" t="s">
        <v>654</v>
      </c>
    </row>
    <row r="737" customFormat="false" ht="15" hidden="false" customHeight="false" outlineLevel="0" collapsed="false">
      <c r="A737" s="37" t="s">
        <v>184</v>
      </c>
      <c r="B737" s="37" t="s">
        <v>204</v>
      </c>
      <c r="C737" s="37" t="s">
        <v>180</v>
      </c>
      <c r="D737" s="37" t="s">
        <v>110</v>
      </c>
      <c r="E737" s="38" t="n">
        <f aca="false">'Matrice des notes'!AK25</f>
        <v>1</v>
      </c>
      <c r="F737" s="37" t="s">
        <v>631</v>
      </c>
      <c r="G737" s="39" t="s">
        <v>654</v>
      </c>
    </row>
    <row r="738" customFormat="false" ht="15" hidden="false" customHeight="false" outlineLevel="0" collapsed="false">
      <c r="A738" s="37" t="s">
        <v>184</v>
      </c>
      <c r="B738" s="37" t="s">
        <v>204</v>
      </c>
      <c r="C738" s="37" t="s">
        <v>180</v>
      </c>
      <c r="D738" s="37" t="s">
        <v>113</v>
      </c>
      <c r="E738" s="38" t="n">
        <f aca="false">'Matrice des notes'!AL25</f>
        <v>1</v>
      </c>
      <c r="F738" s="37" t="s">
        <v>631</v>
      </c>
      <c r="G738" s="39" t="s">
        <v>654</v>
      </c>
    </row>
    <row r="739" customFormat="false" ht="15" hidden="false" customHeight="false" outlineLevel="0" collapsed="false">
      <c r="A739" s="37" t="s">
        <v>184</v>
      </c>
      <c r="B739" s="37" t="s">
        <v>204</v>
      </c>
      <c r="C739" s="37" t="s">
        <v>180</v>
      </c>
      <c r="D739" s="37" t="s">
        <v>116</v>
      </c>
      <c r="E739" s="38" t="n">
        <f aca="false">'Matrice des notes'!AM25</f>
        <v>1</v>
      </c>
      <c r="F739" s="37" t="s">
        <v>655</v>
      </c>
      <c r="G739" s="39" t="s">
        <v>656</v>
      </c>
    </row>
    <row r="740" customFormat="false" ht="15" hidden="false" customHeight="false" outlineLevel="0" collapsed="false">
      <c r="A740" s="37" t="s">
        <v>184</v>
      </c>
      <c r="B740" s="37" t="s">
        <v>204</v>
      </c>
      <c r="C740" s="37" t="s">
        <v>180</v>
      </c>
      <c r="D740" s="37" t="s">
        <v>119</v>
      </c>
      <c r="E740" s="38" t="n">
        <f aca="false">'Matrice des notes'!AN25</f>
        <v>1</v>
      </c>
      <c r="F740" s="37" t="s">
        <v>631</v>
      </c>
      <c r="G740" s="39" t="s">
        <v>654</v>
      </c>
    </row>
    <row r="741" customFormat="false" ht="15" hidden="false" customHeight="false" outlineLevel="0" collapsed="false">
      <c r="A741" s="37" t="s">
        <v>184</v>
      </c>
      <c r="B741" s="37" t="s">
        <v>204</v>
      </c>
      <c r="C741" s="37" t="s">
        <v>180</v>
      </c>
      <c r="D741" s="37" t="s">
        <v>121</v>
      </c>
      <c r="E741" s="38" t="n">
        <f aca="false">'Matrice des notes'!AO25</f>
        <v>1</v>
      </c>
      <c r="F741" s="37" t="s">
        <v>657</v>
      </c>
      <c r="G741" s="39" t="s">
        <v>658</v>
      </c>
    </row>
    <row r="742" customFormat="false" ht="15" hidden="false" customHeight="false" outlineLevel="0" collapsed="false">
      <c r="A742" s="37" t="s">
        <v>184</v>
      </c>
      <c r="B742" s="37" t="s">
        <v>204</v>
      </c>
      <c r="C742" s="37" t="s">
        <v>180</v>
      </c>
      <c r="D742" s="37" t="s">
        <v>124</v>
      </c>
      <c r="E742" s="38" t="n">
        <f aca="false">'Matrice des notes'!AP25</f>
        <v>2</v>
      </c>
      <c r="F742" s="37" t="s">
        <v>715</v>
      </c>
      <c r="G742" s="39" t="s">
        <v>716</v>
      </c>
    </row>
    <row r="743" customFormat="false" ht="15" hidden="false" customHeight="false" outlineLevel="0" collapsed="false">
      <c r="A743" s="37" t="s">
        <v>184</v>
      </c>
      <c r="B743" s="37" t="s">
        <v>205</v>
      </c>
      <c r="C743" s="37" t="s">
        <v>178</v>
      </c>
      <c r="D743" s="37" t="s">
        <v>7</v>
      </c>
      <c r="E743" s="38" t="n">
        <f aca="false">'Matrice des notes'!D26</f>
        <v>3</v>
      </c>
      <c r="F743" s="37" t="s">
        <v>673</v>
      </c>
      <c r="G743" s="39" t="s">
        <v>674</v>
      </c>
    </row>
    <row r="744" customFormat="false" ht="15" hidden="false" customHeight="false" outlineLevel="0" collapsed="false">
      <c r="A744" s="37" t="s">
        <v>184</v>
      </c>
      <c r="B744" s="37" t="s">
        <v>205</v>
      </c>
      <c r="C744" s="37" t="s">
        <v>178</v>
      </c>
      <c r="D744" s="37" t="s">
        <v>11</v>
      </c>
      <c r="E744" s="38" t="n">
        <f aca="false">'Matrice des notes'!E26</f>
        <v>3</v>
      </c>
      <c r="F744" s="37" t="s">
        <v>675</v>
      </c>
      <c r="G744" s="39" t="s">
        <v>676</v>
      </c>
    </row>
    <row r="745" customFormat="false" ht="15" hidden="false" customHeight="false" outlineLevel="0" collapsed="false">
      <c r="A745" s="37" t="s">
        <v>184</v>
      </c>
      <c r="B745" s="37" t="s">
        <v>205</v>
      </c>
      <c r="C745" s="37" t="s">
        <v>178</v>
      </c>
      <c r="D745" s="37" t="s">
        <v>14</v>
      </c>
      <c r="E745" s="38" t="n">
        <f aca="false">'Matrice des notes'!F26</f>
        <v>3</v>
      </c>
      <c r="F745" s="37" t="s">
        <v>677</v>
      </c>
      <c r="G745" s="39" t="s">
        <v>678</v>
      </c>
    </row>
    <row r="746" customFormat="false" ht="15" hidden="false" customHeight="false" outlineLevel="0" collapsed="false">
      <c r="A746" s="37" t="s">
        <v>184</v>
      </c>
      <c r="B746" s="37" t="s">
        <v>205</v>
      </c>
      <c r="C746" s="37" t="s">
        <v>178</v>
      </c>
      <c r="D746" s="37" t="s">
        <v>17</v>
      </c>
      <c r="E746" s="38" t="n">
        <f aca="false">'Matrice des notes'!G26</f>
        <v>3</v>
      </c>
      <c r="F746" s="37" t="s">
        <v>675</v>
      </c>
      <c r="G746" s="39" t="s">
        <v>676</v>
      </c>
    </row>
    <row r="747" customFormat="false" ht="15" hidden="false" customHeight="false" outlineLevel="0" collapsed="false">
      <c r="A747" s="37" t="s">
        <v>184</v>
      </c>
      <c r="B747" s="37" t="s">
        <v>205</v>
      </c>
      <c r="C747" s="37" t="s">
        <v>178</v>
      </c>
      <c r="D747" s="37" t="s">
        <v>20</v>
      </c>
      <c r="E747" s="38" t="n">
        <f aca="false">'Matrice des notes'!H26</f>
        <v>3</v>
      </c>
      <c r="F747" s="37" t="s">
        <v>675</v>
      </c>
      <c r="G747" s="39" t="s">
        <v>676</v>
      </c>
    </row>
    <row r="748" customFormat="false" ht="15" hidden="false" customHeight="false" outlineLevel="0" collapsed="false">
      <c r="A748" s="37" t="s">
        <v>184</v>
      </c>
      <c r="B748" s="37" t="s">
        <v>205</v>
      </c>
      <c r="C748" s="37" t="s">
        <v>178</v>
      </c>
      <c r="D748" s="37" t="s">
        <v>23</v>
      </c>
      <c r="E748" s="38" t="n">
        <f aca="false">'Matrice des notes'!I26</f>
        <v>3</v>
      </c>
      <c r="F748" s="37" t="s">
        <v>675</v>
      </c>
      <c r="G748" s="39" t="s">
        <v>676</v>
      </c>
    </row>
    <row r="749" customFormat="false" ht="15" hidden="false" customHeight="false" outlineLevel="0" collapsed="false">
      <c r="A749" s="37" t="s">
        <v>184</v>
      </c>
      <c r="B749" s="37" t="s">
        <v>205</v>
      </c>
      <c r="C749" s="37" t="s">
        <v>178</v>
      </c>
      <c r="D749" s="37" t="s">
        <v>26</v>
      </c>
      <c r="E749" s="38" t="n">
        <f aca="false">'Matrice des notes'!J26</f>
        <v>3</v>
      </c>
      <c r="F749" s="37" t="s">
        <v>677</v>
      </c>
      <c r="G749" s="39" t="s">
        <v>678</v>
      </c>
    </row>
    <row r="750" customFormat="false" ht="15" hidden="false" customHeight="false" outlineLevel="0" collapsed="false">
      <c r="A750" s="37" t="s">
        <v>184</v>
      </c>
      <c r="B750" s="37" t="s">
        <v>205</v>
      </c>
      <c r="C750" s="37" t="s">
        <v>178</v>
      </c>
      <c r="D750" s="37" t="s">
        <v>30</v>
      </c>
      <c r="E750" s="38" t="n">
        <f aca="false">'Matrice des notes'!K26</f>
        <v>3</v>
      </c>
      <c r="F750" s="37" t="s">
        <v>677</v>
      </c>
      <c r="G750" s="39" t="s">
        <v>678</v>
      </c>
    </row>
    <row r="751" customFormat="false" ht="15" hidden="false" customHeight="false" outlineLevel="0" collapsed="false">
      <c r="A751" s="37" t="s">
        <v>184</v>
      </c>
      <c r="B751" s="37" t="s">
        <v>205</v>
      </c>
      <c r="C751" s="37" t="s">
        <v>178</v>
      </c>
      <c r="D751" s="37" t="s">
        <v>34</v>
      </c>
      <c r="E751" s="38" t="n">
        <f aca="false">'Matrice des notes'!L26</f>
        <v>4</v>
      </c>
      <c r="F751" s="37" t="s">
        <v>623</v>
      </c>
      <c r="G751" s="39" t="s">
        <v>788</v>
      </c>
    </row>
    <row r="752" customFormat="false" ht="15" hidden="false" customHeight="false" outlineLevel="0" collapsed="false">
      <c r="A752" s="37" t="s">
        <v>184</v>
      </c>
      <c r="B752" s="37" t="s">
        <v>205</v>
      </c>
      <c r="C752" s="37" t="s">
        <v>178</v>
      </c>
      <c r="D752" s="37" t="s">
        <v>37</v>
      </c>
      <c r="E752" s="38" t="n">
        <f aca="false">'Matrice des notes'!M26</f>
        <v>2</v>
      </c>
      <c r="F752" s="37" t="s">
        <v>631</v>
      </c>
      <c r="G752" s="39" t="s">
        <v>632</v>
      </c>
    </row>
    <row r="753" customFormat="false" ht="15" hidden="false" customHeight="false" outlineLevel="0" collapsed="false">
      <c r="A753" s="37" t="s">
        <v>184</v>
      </c>
      <c r="B753" s="37" t="s">
        <v>205</v>
      </c>
      <c r="C753" s="37" t="s">
        <v>178</v>
      </c>
      <c r="D753" s="37" t="s">
        <v>40</v>
      </c>
      <c r="E753" s="38" t="n">
        <f aca="false">'Matrice des notes'!N26</f>
        <v>3</v>
      </c>
      <c r="F753" s="37" t="s">
        <v>675</v>
      </c>
      <c r="G753" s="39" t="s">
        <v>676</v>
      </c>
    </row>
    <row r="754" customFormat="false" ht="15" hidden="false" customHeight="false" outlineLevel="0" collapsed="false">
      <c r="A754" s="37" t="s">
        <v>184</v>
      </c>
      <c r="B754" s="37" t="s">
        <v>205</v>
      </c>
      <c r="C754" s="37" t="s">
        <v>178</v>
      </c>
      <c r="D754" s="37" t="s">
        <v>43</v>
      </c>
      <c r="E754" s="38" t="n">
        <f aca="false">'Matrice des notes'!O26</f>
        <v>2</v>
      </c>
      <c r="F754" s="37" t="s">
        <v>635</v>
      </c>
      <c r="G754" s="39" t="s">
        <v>636</v>
      </c>
    </row>
    <row r="755" customFormat="false" ht="15" hidden="false" customHeight="false" outlineLevel="0" collapsed="false">
      <c r="A755" s="37" t="s">
        <v>184</v>
      </c>
      <c r="B755" s="37" t="s">
        <v>205</v>
      </c>
      <c r="C755" s="37" t="s">
        <v>178</v>
      </c>
      <c r="D755" s="37" t="s">
        <v>46</v>
      </c>
      <c r="E755" s="38" t="n">
        <f aca="false">'Matrice des notes'!P26</f>
        <v>4</v>
      </c>
      <c r="F755" s="37" t="s">
        <v>623</v>
      </c>
      <c r="G755" s="39" t="s">
        <v>788</v>
      </c>
    </row>
    <row r="756" customFormat="false" ht="22.35" hidden="false" customHeight="false" outlineLevel="0" collapsed="false">
      <c r="A756" s="37" t="s">
        <v>184</v>
      </c>
      <c r="B756" s="37" t="s">
        <v>205</v>
      </c>
      <c r="C756" s="37" t="s">
        <v>179</v>
      </c>
      <c r="D756" s="37" t="s">
        <v>49</v>
      </c>
      <c r="E756" s="38" t="n">
        <f aca="false">'Matrice des notes'!Q26</f>
        <v>4</v>
      </c>
      <c r="F756" s="37" t="s">
        <v>789</v>
      </c>
      <c r="G756" s="39" t="s">
        <v>790</v>
      </c>
    </row>
    <row r="757" customFormat="false" ht="15" hidden="false" customHeight="false" outlineLevel="0" collapsed="false">
      <c r="A757" s="37" t="s">
        <v>184</v>
      </c>
      <c r="B757" s="37" t="s">
        <v>205</v>
      </c>
      <c r="C757" s="37" t="s">
        <v>179</v>
      </c>
      <c r="D757" s="37" t="s">
        <v>53</v>
      </c>
      <c r="E757" s="38" t="n">
        <f aca="false">'Matrice des notes'!R26</f>
        <v>4</v>
      </c>
      <c r="F757" s="37" t="s">
        <v>641</v>
      </c>
      <c r="G757" s="39" t="s">
        <v>791</v>
      </c>
    </row>
    <row r="758" customFormat="false" ht="22.35" hidden="false" customHeight="false" outlineLevel="0" collapsed="false">
      <c r="A758" s="37" t="s">
        <v>184</v>
      </c>
      <c r="B758" s="37" t="s">
        <v>205</v>
      </c>
      <c r="C758" s="37" t="s">
        <v>179</v>
      </c>
      <c r="D758" s="37" t="s">
        <v>56</v>
      </c>
      <c r="E758" s="38" t="n">
        <f aca="false">'Matrice des notes'!S26</f>
        <v>4</v>
      </c>
      <c r="F758" s="37" t="s">
        <v>643</v>
      </c>
      <c r="G758" s="39" t="s">
        <v>792</v>
      </c>
    </row>
    <row r="759" customFormat="false" ht="15" hidden="false" customHeight="false" outlineLevel="0" collapsed="false">
      <c r="A759" s="37" t="s">
        <v>184</v>
      </c>
      <c r="B759" s="37" t="s">
        <v>205</v>
      </c>
      <c r="C759" s="37" t="s">
        <v>179</v>
      </c>
      <c r="D759" s="37" t="s">
        <v>59</v>
      </c>
      <c r="E759" s="38" t="n">
        <f aca="false">'Matrice des notes'!T26</f>
        <v>3</v>
      </c>
      <c r="F759" s="37" t="s">
        <v>675</v>
      </c>
      <c r="G759" s="39" t="s">
        <v>676</v>
      </c>
    </row>
    <row r="760" customFormat="false" ht="15" hidden="false" customHeight="false" outlineLevel="0" collapsed="false">
      <c r="A760" s="37" t="s">
        <v>184</v>
      </c>
      <c r="B760" s="37" t="s">
        <v>205</v>
      </c>
      <c r="C760" s="37" t="s">
        <v>179</v>
      </c>
      <c r="D760" s="37" t="s">
        <v>62</v>
      </c>
      <c r="E760" s="38" t="n">
        <f aca="false">'Matrice des notes'!U26</f>
        <v>3</v>
      </c>
      <c r="F760" s="37" t="s">
        <v>675</v>
      </c>
      <c r="G760" s="39" t="s">
        <v>676</v>
      </c>
    </row>
    <row r="761" customFormat="false" ht="15" hidden="false" customHeight="false" outlineLevel="0" collapsed="false">
      <c r="A761" s="37" t="s">
        <v>184</v>
      </c>
      <c r="B761" s="37" t="s">
        <v>205</v>
      </c>
      <c r="C761" s="37" t="s">
        <v>179</v>
      </c>
      <c r="D761" s="37" t="s">
        <v>65</v>
      </c>
      <c r="E761" s="38" t="n">
        <f aca="false">'Matrice des notes'!V26</f>
        <v>4</v>
      </c>
      <c r="F761" s="37" t="s">
        <v>623</v>
      </c>
      <c r="G761" s="39" t="s">
        <v>788</v>
      </c>
    </row>
    <row r="762" customFormat="false" ht="15" hidden="false" customHeight="false" outlineLevel="0" collapsed="false">
      <c r="A762" s="37" t="s">
        <v>184</v>
      </c>
      <c r="B762" s="37" t="s">
        <v>205</v>
      </c>
      <c r="C762" s="37" t="s">
        <v>179</v>
      </c>
      <c r="D762" s="37" t="s">
        <v>68</v>
      </c>
      <c r="E762" s="38" t="n">
        <f aca="false">'Matrice des notes'!W26</f>
        <v>3</v>
      </c>
      <c r="F762" s="37" t="s">
        <v>793</v>
      </c>
      <c r="G762" s="39" t="s">
        <v>794</v>
      </c>
    </row>
    <row r="763" customFormat="false" ht="22.35" hidden="false" customHeight="false" outlineLevel="0" collapsed="false">
      <c r="A763" s="37" t="s">
        <v>184</v>
      </c>
      <c r="B763" s="37" t="s">
        <v>205</v>
      </c>
      <c r="C763" s="37" t="s">
        <v>179</v>
      </c>
      <c r="D763" s="37" t="s">
        <v>71</v>
      </c>
      <c r="E763" s="38" t="n">
        <f aca="false">'Matrice des notes'!X26</f>
        <v>4</v>
      </c>
      <c r="F763" s="37" t="s">
        <v>789</v>
      </c>
      <c r="G763" s="39" t="s">
        <v>795</v>
      </c>
    </row>
    <row r="764" customFormat="false" ht="15" hidden="false" customHeight="false" outlineLevel="0" collapsed="false">
      <c r="A764" s="37" t="s">
        <v>184</v>
      </c>
      <c r="B764" s="37" t="s">
        <v>205</v>
      </c>
      <c r="C764" s="37" t="s">
        <v>179</v>
      </c>
      <c r="D764" s="37" t="s">
        <v>74</v>
      </c>
      <c r="E764" s="38" t="n">
        <f aca="false">'Matrice des notes'!Y26</f>
        <v>4</v>
      </c>
      <c r="F764" s="37" t="s">
        <v>623</v>
      </c>
      <c r="G764" s="39" t="s">
        <v>788</v>
      </c>
    </row>
    <row r="765" customFormat="false" ht="15" hidden="false" customHeight="false" outlineLevel="0" collapsed="false">
      <c r="A765" s="37" t="s">
        <v>184</v>
      </c>
      <c r="B765" s="37" t="s">
        <v>205</v>
      </c>
      <c r="C765" s="37" t="s">
        <v>179</v>
      </c>
      <c r="D765" s="37" t="s">
        <v>77</v>
      </c>
      <c r="E765" s="38" t="n">
        <f aca="false">'Matrice des notes'!Z26</f>
        <v>4</v>
      </c>
      <c r="F765" s="37" t="s">
        <v>623</v>
      </c>
      <c r="G765" s="39" t="s">
        <v>788</v>
      </c>
    </row>
    <row r="766" customFormat="false" ht="15" hidden="false" customHeight="false" outlineLevel="0" collapsed="false">
      <c r="A766" s="37" t="s">
        <v>184</v>
      </c>
      <c r="B766" s="37" t="s">
        <v>205</v>
      </c>
      <c r="C766" s="37" t="s">
        <v>179</v>
      </c>
      <c r="D766" s="37" t="s">
        <v>80</v>
      </c>
      <c r="E766" s="38" t="n">
        <f aca="false">'Matrice des notes'!AA26</f>
        <v>4</v>
      </c>
      <c r="F766" s="37" t="s">
        <v>623</v>
      </c>
      <c r="G766" s="39" t="s">
        <v>788</v>
      </c>
    </row>
    <row r="767" customFormat="false" ht="15" hidden="false" customHeight="false" outlineLevel="0" collapsed="false">
      <c r="A767" s="37" t="s">
        <v>184</v>
      </c>
      <c r="B767" s="37" t="s">
        <v>205</v>
      </c>
      <c r="C767" s="37" t="s">
        <v>179</v>
      </c>
      <c r="D767" s="37" t="s">
        <v>83</v>
      </c>
      <c r="E767" s="38" t="n">
        <f aca="false">'Matrice des notes'!AB26</f>
        <v>3</v>
      </c>
      <c r="F767" s="37" t="s">
        <v>652</v>
      </c>
      <c r="G767" s="39" t="s">
        <v>653</v>
      </c>
    </row>
    <row r="768" customFormat="false" ht="15" hidden="false" customHeight="false" outlineLevel="0" collapsed="false">
      <c r="A768" s="37" t="s">
        <v>184</v>
      </c>
      <c r="B768" s="37" t="s">
        <v>205</v>
      </c>
      <c r="C768" s="37" t="s">
        <v>179</v>
      </c>
      <c r="D768" s="37" t="s">
        <v>86</v>
      </c>
      <c r="E768" s="38" t="n">
        <f aca="false">'Matrice des notes'!AC26</f>
        <v>2</v>
      </c>
      <c r="F768" s="37" t="s">
        <v>652</v>
      </c>
      <c r="G768" s="39" t="s">
        <v>653</v>
      </c>
    </row>
    <row r="769" customFormat="false" ht="15" hidden="false" customHeight="false" outlineLevel="0" collapsed="false">
      <c r="A769" s="37" t="s">
        <v>184</v>
      </c>
      <c r="B769" s="37" t="s">
        <v>205</v>
      </c>
      <c r="C769" s="37" t="s">
        <v>179</v>
      </c>
      <c r="D769" s="37" t="s">
        <v>89</v>
      </c>
      <c r="E769" s="38" t="n">
        <f aca="false">'Matrice des notes'!AD26</f>
        <v>3</v>
      </c>
      <c r="F769" s="37" t="s">
        <v>652</v>
      </c>
      <c r="G769" s="39" t="s">
        <v>653</v>
      </c>
    </row>
    <row r="770" customFormat="false" ht="15" hidden="false" customHeight="false" outlineLevel="0" collapsed="false">
      <c r="A770" s="37" t="s">
        <v>184</v>
      </c>
      <c r="B770" s="37" t="s">
        <v>205</v>
      </c>
      <c r="C770" s="37" t="s">
        <v>179</v>
      </c>
      <c r="D770" s="37" t="s">
        <v>92</v>
      </c>
      <c r="E770" s="38" t="n">
        <f aca="false">'Matrice des notes'!AE26</f>
        <v>2</v>
      </c>
      <c r="F770" s="37" t="s">
        <v>652</v>
      </c>
      <c r="G770" s="39" t="s">
        <v>653</v>
      </c>
    </row>
    <row r="771" customFormat="false" ht="15" hidden="false" customHeight="false" outlineLevel="0" collapsed="false">
      <c r="A771" s="37" t="s">
        <v>184</v>
      </c>
      <c r="B771" s="37" t="s">
        <v>205</v>
      </c>
      <c r="C771" s="37" t="s">
        <v>180</v>
      </c>
      <c r="D771" s="37" t="s">
        <v>95</v>
      </c>
      <c r="E771" s="38" t="n">
        <f aca="false">'Matrice des notes'!AF26</f>
        <v>1</v>
      </c>
      <c r="F771" s="37" t="s">
        <v>631</v>
      </c>
      <c r="G771" s="39" t="s">
        <v>654</v>
      </c>
    </row>
    <row r="772" customFormat="false" ht="15" hidden="false" customHeight="false" outlineLevel="0" collapsed="false">
      <c r="A772" s="37" t="s">
        <v>184</v>
      </c>
      <c r="B772" s="37" t="s">
        <v>205</v>
      </c>
      <c r="C772" s="37" t="s">
        <v>180</v>
      </c>
      <c r="D772" s="37" t="s">
        <v>99</v>
      </c>
      <c r="E772" s="38" t="n">
        <f aca="false">'Matrice des notes'!AG26</f>
        <v>1</v>
      </c>
      <c r="F772" s="37" t="s">
        <v>655</v>
      </c>
      <c r="G772" s="39" t="s">
        <v>656</v>
      </c>
    </row>
    <row r="773" customFormat="false" ht="15" hidden="false" customHeight="false" outlineLevel="0" collapsed="false">
      <c r="A773" s="37" t="s">
        <v>184</v>
      </c>
      <c r="B773" s="37" t="s">
        <v>205</v>
      </c>
      <c r="C773" s="37" t="s">
        <v>180</v>
      </c>
      <c r="D773" s="37" t="s">
        <v>102</v>
      </c>
      <c r="E773" s="38" t="n">
        <f aca="false">'Matrice des notes'!AH26</f>
        <v>1</v>
      </c>
      <c r="F773" s="37" t="s">
        <v>655</v>
      </c>
      <c r="G773" s="39" t="s">
        <v>656</v>
      </c>
    </row>
    <row r="774" customFormat="false" ht="15" hidden="false" customHeight="false" outlineLevel="0" collapsed="false">
      <c r="A774" s="37" t="s">
        <v>184</v>
      </c>
      <c r="B774" s="37" t="s">
        <v>205</v>
      </c>
      <c r="C774" s="37" t="s">
        <v>180</v>
      </c>
      <c r="D774" s="37" t="s">
        <v>104</v>
      </c>
      <c r="E774" s="38" t="n">
        <f aca="false">'Matrice des notes'!AI26</f>
        <v>1</v>
      </c>
      <c r="F774" s="37" t="s">
        <v>631</v>
      </c>
      <c r="G774" s="39" t="s">
        <v>654</v>
      </c>
    </row>
    <row r="775" customFormat="false" ht="15" hidden="false" customHeight="false" outlineLevel="0" collapsed="false">
      <c r="A775" s="37" t="s">
        <v>184</v>
      </c>
      <c r="B775" s="37" t="s">
        <v>205</v>
      </c>
      <c r="C775" s="37" t="s">
        <v>180</v>
      </c>
      <c r="D775" s="37" t="s">
        <v>107</v>
      </c>
      <c r="E775" s="38" t="n">
        <f aca="false">'Matrice des notes'!AJ26</f>
        <v>1</v>
      </c>
      <c r="F775" s="37" t="s">
        <v>631</v>
      </c>
      <c r="G775" s="39" t="s">
        <v>654</v>
      </c>
    </row>
    <row r="776" customFormat="false" ht="15" hidden="false" customHeight="false" outlineLevel="0" collapsed="false">
      <c r="A776" s="37" t="s">
        <v>184</v>
      </c>
      <c r="B776" s="37" t="s">
        <v>205</v>
      </c>
      <c r="C776" s="37" t="s">
        <v>180</v>
      </c>
      <c r="D776" s="37" t="s">
        <v>110</v>
      </c>
      <c r="E776" s="38" t="n">
        <f aca="false">'Matrice des notes'!AK26</f>
        <v>1</v>
      </c>
      <c r="F776" s="37" t="s">
        <v>631</v>
      </c>
      <c r="G776" s="39" t="s">
        <v>654</v>
      </c>
    </row>
    <row r="777" customFormat="false" ht="15" hidden="false" customHeight="false" outlineLevel="0" collapsed="false">
      <c r="A777" s="37" t="s">
        <v>184</v>
      </c>
      <c r="B777" s="37" t="s">
        <v>205</v>
      </c>
      <c r="C777" s="37" t="s">
        <v>180</v>
      </c>
      <c r="D777" s="37" t="s">
        <v>113</v>
      </c>
      <c r="E777" s="38" t="n">
        <f aca="false">'Matrice des notes'!AL26</f>
        <v>1</v>
      </c>
      <c r="F777" s="37" t="s">
        <v>631</v>
      </c>
      <c r="G777" s="39" t="s">
        <v>654</v>
      </c>
    </row>
    <row r="778" customFormat="false" ht="15" hidden="false" customHeight="false" outlineLevel="0" collapsed="false">
      <c r="A778" s="37" t="s">
        <v>184</v>
      </c>
      <c r="B778" s="37" t="s">
        <v>205</v>
      </c>
      <c r="C778" s="37" t="s">
        <v>180</v>
      </c>
      <c r="D778" s="37" t="s">
        <v>116</v>
      </c>
      <c r="E778" s="38" t="n">
        <f aca="false">'Matrice des notes'!AM26</f>
        <v>1</v>
      </c>
      <c r="F778" s="37" t="s">
        <v>655</v>
      </c>
      <c r="G778" s="39" t="s">
        <v>656</v>
      </c>
    </row>
    <row r="779" customFormat="false" ht="15" hidden="false" customHeight="false" outlineLevel="0" collapsed="false">
      <c r="A779" s="37" t="s">
        <v>184</v>
      </c>
      <c r="B779" s="37" t="s">
        <v>205</v>
      </c>
      <c r="C779" s="37" t="s">
        <v>180</v>
      </c>
      <c r="D779" s="37" t="s">
        <v>119</v>
      </c>
      <c r="E779" s="38" t="n">
        <f aca="false">'Matrice des notes'!AN26</f>
        <v>1</v>
      </c>
      <c r="F779" s="37" t="s">
        <v>631</v>
      </c>
      <c r="G779" s="39" t="s">
        <v>654</v>
      </c>
    </row>
    <row r="780" customFormat="false" ht="15" hidden="false" customHeight="false" outlineLevel="0" collapsed="false">
      <c r="A780" s="37" t="s">
        <v>184</v>
      </c>
      <c r="B780" s="37" t="s">
        <v>205</v>
      </c>
      <c r="C780" s="37" t="s">
        <v>180</v>
      </c>
      <c r="D780" s="37" t="s">
        <v>121</v>
      </c>
      <c r="E780" s="38" t="n">
        <f aca="false">'Matrice des notes'!AO26</f>
        <v>1</v>
      </c>
      <c r="F780" s="37" t="s">
        <v>657</v>
      </c>
      <c r="G780" s="39" t="s">
        <v>658</v>
      </c>
    </row>
    <row r="781" customFormat="false" ht="15" hidden="false" customHeight="false" outlineLevel="0" collapsed="false">
      <c r="A781" s="37" t="s">
        <v>184</v>
      </c>
      <c r="B781" s="37" t="s">
        <v>205</v>
      </c>
      <c r="C781" s="37" t="s">
        <v>180</v>
      </c>
      <c r="D781" s="37" t="s">
        <v>124</v>
      </c>
      <c r="E781" s="38" t="n">
        <f aca="false">'Matrice des notes'!AP26</f>
        <v>4</v>
      </c>
      <c r="F781" s="37" t="s">
        <v>659</v>
      </c>
      <c r="G781" s="39" t="s">
        <v>796</v>
      </c>
    </row>
    <row r="782" customFormat="false" ht="15" hidden="false" customHeight="false" outlineLevel="0" collapsed="false">
      <c r="A782" s="37" t="s">
        <v>184</v>
      </c>
      <c r="B782" s="37" t="s">
        <v>206</v>
      </c>
      <c r="C782" s="37" t="s">
        <v>178</v>
      </c>
      <c r="D782" s="37" t="s">
        <v>7</v>
      </c>
      <c r="E782" s="38" t="n">
        <f aca="false">'Matrice des notes'!D27</f>
        <v>3</v>
      </c>
      <c r="F782" s="37" t="s">
        <v>617</v>
      </c>
      <c r="G782" s="39" t="s">
        <v>618</v>
      </c>
    </row>
    <row r="783" customFormat="false" ht="15" hidden="false" customHeight="false" outlineLevel="0" collapsed="false">
      <c r="A783" s="37" t="s">
        <v>184</v>
      </c>
      <c r="B783" s="37" t="s">
        <v>206</v>
      </c>
      <c r="C783" s="37" t="s">
        <v>178</v>
      </c>
      <c r="D783" s="37" t="s">
        <v>11</v>
      </c>
      <c r="E783" s="38" t="n">
        <f aca="false">'Matrice des notes'!E27</f>
        <v>4</v>
      </c>
      <c r="F783" s="37" t="s">
        <v>619</v>
      </c>
      <c r="G783" s="39" t="s">
        <v>620</v>
      </c>
    </row>
    <row r="784" customFormat="false" ht="22.35" hidden="false" customHeight="false" outlineLevel="0" collapsed="false">
      <c r="A784" s="37" t="s">
        <v>184</v>
      </c>
      <c r="B784" s="37" t="s">
        <v>206</v>
      </c>
      <c r="C784" s="37" t="s">
        <v>178</v>
      </c>
      <c r="D784" s="37" t="s">
        <v>14</v>
      </c>
      <c r="E784" s="38" t="n">
        <f aca="false">'Matrice des notes'!F27</f>
        <v>4</v>
      </c>
      <c r="F784" s="37" t="s">
        <v>621</v>
      </c>
      <c r="G784" s="39" t="s">
        <v>622</v>
      </c>
    </row>
    <row r="785" customFormat="false" ht="15" hidden="false" customHeight="false" outlineLevel="0" collapsed="false">
      <c r="A785" s="37" t="s">
        <v>184</v>
      </c>
      <c r="B785" s="37" t="s">
        <v>206</v>
      </c>
      <c r="C785" s="37" t="s">
        <v>178</v>
      </c>
      <c r="D785" s="37" t="s">
        <v>17</v>
      </c>
      <c r="E785" s="38" t="n">
        <f aca="false">'Matrice des notes'!G27</f>
        <v>4</v>
      </c>
      <c r="F785" s="37" t="s">
        <v>623</v>
      </c>
      <c r="G785" s="39" t="s">
        <v>624</v>
      </c>
    </row>
    <row r="786" customFormat="false" ht="15" hidden="false" customHeight="false" outlineLevel="0" collapsed="false">
      <c r="A786" s="37" t="s">
        <v>184</v>
      </c>
      <c r="B786" s="37" t="s">
        <v>206</v>
      </c>
      <c r="C786" s="37" t="s">
        <v>178</v>
      </c>
      <c r="D786" s="37" t="s">
        <v>20</v>
      </c>
      <c r="E786" s="38" t="n">
        <f aca="false">'Matrice des notes'!H27</f>
        <v>4</v>
      </c>
      <c r="F786" s="37" t="s">
        <v>625</v>
      </c>
      <c r="G786" s="39" t="s">
        <v>626</v>
      </c>
    </row>
    <row r="787" customFormat="false" ht="15" hidden="false" customHeight="false" outlineLevel="0" collapsed="false">
      <c r="A787" s="37" t="s">
        <v>184</v>
      </c>
      <c r="B787" s="37" t="s">
        <v>206</v>
      </c>
      <c r="C787" s="37" t="s">
        <v>178</v>
      </c>
      <c r="D787" s="37" t="s">
        <v>23</v>
      </c>
      <c r="E787" s="38" t="n">
        <f aca="false">'Matrice des notes'!I27</f>
        <v>5</v>
      </c>
      <c r="F787" s="37" t="s">
        <v>627</v>
      </c>
      <c r="G787" s="39" t="s">
        <v>628</v>
      </c>
    </row>
    <row r="788" customFormat="false" ht="15" hidden="false" customHeight="false" outlineLevel="0" collapsed="false">
      <c r="A788" s="37" t="s">
        <v>184</v>
      </c>
      <c r="B788" s="37" t="s">
        <v>206</v>
      </c>
      <c r="C788" s="37" t="s">
        <v>178</v>
      </c>
      <c r="D788" s="37" t="s">
        <v>26</v>
      </c>
      <c r="E788" s="38" t="n">
        <f aca="false">'Matrice des notes'!J27</f>
        <v>4</v>
      </c>
      <c r="F788" s="37" t="s">
        <v>629</v>
      </c>
      <c r="G788" s="39" t="s">
        <v>630</v>
      </c>
    </row>
    <row r="789" customFormat="false" ht="15" hidden="false" customHeight="false" outlineLevel="0" collapsed="false">
      <c r="A789" s="37" t="s">
        <v>184</v>
      </c>
      <c r="B789" s="37" t="s">
        <v>206</v>
      </c>
      <c r="C789" s="37" t="s">
        <v>178</v>
      </c>
      <c r="D789" s="37" t="s">
        <v>30</v>
      </c>
      <c r="E789" s="38" t="n">
        <f aca="false">'Matrice des notes'!K27</f>
        <v>4</v>
      </c>
      <c r="F789" s="37" t="s">
        <v>629</v>
      </c>
      <c r="G789" s="39" t="s">
        <v>630</v>
      </c>
    </row>
    <row r="790" customFormat="false" ht="15" hidden="false" customHeight="false" outlineLevel="0" collapsed="false">
      <c r="A790" s="37" t="s">
        <v>184</v>
      </c>
      <c r="B790" s="37" t="s">
        <v>206</v>
      </c>
      <c r="C790" s="37" t="s">
        <v>178</v>
      </c>
      <c r="D790" s="37" t="s">
        <v>34</v>
      </c>
      <c r="E790" s="38" t="n">
        <f aca="false">'Matrice des notes'!L27</f>
        <v>5</v>
      </c>
      <c r="F790" s="37" t="s">
        <v>684</v>
      </c>
      <c r="G790" s="39" t="s">
        <v>685</v>
      </c>
    </row>
    <row r="791" customFormat="false" ht="15" hidden="false" customHeight="false" outlineLevel="0" collapsed="false">
      <c r="A791" s="37" t="s">
        <v>184</v>
      </c>
      <c r="B791" s="37" t="s">
        <v>206</v>
      </c>
      <c r="C791" s="37" t="s">
        <v>178</v>
      </c>
      <c r="D791" s="37" t="s">
        <v>37</v>
      </c>
      <c r="E791" s="38" t="n">
        <f aca="false">'Matrice des notes'!M27</f>
        <v>2</v>
      </c>
      <c r="F791" s="37" t="s">
        <v>631</v>
      </c>
      <c r="G791" s="39" t="s">
        <v>632</v>
      </c>
    </row>
    <row r="792" customFormat="false" ht="15" hidden="false" customHeight="false" outlineLevel="0" collapsed="false">
      <c r="A792" s="37" t="s">
        <v>184</v>
      </c>
      <c r="B792" s="37" t="s">
        <v>206</v>
      </c>
      <c r="C792" s="37" t="s">
        <v>178</v>
      </c>
      <c r="D792" s="37" t="s">
        <v>40</v>
      </c>
      <c r="E792" s="38" t="n">
        <f aca="false">'Matrice des notes'!N27</f>
        <v>4</v>
      </c>
      <c r="F792" s="37" t="s">
        <v>633</v>
      </c>
      <c r="G792" s="39" t="s">
        <v>634</v>
      </c>
    </row>
    <row r="793" customFormat="false" ht="15" hidden="false" customHeight="false" outlineLevel="0" collapsed="false">
      <c r="A793" s="37" t="s">
        <v>184</v>
      </c>
      <c r="B793" s="37" t="s">
        <v>206</v>
      </c>
      <c r="C793" s="37" t="s">
        <v>178</v>
      </c>
      <c r="D793" s="37" t="s">
        <v>43</v>
      </c>
      <c r="E793" s="38" t="n">
        <f aca="false">'Matrice des notes'!O27</f>
        <v>2</v>
      </c>
      <c r="F793" s="37" t="s">
        <v>635</v>
      </c>
      <c r="G793" s="39" t="s">
        <v>636</v>
      </c>
    </row>
    <row r="794" customFormat="false" ht="15" hidden="false" customHeight="false" outlineLevel="0" collapsed="false">
      <c r="A794" s="37" t="s">
        <v>184</v>
      </c>
      <c r="B794" s="37" t="s">
        <v>206</v>
      </c>
      <c r="C794" s="37" t="s">
        <v>178</v>
      </c>
      <c r="D794" s="37" t="s">
        <v>46</v>
      </c>
      <c r="E794" s="38" t="n">
        <f aca="false">'Matrice des notes'!P27</f>
        <v>3</v>
      </c>
      <c r="F794" s="37" t="s">
        <v>637</v>
      </c>
      <c r="G794" s="39" t="s">
        <v>638</v>
      </c>
    </row>
    <row r="795" customFormat="false" ht="22.35" hidden="false" customHeight="false" outlineLevel="0" collapsed="false">
      <c r="A795" s="37" t="s">
        <v>184</v>
      </c>
      <c r="B795" s="37" t="s">
        <v>206</v>
      </c>
      <c r="C795" s="37" t="s">
        <v>179</v>
      </c>
      <c r="D795" s="37" t="s">
        <v>49</v>
      </c>
      <c r="E795" s="38" t="n">
        <f aca="false">'Matrice des notes'!Q27</f>
        <v>4</v>
      </c>
      <c r="F795" s="37" t="s">
        <v>688</v>
      </c>
      <c r="G795" s="39" t="s">
        <v>689</v>
      </c>
    </row>
    <row r="796" customFormat="false" ht="15" hidden="false" customHeight="false" outlineLevel="0" collapsed="false">
      <c r="A796" s="37" t="s">
        <v>184</v>
      </c>
      <c r="B796" s="37" t="s">
        <v>206</v>
      </c>
      <c r="C796" s="37" t="s">
        <v>179</v>
      </c>
      <c r="D796" s="37" t="s">
        <v>53</v>
      </c>
      <c r="E796" s="38" t="n">
        <f aca="false">'Matrice des notes'!R27</f>
        <v>4</v>
      </c>
      <c r="F796" s="37" t="s">
        <v>641</v>
      </c>
      <c r="G796" s="39" t="s">
        <v>642</v>
      </c>
    </row>
    <row r="797" customFormat="false" ht="22.35" hidden="false" customHeight="false" outlineLevel="0" collapsed="false">
      <c r="A797" s="37" t="s">
        <v>184</v>
      </c>
      <c r="B797" s="37" t="s">
        <v>206</v>
      </c>
      <c r="C797" s="37" t="s">
        <v>179</v>
      </c>
      <c r="D797" s="37" t="s">
        <v>56</v>
      </c>
      <c r="E797" s="38" t="n">
        <f aca="false">'Matrice des notes'!S27</f>
        <v>4</v>
      </c>
      <c r="F797" s="37" t="s">
        <v>643</v>
      </c>
      <c r="G797" s="39" t="s">
        <v>644</v>
      </c>
    </row>
    <row r="798" customFormat="false" ht="15" hidden="false" customHeight="false" outlineLevel="0" collapsed="false">
      <c r="A798" s="37" t="s">
        <v>184</v>
      </c>
      <c r="B798" s="37" t="s">
        <v>206</v>
      </c>
      <c r="C798" s="37" t="s">
        <v>179</v>
      </c>
      <c r="D798" s="37" t="s">
        <v>59</v>
      </c>
      <c r="E798" s="38" t="n">
        <f aca="false">'Matrice des notes'!T27</f>
        <v>5</v>
      </c>
      <c r="F798" s="37" t="s">
        <v>645</v>
      </c>
      <c r="G798" s="39" t="s">
        <v>646</v>
      </c>
    </row>
    <row r="799" customFormat="false" ht="15" hidden="false" customHeight="false" outlineLevel="0" collapsed="false">
      <c r="A799" s="37" t="s">
        <v>184</v>
      </c>
      <c r="B799" s="37" t="s">
        <v>206</v>
      </c>
      <c r="C799" s="37" t="s">
        <v>179</v>
      </c>
      <c r="D799" s="37" t="s">
        <v>62</v>
      </c>
      <c r="E799" s="38" t="n">
        <f aca="false">'Matrice des notes'!U27</f>
        <v>4</v>
      </c>
      <c r="F799" s="37" t="s">
        <v>647</v>
      </c>
      <c r="G799" s="39" t="s">
        <v>648</v>
      </c>
    </row>
    <row r="800" customFormat="false" ht="15" hidden="false" customHeight="false" outlineLevel="0" collapsed="false">
      <c r="A800" s="37" t="s">
        <v>184</v>
      </c>
      <c r="B800" s="37" t="s">
        <v>206</v>
      </c>
      <c r="C800" s="37" t="s">
        <v>179</v>
      </c>
      <c r="D800" s="37" t="s">
        <v>65</v>
      </c>
      <c r="E800" s="38" t="n">
        <f aca="false">'Matrice des notes'!V27</f>
        <v>3</v>
      </c>
      <c r="F800" s="37" t="s">
        <v>637</v>
      </c>
      <c r="G800" s="39" t="s">
        <v>638</v>
      </c>
    </row>
    <row r="801" customFormat="false" ht="15" hidden="false" customHeight="false" outlineLevel="0" collapsed="false">
      <c r="A801" s="37" t="s">
        <v>184</v>
      </c>
      <c r="B801" s="37" t="s">
        <v>206</v>
      </c>
      <c r="C801" s="37" t="s">
        <v>179</v>
      </c>
      <c r="D801" s="37" t="s">
        <v>68</v>
      </c>
      <c r="E801" s="38" t="n">
        <f aca="false">'Matrice des notes'!W27</f>
        <v>2</v>
      </c>
      <c r="F801" s="37" t="s">
        <v>649</v>
      </c>
      <c r="G801" s="39" t="s">
        <v>650</v>
      </c>
    </row>
    <row r="802" customFormat="false" ht="22.35" hidden="false" customHeight="false" outlineLevel="0" collapsed="false">
      <c r="A802" s="37" t="s">
        <v>184</v>
      </c>
      <c r="B802" s="37" t="s">
        <v>206</v>
      </c>
      <c r="C802" s="37" t="s">
        <v>179</v>
      </c>
      <c r="D802" s="37" t="s">
        <v>71</v>
      </c>
      <c r="E802" s="38" t="n">
        <f aca="false">'Matrice des notes'!X27</f>
        <v>4</v>
      </c>
      <c r="F802" s="37" t="s">
        <v>688</v>
      </c>
      <c r="G802" s="39" t="s">
        <v>690</v>
      </c>
    </row>
    <row r="803" customFormat="false" ht="15" hidden="false" customHeight="false" outlineLevel="0" collapsed="false">
      <c r="A803" s="37" t="s">
        <v>184</v>
      </c>
      <c r="B803" s="37" t="s">
        <v>206</v>
      </c>
      <c r="C803" s="37" t="s">
        <v>179</v>
      </c>
      <c r="D803" s="37" t="s">
        <v>74</v>
      </c>
      <c r="E803" s="38" t="n">
        <f aca="false">'Matrice des notes'!Y27</f>
        <v>3</v>
      </c>
      <c r="F803" s="37" t="s">
        <v>637</v>
      </c>
      <c r="G803" s="39" t="s">
        <v>638</v>
      </c>
    </row>
    <row r="804" customFormat="false" ht="15" hidden="false" customHeight="false" outlineLevel="0" collapsed="false">
      <c r="A804" s="37" t="s">
        <v>184</v>
      </c>
      <c r="B804" s="37" t="s">
        <v>206</v>
      </c>
      <c r="C804" s="37" t="s">
        <v>179</v>
      </c>
      <c r="D804" s="37" t="s">
        <v>77</v>
      </c>
      <c r="E804" s="38" t="n">
        <f aca="false">'Matrice des notes'!Z27</f>
        <v>3</v>
      </c>
      <c r="F804" s="37" t="s">
        <v>637</v>
      </c>
      <c r="G804" s="39" t="s">
        <v>638</v>
      </c>
    </row>
    <row r="805" customFormat="false" ht="15" hidden="false" customHeight="false" outlineLevel="0" collapsed="false">
      <c r="A805" s="37" t="s">
        <v>184</v>
      </c>
      <c r="B805" s="37" t="s">
        <v>206</v>
      </c>
      <c r="C805" s="37" t="s">
        <v>179</v>
      </c>
      <c r="D805" s="37" t="s">
        <v>80</v>
      </c>
      <c r="E805" s="38" t="n">
        <f aca="false">'Matrice des notes'!AA27</f>
        <v>3</v>
      </c>
      <c r="F805" s="37" t="s">
        <v>637</v>
      </c>
      <c r="G805" s="39" t="s">
        <v>638</v>
      </c>
    </row>
    <row r="806" customFormat="false" ht="15" hidden="false" customHeight="false" outlineLevel="0" collapsed="false">
      <c r="A806" s="37" t="s">
        <v>184</v>
      </c>
      <c r="B806" s="37" t="s">
        <v>206</v>
      </c>
      <c r="C806" s="37" t="s">
        <v>179</v>
      </c>
      <c r="D806" s="37" t="s">
        <v>83</v>
      </c>
      <c r="E806" s="38" t="n">
        <f aca="false">'Matrice des notes'!AB27</f>
        <v>3</v>
      </c>
      <c r="F806" s="37" t="s">
        <v>652</v>
      </c>
      <c r="G806" s="39" t="s">
        <v>653</v>
      </c>
    </row>
    <row r="807" customFormat="false" ht="15" hidden="false" customHeight="false" outlineLevel="0" collapsed="false">
      <c r="A807" s="37" t="s">
        <v>184</v>
      </c>
      <c r="B807" s="37" t="s">
        <v>206</v>
      </c>
      <c r="C807" s="37" t="s">
        <v>179</v>
      </c>
      <c r="D807" s="37" t="s">
        <v>86</v>
      </c>
      <c r="E807" s="38" t="n">
        <f aca="false">'Matrice des notes'!AC27</f>
        <v>2</v>
      </c>
      <c r="F807" s="37" t="s">
        <v>637</v>
      </c>
      <c r="G807" s="39" t="s">
        <v>638</v>
      </c>
    </row>
    <row r="808" customFormat="false" ht="15" hidden="false" customHeight="false" outlineLevel="0" collapsed="false">
      <c r="A808" s="37" t="s">
        <v>184</v>
      </c>
      <c r="B808" s="37" t="s">
        <v>206</v>
      </c>
      <c r="C808" s="37" t="s">
        <v>179</v>
      </c>
      <c r="D808" s="37" t="s">
        <v>89</v>
      </c>
      <c r="E808" s="38" t="n">
        <f aca="false">'Matrice des notes'!AD27</f>
        <v>3</v>
      </c>
      <c r="F808" s="37" t="s">
        <v>637</v>
      </c>
      <c r="G808" s="39" t="s">
        <v>638</v>
      </c>
    </row>
    <row r="809" customFormat="false" ht="15" hidden="false" customHeight="false" outlineLevel="0" collapsed="false">
      <c r="A809" s="37" t="s">
        <v>184</v>
      </c>
      <c r="B809" s="37" t="s">
        <v>206</v>
      </c>
      <c r="C809" s="37" t="s">
        <v>179</v>
      </c>
      <c r="D809" s="37" t="s">
        <v>92</v>
      </c>
      <c r="E809" s="38" t="n">
        <f aca="false">'Matrice des notes'!AE27</f>
        <v>2</v>
      </c>
      <c r="F809" s="37" t="s">
        <v>637</v>
      </c>
      <c r="G809" s="39" t="s">
        <v>638</v>
      </c>
    </row>
    <row r="810" customFormat="false" ht="15" hidden="false" customHeight="false" outlineLevel="0" collapsed="false">
      <c r="A810" s="37" t="s">
        <v>184</v>
      </c>
      <c r="B810" s="37" t="s">
        <v>206</v>
      </c>
      <c r="C810" s="37" t="s">
        <v>180</v>
      </c>
      <c r="D810" s="37" t="s">
        <v>95</v>
      </c>
      <c r="E810" s="38" t="n">
        <f aca="false">'Matrice des notes'!AF27</f>
        <v>1</v>
      </c>
      <c r="F810" s="37" t="s">
        <v>631</v>
      </c>
      <c r="G810" s="39" t="s">
        <v>654</v>
      </c>
    </row>
    <row r="811" customFormat="false" ht="15" hidden="false" customHeight="false" outlineLevel="0" collapsed="false">
      <c r="A811" s="37" t="s">
        <v>184</v>
      </c>
      <c r="B811" s="37" t="s">
        <v>206</v>
      </c>
      <c r="C811" s="37" t="s">
        <v>180</v>
      </c>
      <c r="D811" s="37" t="s">
        <v>99</v>
      </c>
      <c r="E811" s="38" t="n">
        <f aca="false">'Matrice des notes'!AG27</f>
        <v>1</v>
      </c>
      <c r="F811" s="37" t="s">
        <v>655</v>
      </c>
      <c r="G811" s="39" t="s">
        <v>656</v>
      </c>
    </row>
    <row r="812" customFormat="false" ht="15" hidden="false" customHeight="false" outlineLevel="0" collapsed="false">
      <c r="A812" s="37" t="s">
        <v>184</v>
      </c>
      <c r="B812" s="37" t="s">
        <v>206</v>
      </c>
      <c r="C812" s="37" t="s">
        <v>180</v>
      </c>
      <c r="D812" s="37" t="s">
        <v>102</v>
      </c>
      <c r="E812" s="38" t="n">
        <f aca="false">'Matrice des notes'!AH27</f>
        <v>1</v>
      </c>
      <c r="F812" s="37" t="s">
        <v>655</v>
      </c>
      <c r="G812" s="39" t="s">
        <v>656</v>
      </c>
    </row>
    <row r="813" customFormat="false" ht="15" hidden="false" customHeight="false" outlineLevel="0" collapsed="false">
      <c r="A813" s="37" t="s">
        <v>184</v>
      </c>
      <c r="B813" s="37" t="s">
        <v>206</v>
      </c>
      <c r="C813" s="37" t="s">
        <v>180</v>
      </c>
      <c r="D813" s="37" t="s">
        <v>104</v>
      </c>
      <c r="E813" s="38" t="n">
        <f aca="false">'Matrice des notes'!AI27</f>
        <v>1</v>
      </c>
      <c r="F813" s="37" t="s">
        <v>631</v>
      </c>
      <c r="G813" s="39" t="s">
        <v>654</v>
      </c>
    </row>
    <row r="814" customFormat="false" ht="15" hidden="false" customHeight="false" outlineLevel="0" collapsed="false">
      <c r="A814" s="37" t="s">
        <v>184</v>
      </c>
      <c r="B814" s="37" t="s">
        <v>206</v>
      </c>
      <c r="C814" s="37" t="s">
        <v>180</v>
      </c>
      <c r="D814" s="37" t="s">
        <v>107</v>
      </c>
      <c r="E814" s="38" t="n">
        <f aca="false">'Matrice des notes'!AJ27</f>
        <v>1</v>
      </c>
      <c r="F814" s="37" t="s">
        <v>631</v>
      </c>
      <c r="G814" s="39" t="s">
        <v>654</v>
      </c>
    </row>
    <row r="815" customFormat="false" ht="15" hidden="false" customHeight="false" outlineLevel="0" collapsed="false">
      <c r="A815" s="37" t="s">
        <v>184</v>
      </c>
      <c r="B815" s="37" t="s">
        <v>206</v>
      </c>
      <c r="C815" s="37" t="s">
        <v>180</v>
      </c>
      <c r="D815" s="37" t="s">
        <v>110</v>
      </c>
      <c r="E815" s="38" t="n">
        <f aca="false">'Matrice des notes'!AK27</f>
        <v>1</v>
      </c>
      <c r="F815" s="37" t="s">
        <v>631</v>
      </c>
      <c r="G815" s="39" t="s">
        <v>654</v>
      </c>
    </row>
    <row r="816" customFormat="false" ht="15" hidden="false" customHeight="false" outlineLevel="0" collapsed="false">
      <c r="A816" s="37" t="s">
        <v>184</v>
      </c>
      <c r="B816" s="37" t="s">
        <v>206</v>
      </c>
      <c r="C816" s="37" t="s">
        <v>180</v>
      </c>
      <c r="D816" s="37" t="s">
        <v>113</v>
      </c>
      <c r="E816" s="38" t="n">
        <f aca="false">'Matrice des notes'!AL27</f>
        <v>1</v>
      </c>
      <c r="F816" s="37" t="s">
        <v>631</v>
      </c>
      <c r="G816" s="39" t="s">
        <v>654</v>
      </c>
    </row>
    <row r="817" customFormat="false" ht="15" hidden="false" customHeight="false" outlineLevel="0" collapsed="false">
      <c r="A817" s="37" t="s">
        <v>184</v>
      </c>
      <c r="B817" s="37" t="s">
        <v>206</v>
      </c>
      <c r="C817" s="37" t="s">
        <v>180</v>
      </c>
      <c r="D817" s="37" t="s">
        <v>116</v>
      </c>
      <c r="E817" s="38" t="n">
        <f aca="false">'Matrice des notes'!AM27</f>
        <v>1</v>
      </c>
      <c r="F817" s="37" t="s">
        <v>655</v>
      </c>
      <c r="G817" s="39" t="s">
        <v>656</v>
      </c>
    </row>
    <row r="818" customFormat="false" ht="15" hidden="false" customHeight="false" outlineLevel="0" collapsed="false">
      <c r="A818" s="37" t="s">
        <v>184</v>
      </c>
      <c r="B818" s="37" t="s">
        <v>206</v>
      </c>
      <c r="C818" s="37" t="s">
        <v>180</v>
      </c>
      <c r="D818" s="37" t="s">
        <v>119</v>
      </c>
      <c r="E818" s="38" t="n">
        <f aca="false">'Matrice des notes'!AN27</f>
        <v>1</v>
      </c>
      <c r="F818" s="37" t="s">
        <v>631</v>
      </c>
      <c r="G818" s="39" t="s">
        <v>654</v>
      </c>
    </row>
    <row r="819" customFormat="false" ht="15" hidden="false" customHeight="false" outlineLevel="0" collapsed="false">
      <c r="A819" s="37" t="s">
        <v>184</v>
      </c>
      <c r="B819" s="37" t="s">
        <v>206</v>
      </c>
      <c r="C819" s="37" t="s">
        <v>180</v>
      </c>
      <c r="D819" s="37" t="s">
        <v>121</v>
      </c>
      <c r="E819" s="38" t="n">
        <f aca="false">'Matrice des notes'!AO27</f>
        <v>1</v>
      </c>
      <c r="F819" s="37" t="s">
        <v>657</v>
      </c>
      <c r="G819" s="39" t="s">
        <v>658</v>
      </c>
    </row>
    <row r="820" customFormat="false" ht="15" hidden="false" customHeight="false" outlineLevel="0" collapsed="false">
      <c r="A820" s="37" t="s">
        <v>184</v>
      </c>
      <c r="B820" s="37" t="s">
        <v>206</v>
      </c>
      <c r="C820" s="37" t="s">
        <v>180</v>
      </c>
      <c r="D820" s="37" t="s">
        <v>124</v>
      </c>
      <c r="E820" s="38" t="n">
        <f aca="false">'Matrice des notes'!AP27</f>
        <v>3</v>
      </c>
      <c r="F820" s="37" t="s">
        <v>659</v>
      </c>
      <c r="G820" s="39" t="s">
        <v>660</v>
      </c>
    </row>
    <row r="821" customFormat="false" ht="15" hidden="false" customHeight="false" outlineLevel="0" collapsed="false">
      <c r="A821" s="37" t="s">
        <v>207</v>
      </c>
      <c r="B821" s="37" t="s">
        <v>209</v>
      </c>
      <c r="C821" s="37" t="s">
        <v>178</v>
      </c>
      <c r="D821" s="37" t="s">
        <v>7</v>
      </c>
      <c r="E821" s="38" t="n">
        <f aca="false">'Matrice des notes'!D29</f>
        <v>5</v>
      </c>
      <c r="F821" s="37" t="s">
        <v>797</v>
      </c>
      <c r="G821" s="39" t="s">
        <v>798</v>
      </c>
    </row>
    <row r="822" customFormat="false" ht="15" hidden="false" customHeight="false" outlineLevel="0" collapsed="false">
      <c r="A822" s="37" t="s">
        <v>207</v>
      </c>
      <c r="B822" s="37" t="s">
        <v>209</v>
      </c>
      <c r="C822" s="37" t="s">
        <v>178</v>
      </c>
      <c r="D822" s="37" t="s">
        <v>11</v>
      </c>
      <c r="E822" s="38" t="n">
        <f aca="false">'Matrice des notes'!E29</f>
        <v>2</v>
      </c>
      <c r="F822" s="37" t="s">
        <v>799</v>
      </c>
      <c r="G822" s="39" t="s">
        <v>800</v>
      </c>
    </row>
    <row r="823" customFormat="false" ht="15" hidden="false" customHeight="false" outlineLevel="0" collapsed="false">
      <c r="A823" s="37" t="s">
        <v>207</v>
      </c>
      <c r="B823" s="37" t="s">
        <v>209</v>
      </c>
      <c r="C823" s="37" t="s">
        <v>178</v>
      </c>
      <c r="D823" s="37" t="s">
        <v>14</v>
      </c>
      <c r="E823" s="38" t="n">
        <f aca="false">'Matrice des notes'!F29</f>
        <v>2</v>
      </c>
      <c r="F823" s="37" t="s">
        <v>801</v>
      </c>
      <c r="G823" s="39" t="s">
        <v>802</v>
      </c>
    </row>
    <row r="824" customFormat="false" ht="15" hidden="false" customHeight="false" outlineLevel="0" collapsed="false">
      <c r="A824" s="37" t="s">
        <v>207</v>
      </c>
      <c r="B824" s="37" t="s">
        <v>209</v>
      </c>
      <c r="C824" s="37" t="s">
        <v>178</v>
      </c>
      <c r="D824" s="37" t="s">
        <v>17</v>
      </c>
      <c r="E824" s="38" t="n">
        <f aca="false">'Matrice des notes'!G29</f>
        <v>2</v>
      </c>
      <c r="F824" s="37" t="s">
        <v>803</v>
      </c>
      <c r="G824" s="39" t="s">
        <v>804</v>
      </c>
    </row>
    <row r="825" customFormat="false" ht="15" hidden="false" customHeight="false" outlineLevel="0" collapsed="false">
      <c r="A825" s="37" t="s">
        <v>207</v>
      </c>
      <c r="B825" s="37" t="s">
        <v>209</v>
      </c>
      <c r="C825" s="37" t="s">
        <v>178</v>
      </c>
      <c r="D825" s="37" t="s">
        <v>20</v>
      </c>
      <c r="E825" s="38" t="n">
        <f aca="false">'Matrice des notes'!H29</f>
        <v>2</v>
      </c>
      <c r="F825" s="37" t="s">
        <v>799</v>
      </c>
      <c r="G825" s="39" t="s">
        <v>805</v>
      </c>
    </row>
    <row r="826" customFormat="false" ht="15" hidden="false" customHeight="false" outlineLevel="0" collapsed="false">
      <c r="A826" s="37" t="s">
        <v>207</v>
      </c>
      <c r="B826" s="37" t="s">
        <v>209</v>
      </c>
      <c r="C826" s="37" t="s">
        <v>178</v>
      </c>
      <c r="D826" s="37" t="s">
        <v>23</v>
      </c>
      <c r="E826" s="38" t="n">
        <f aca="false">'Matrice des notes'!I29</f>
        <v>2</v>
      </c>
      <c r="F826" s="37" t="s">
        <v>799</v>
      </c>
      <c r="G826" s="39" t="s">
        <v>806</v>
      </c>
    </row>
    <row r="827" customFormat="false" ht="15" hidden="false" customHeight="false" outlineLevel="0" collapsed="false">
      <c r="A827" s="37" t="s">
        <v>207</v>
      </c>
      <c r="B827" s="37" t="s">
        <v>209</v>
      </c>
      <c r="C827" s="37" t="s">
        <v>178</v>
      </c>
      <c r="D827" s="37" t="s">
        <v>26</v>
      </c>
      <c r="E827" s="38" t="n">
        <f aca="false">'Matrice des notes'!J29</f>
        <v>2</v>
      </c>
      <c r="F827" s="37" t="s">
        <v>807</v>
      </c>
      <c r="G827" s="39" t="s">
        <v>808</v>
      </c>
    </row>
    <row r="828" customFormat="false" ht="15" hidden="false" customHeight="false" outlineLevel="0" collapsed="false">
      <c r="A828" s="37" t="s">
        <v>207</v>
      </c>
      <c r="B828" s="37" t="s">
        <v>209</v>
      </c>
      <c r="C828" s="37" t="s">
        <v>178</v>
      </c>
      <c r="D828" s="37" t="s">
        <v>30</v>
      </c>
      <c r="E828" s="38" t="n">
        <f aca="false">'Matrice des notes'!K29</f>
        <v>2</v>
      </c>
      <c r="F828" s="37" t="s">
        <v>801</v>
      </c>
      <c r="G828" s="39" t="s">
        <v>809</v>
      </c>
    </row>
    <row r="829" customFormat="false" ht="15" hidden="false" customHeight="false" outlineLevel="0" collapsed="false">
      <c r="A829" s="37" t="s">
        <v>207</v>
      </c>
      <c r="B829" s="37" t="s">
        <v>209</v>
      </c>
      <c r="C829" s="37" t="s">
        <v>178</v>
      </c>
      <c r="D829" s="37" t="s">
        <v>34</v>
      </c>
      <c r="E829" s="38" t="n">
        <f aca="false">'Matrice des notes'!L29</f>
        <v>4</v>
      </c>
      <c r="F829" s="37" t="s">
        <v>810</v>
      </c>
      <c r="G829" s="39" t="s">
        <v>811</v>
      </c>
    </row>
    <row r="830" customFormat="false" ht="15" hidden="false" customHeight="false" outlineLevel="0" collapsed="false">
      <c r="A830" s="37" t="s">
        <v>207</v>
      </c>
      <c r="B830" s="37" t="s">
        <v>209</v>
      </c>
      <c r="C830" s="37" t="s">
        <v>178</v>
      </c>
      <c r="D830" s="37" t="s">
        <v>37</v>
      </c>
      <c r="E830" s="38" t="n">
        <f aca="false">'Matrice des notes'!M29</f>
        <v>1</v>
      </c>
      <c r="F830" s="37" t="s">
        <v>812</v>
      </c>
      <c r="G830" s="39" t="s">
        <v>813</v>
      </c>
    </row>
    <row r="831" customFormat="false" ht="15" hidden="false" customHeight="false" outlineLevel="0" collapsed="false">
      <c r="A831" s="37" t="s">
        <v>207</v>
      </c>
      <c r="B831" s="37" t="s">
        <v>209</v>
      </c>
      <c r="C831" s="37" t="s">
        <v>178</v>
      </c>
      <c r="D831" s="37" t="s">
        <v>40</v>
      </c>
      <c r="E831" s="38" t="n">
        <f aca="false">'Matrice des notes'!N29</f>
        <v>2</v>
      </c>
      <c r="F831" s="37" t="s">
        <v>814</v>
      </c>
      <c r="G831" s="39" t="s">
        <v>815</v>
      </c>
    </row>
    <row r="832" customFormat="false" ht="15" hidden="false" customHeight="false" outlineLevel="0" collapsed="false">
      <c r="A832" s="37" t="s">
        <v>207</v>
      </c>
      <c r="B832" s="37" t="s">
        <v>209</v>
      </c>
      <c r="C832" s="37" t="s">
        <v>178</v>
      </c>
      <c r="D832" s="37" t="s">
        <v>43</v>
      </c>
      <c r="E832" s="38" t="n">
        <f aca="false">'Matrice des notes'!O29</f>
        <v>2</v>
      </c>
      <c r="F832" s="37" t="s">
        <v>816</v>
      </c>
      <c r="G832" s="39" t="s">
        <v>817</v>
      </c>
    </row>
    <row r="833" customFormat="false" ht="15" hidden="false" customHeight="false" outlineLevel="0" collapsed="false">
      <c r="A833" s="37" t="s">
        <v>207</v>
      </c>
      <c r="B833" s="37" t="s">
        <v>209</v>
      </c>
      <c r="C833" s="37" t="s">
        <v>178</v>
      </c>
      <c r="D833" s="37" t="s">
        <v>46</v>
      </c>
      <c r="E833" s="38" t="n">
        <f aca="false">'Matrice des notes'!P29</f>
        <v>2</v>
      </c>
      <c r="F833" s="37" t="s">
        <v>799</v>
      </c>
      <c r="G833" s="39" t="s">
        <v>818</v>
      </c>
    </row>
    <row r="834" customFormat="false" ht="22.35" hidden="false" customHeight="false" outlineLevel="0" collapsed="false">
      <c r="A834" s="37" t="s">
        <v>207</v>
      </c>
      <c r="B834" s="37" t="s">
        <v>209</v>
      </c>
      <c r="C834" s="37" t="s">
        <v>179</v>
      </c>
      <c r="D834" s="37" t="s">
        <v>49</v>
      </c>
      <c r="E834" s="38" t="n">
        <f aca="false">'Matrice des notes'!Q29</f>
        <v>4</v>
      </c>
      <c r="F834" s="37" t="s">
        <v>819</v>
      </c>
      <c r="G834" s="39" t="s">
        <v>820</v>
      </c>
    </row>
    <row r="835" customFormat="false" ht="15" hidden="false" customHeight="false" outlineLevel="0" collapsed="false">
      <c r="A835" s="37" t="s">
        <v>207</v>
      </c>
      <c r="B835" s="37" t="s">
        <v>209</v>
      </c>
      <c r="C835" s="37" t="s">
        <v>179</v>
      </c>
      <c r="D835" s="37" t="s">
        <v>53</v>
      </c>
      <c r="E835" s="38" t="n">
        <f aca="false">'Matrice des notes'!R29</f>
        <v>5</v>
      </c>
      <c r="F835" s="37" t="s">
        <v>821</v>
      </c>
      <c r="G835" s="39" t="s">
        <v>822</v>
      </c>
    </row>
    <row r="836" customFormat="false" ht="15" hidden="false" customHeight="false" outlineLevel="0" collapsed="false">
      <c r="A836" s="37" t="s">
        <v>207</v>
      </c>
      <c r="B836" s="37" t="s">
        <v>209</v>
      </c>
      <c r="C836" s="37" t="s">
        <v>179</v>
      </c>
      <c r="D836" s="37" t="s">
        <v>56</v>
      </c>
      <c r="E836" s="38" t="n">
        <f aca="false">'Matrice des notes'!S29</f>
        <v>2</v>
      </c>
      <c r="F836" s="37" t="s">
        <v>799</v>
      </c>
      <c r="G836" s="39" t="s">
        <v>823</v>
      </c>
    </row>
    <row r="837" customFormat="false" ht="15" hidden="false" customHeight="false" outlineLevel="0" collapsed="false">
      <c r="A837" s="37" t="s">
        <v>207</v>
      </c>
      <c r="B837" s="37" t="s">
        <v>209</v>
      </c>
      <c r="C837" s="37" t="s">
        <v>179</v>
      </c>
      <c r="D837" s="37" t="s">
        <v>59</v>
      </c>
      <c r="E837" s="38" t="n">
        <f aca="false">'Matrice des notes'!T29</f>
        <v>2</v>
      </c>
      <c r="F837" s="37" t="s">
        <v>799</v>
      </c>
      <c r="G837" s="39" t="s">
        <v>824</v>
      </c>
    </row>
    <row r="838" customFormat="false" ht="15" hidden="false" customHeight="false" outlineLevel="0" collapsed="false">
      <c r="A838" s="37" t="s">
        <v>207</v>
      </c>
      <c r="B838" s="37" t="s">
        <v>209</v>
      </c>
      <c r="C838" s="37" t="s">
        <v>179</v>
      </c>
      <c r="D838" s="37" t="s">
        <v>62</v>
      </c>
      <c r="E838" s="38" t="n">
        <f aca="false">'Matrice des notes'!U29</f>
        <v>3</v>
      </c>
      <c r="F838" s="37" t="s">
        <v>825</v>
      </c>
      <c r="G838" s="39" t="s">
        <v>826</v>
      </c>
    </row>
    <row r="839" customFormat="false" ht="15" hidden="false" customHeight="false" outlineLevel="0" collapsed="false">
      <c r="A839" s="37" t="s">
        <v>207</v>
      </c>
      <c r="B839" s="37" t="s">
        <v>209</v>
      </c>
      <c r="C839" s="37" t="s">
        <v>179</v>
      </c>
      <c r="D839" s="37" t="s">
        <v>65</v>
      </c>
      <c r="E839" s="38" t="n">
        <f aca="false">'Matrice des notes'!V29</f>
        <v>3</v>
      </c>
      <c r="F839" s="37" t="s">
        <v>637</v>
      </c>
      <c r="G839" s="39" t="s">
        <v>638</v>
      </c>
    </row>
    <row r="840" customFormat="false" ht="15" hidden="false" customHeight="false" outlineLevel="0" collapsed="false">
      <c r="A840" s="37" t="s">
        <v>207</v>
      </c>
      <c r="B840" s="37" t="s">
        <v>209</v>
      </c>
      <c r="C840" s="37" t="s">
        <v>179</v>
      </c>
      <c r="D840" s="37" t="s">
        <v>68</v>
      </c>
      <c r="E840" s="38" t="n">
        <f aca="false">'Matrice des notes'!W29</f>
        <v>2</v>
      </c>
      <c r="F840" s="37" t="s">
        <v>827</v>
      </c>
      <c r="G840" s="39" t="s">
        <v>828</v>
      </c>
    </row>
    <row r="841" customFormat="false" ht="15" hidden="false" customHeight="false" outlineLevel="0" collapsed="false">
      <c r="A841" s="37" t="s">
        <v>207</v>
      </c>
      <c r="B841" s="37" t="s">
        <v>209</v>
      </c>
      <c r="C841" s="37" t="s">
        <v>179</v>
      </c>
      <c r="D841" s="37" t="s">
        <v>71</v>
      </c>
      <c r="E841" s="38" t="n">
        <f aca="false">'Matrice des notes'!X29</f>
        <v>2</v>
      </c>
      <c r="F841" s="37" t="s">
        <v>718</v>
      </c>
      <c r="G841" s="39" t="s">
        <v>829</v>
      </c>
    </row>
    <row r="842" customFormat="false" ht="15" hidden="false" customHeight="false" outlineLevel="0" collapsed="false">
      <c r="A842" s="37" t="s">
        <v>207</v>
      </c>
      <c r="B842" s="37" t="s">
        <v>209</v>
      </c>
      <c r="C842" s="37" t="s">
        <v>179</v>
      </c>
      <c r="D842" s="37" t="s">
        <v>74</v>
      </c>
      <c r="E842" s="38" t="n">
        <f aca="false">'Matrice des notes'!Y29</f>
        <v>3</v>
      </c>
      <c r="F842" s="37" t="s">
        <v>637</v>
      </c>
      <c r="G842" s="39" t="s">
        <v>638</v>
      </c>
    </row>
    <row r="843" customFormat="false" ht="15" hidden="false" customHeight="false" outlineLevel="0" collapsed="false">
      <c r="A843" s="37" t="s">
        <v>207</v>
      </c>
      <c r="B843" s="37" t="s">
        <v>209</v>
      </c>
      <c r="C843" s="37" t="s">
        <v>179</v>
      </c>
      <c r="D843" s="37" t="s">
        <v>77</v>
      </c>
      <c r="E843" s="38" t="n">
        <f aca="false">'Matrice des notes'!Z29</f>
        <v>2</v>
      </c>
      <c r="F843" s="37" t="s">
        <v>803</v>
      </c>
      <c r="G843" s="39" t="s">
        <v>830</v>
      </c>
    </row>
    <row r="844" customFormat="false" ht="15" hidden="false" customHeight="false" outlineLevel="0" collapsed="false">
      <c r="A844" s="37" t="s">
        <v>207</v>
      </c>
      <c r="B844" s="37" t="s">
        <v>209</v>
      </c>
      <c r="C844" s="37" t="s">
        <v>179</v>
      </c>
      <c r="D844" s="37" t="s">
        <v>80</v>
      </c>
      <c r="E844" s="38" t="n">
        <f aca="false">'Matrice des notes'!AA29</f>
        <v>3</v>
      </c>
      <c r="F844" s="37" t="s">
        <v>637</v>
      </c>
      <c r="G844" s="39" t="s">
        <v>638</v>
      </c>
    </row>
    <row r="845" customFormat="false" ht="15" hidden="false" customHeight="false" outlineLevel="0" collapsed="false">
      <c r="A845" s="37" t="s">
        <v>207</v>
      </c>
      <c r="B845" s="37" t="s">
        <v>209</v>
      </c>
      <c r="C845" s="37" t="s">
        <v>179</v>
      </c>
      <c r="D845" s="37" t="s">
        <v>83</v>
      </c>
      <c r="E845" s="38" t="n">
        <f aca="false">'Matrice des notes'!AB29</f>
        <v>4</v>
      </c>
      <c r="F845" s="37" t="s">
        <v>831</v>
      </c>
      <c r="G845" s="39" t="s">
        <v>832</v>
      </c>
    </row>
    <row r="846" customFormat="false" ht="15" hidden="false" customHeight="false" outlineLevel="0" collapsed="false">
      <c r="A846" s="37" t="s">
        <v>207</v>
      </c>
      <c r="B846" s="37" t="s">
        <v>209</v>
      </c>
      <c r="C846" s="37" t="s">
        <v>179</v>
      </c>
      <c r="D846" s="37" t="s">
        <v>86</v>
      </c>
      <c r="E846" s="38" t="n">
        <f aca="false">'Matrice des notes'!AC29</f>
        <v>3</v>
      </c>
      <c r="F846" s="37" t="s">
        <v>637</v>
      </c>
      <c r="G846" s="39" t="s">
        <v>638</v>
      </c>
    </row>
    <row r="847" customFormat="false" ht="15" hidden="false" customHeight="false" outlineLevel="0" collapsed="false">
      <c r="A847" s="37" t="s">
        <v>207</v>
      </c>
      <c r="B847" s="37" t="s">
        <v>209</v>
      </c>
      <c r="C847" s="37" t="s">
        <v>179</v>
      </c>
      <c r="D847" s="37" t="s">
        <v>89</v>
      </c>
      <c r="E847" s="38" t="n">
        <f aca="false">'Matrice des notes'!AD29</f>
        <v>3</v>
      </c>
      <c r="F847" s="37" t="s">
        <v>637</v>
      </c>
      <c r="G847" s="39" t="s">
        <v>638</v>
      </c>
    </row>
    <row r="848" customFormat="false" ht="22.35" hidden="false" customHeight="false" outlineLevel="0" collapsed="false">
      <c r="A848" s="37" t="s">
        <v>207</v>
      </c>
      <c r="B848" s="37" t="s">
        <v>209</v>
      </c>
      <c r="C848" s="37" t="s">
        <v>179</v>
      </c>
      <c r="D848" s="37" t="s">
        <v>92</v>
      </c>
      <c r="E848" s="38" t="n">
        <f aca="false">'Matrice des notes'!AE29</f>
        <v>4</v>
      </c>
      <c r="F848" s="37" t="s">
        <v>833</v>
      </c>
      <c r="G848" s="39" t="s">
        <v>834</v>
      </c>
    </row>
    <row r="849" customFormat="false" ht="15" hidden="false" customHeight="false" outlineLevel="0" collapsed="false">
      <c r="A849" s="37" t="s">
        <v>207</v>
      </c>
      <c r="B849" s="37" t="s">
        <v>209</v>
      </c>
      <c r="C849" s="37" t="s">
        <v>180</v>
      </c>
      <c r="D849" s="37" t="s">
        <v>95</v>
      </c>
      <c r="E849" s="38" t="n">
        <f aca="false">'Matrice des notes'!AF29</f>
        <v>1</v>
      </c>
      <c r="F849" s="37" t="s">
        <v>631</v>
      </c>
      <c r="G849" s="39" t="s">
        <v>654</v>
      </c>
    </row>
    <row r="850" customFormat="false" ht="15" hidden="false" customHeight="false" outlineLevel="0" collapsed="false">
      <c r="A850" s="37" t="s">
        <v>207</v>
      </c>
      <c r="B850" s="37" t="s">
        <v>209</v>
      </c>
      <c r="C850" s="37" t="s">
        <v>180</v>
      </c>
      <c r="D850" s="37" t="s">
        <v>99</v>
      </c>
      <c r="E850" s="38" t="n">
        <f aca="false">'Matrice des notes'!AG29</f>
        <v>1</v>
      </c>
      <c r="F850" s="37" t="s">
        <v>655</v>
      </c>
      <c r="G850" s="39" t="s">
        <v>656</v>
      </c>
    </row>
    <row r="851" customFormat="false" ht="15" hidden="false" customHeight="false" outlineLevel="0" collapsed="false">
      <c r="A851" s="37" t="s">
        <v>207</v>
      </c>
      <c r="B851" s="37" t="s">
        <v>209</v>
      </c>
      <c r="C851" s="37" t="s">
        <v>180</v>
      </c>
      <c r="D851" s="37" t="s">
        <v>102</v>
      </c>
      <c r="E851" s="38" t="n">
        <f aca="false">'Matrice des notes'!AH29</f>
        <v>1</v>
      </c>
      <c r="F851" s="37" t="s">
        <v>655</v>
      </c>
      <c r="G851" s="39" t="s">
        <v>656</v>
      </c>
    </row>
    <row r="852" customFormat="false" ht="15" hidden="false" customHeight="false" outlineLevel="0" collapsed="false">
      <c r="A852" s="37" t="s">
        <v>207</v>
      </c>
      <c r="B852" s="37" t="s">
        <v>209</v>
      </c>
      <c r="C852" s="37" t="s">
        <v>180</v>
      </c>
      <c r="D852" s="37" t="s">
        <v>104</v>
      </c>
      <c r="E852" s="38" t="n">
        <f aca="false">'Matrice des notes'!AI29</f>
        <v>1</v>
      </c>
      <c r="F852" s="37" t="s">
        <v>631</v>
      </c>
      <c r="G852" s="39" t="s">
        <v>654</v>
      </c>
    </row>
    <row r="853" customFormat="false" ht="15" hidden="false" customHeight="false" outlineLevel="0" collapsed="false">
      <c r="A853" s="37" t="s">
        <v>207</v>
      </c>
      <c r="B853" s="37" t="s">
        <v>209</v>
      </c>
      <c r="C853" s="37" t="s">
        <v>180</v>
      </c>
      <c r="D853" s="37" t="s">
        <v>107</v>
      </c>
      <c r="E853" s="38" t="n">
        <f aca="false">'Matrice des notes'!AJ29</f>
        <v>1</v>
      </c>
      <c r="F853" s="37" t="s">
        <v>631</v>
      </c>
      <c r="G853" s="39" t="s">
        <v>654</v>
      </c>
    </row>
    <row r="854" customFormat="false" ht="15" hidden="false" customHeight="false" outlineLevel="0" collapsed="false">
      <c r="A854" s="37" t="s">
        <v>207</v>
      </c>
      <c r="B854" s="37" t="s">
        <v>209</v>
      </c>
      <c r="C854" s="37" t="s">
        <v>180</v>
      </c>
      <c r="D854" s="37" t="s">
        <v>110</v>
      </c>
      <c r="E854" s="38" t="n">
        <f aca="false">'Matrice des notes'!AK29</f>
        <v>1</v>
      </c>
      <c r="F854" s="37" t="s">
        <v>631</v>
      </c>
      <c r="G854" s="39" t="s">
        <v>654</v>
      </c>
    </row>
    <row r="855" customFormat="false" ht="15" hidden="false" customHeight="false" outlineLevel="0" collapsed="false">
      <c r="A855" s="37" t="s">
        <v>207</v>
      </c>
      <c r="B855" s="37" t="s">
        <v>209</v>
      </c>
      <c r="C855" s="37" t="s">
        <v>180</v>
      </c>
      <c r="D855" s="37" t="s">
        <v>113</v>
      </c>
      <c r="E855" s="38" t="n">
        <f aca="false">'Matrice des notes'!AL29</f>
        <v>1</v>
      </c>
      <c r="F855" s="37" t="s">
        <v>631</v>
      </c>
      <c r="G855" s="39" t="s">
        <v>654</v>
      </c>
    </row>
    <row r="856" customFormat="false" ht="15" hidden="false" customHeight="false" outlineLevel="0" collapsed="false">
      <c r="A856" s="37" t="s">
        <v>207</v>
      </c>
      <c r="B856" s="37" t="s">
        <v>209</v>
      </c>
      <c r="C856" s="37" t="s">
        <v>180</v>
      </c>
      <c r="D856" s="37" t="s">
        <v>116</v>
      </c>
      <c r="E856" s="38" t="n">
        <f aca="false">'Matrice des notes'!AM29</f>
        <v>1</v>
      </c>
      <c r="F856" s="37" t="s">
        <v>655</v>
      </c>
      <c r="G856" s="39" t="s">
        <v>656</v>
      </c>
    </row>
    <row r="857" customFormat="false" ht="15" hidden="false" customHeight="false" outlineLevel="0" collapsed="false">
      <c r="A857" s="37" t="s">
        <v>207</v>
      </c>
      <c r="B857" s="37" t="s">
        <v>209</v>
      </c>
      <c r="C857" s="37" t="s">
        <v>180</v>
      </c>
      <c r="D857" s="37" t="s">
        <v>119</v>
      </c>
      <c r="E857" s="38" t="n">
        <f aca="false">'Matrice des notes'!AN29</f>
        <v>1</v>
      </c>
      <c r="F857" s="37" t="s">
        <v>631</v>
      </c>
      <c r="G857" s="39" t="s">
        <v>654</v>
      </c>
    </row>
    <row r="858" customFormat="false" ht="15" hidden="false" customHeight="false" outlineLevel="0" collapsed="false">
      <c r="A858" s="37" t="s">
        <v>207</v>
      </c>
      <c r="B858" s="37" t="s">
        <v>209</v>
      </c>
      <c r="C858" s="37" t="s">
        <v>180</v>
      </c>
      <c r="D858" s="37" t="s">
        <v>121</v>
      </c>
      <c r="E858" s="38" t="n">
        <f aca="false">'Matrice des notes'!AO29</f>
        <v>1</v>
      </c>
      <c r="F858" s="37" t="s">
        <v>657</v>
      </c>
      <c r="G858" s="39" t="s">
        <v>658</v>
      </c>
    </row>
    <row r="859" customFormat="false" ht="15" hidden="false" customHeight="false" outlineLevel="0" collapsed="false">
      <c r="A859" s="37" t="s">
        <v>207</v>
      </c>
      <c r="B859" s="37" t="s">
        <v>209</v>
      </c>
      <c r="C859" s="37" t="s">
        <v>180</v>
      </c>
      <c r="D859" s="37" t="s">
        <v>124</v>
      </c>
      <c r="E859" s="38" t="n">
        <f aca="false">'Matrice des notes'!AP29</f>
        <v>2</v>
      </c>
      <c r="F859" s="37" t="s">
        <v>835</v>
      </c>
      <c r="G859" s="39" t="s">
        <v>836</v>
      </c>
    </row>
    <row r="860" customFormat="false" ht="15" hidden="false" customHeight="false" outlineLevel="0" collapsed="false">
      <c r="A860" s="37" t="s">
        <v>207</v>
      </c>
      <c r="B860" s="37" t="s">
        <v>210</v>
      </c>
      <c r="C860" s="37" t="s">
        <v>178</v>
      </c>
      <c r="D860" s="37" t="s">
        <v>7</v>
      </c>
      <c r="E860" s="38" t="n">
        <f aca="false">'Matrice des notes'!D30</f>
        <v>4</v>
      </c>
      <c r="F860" s="37" t="s">
        <v>837</v>
      </c>
      <c r="G860" s="39" t="s">
        <v>838</v>
      </c>
    </row>
    <row r="861" customFormat="false" ht="15" hidden="false" customHeight="false" outlineLevel="0" collapsed="false">
      <c r="A861" s="37" t="s">
        <v>207</v>
      </c>
      <c r="B861" s="37" t="s">
        <v>210</v>
      </c>
      <c r="C861" s="37" t="s">
        <v>178</v>
      </c>
      <c r="D861" s="37" t="s">
        <v>11</v>
      </c>
      <c r="E861" s="38" t="n">
        <f aca="false">'Matrice des notes'!E30</f>
        <v>1</v>
      </c>
      <c r="F861" s="37" t="s">
        <v>839</v>
      </c>
      <c r="G861" s="39" t="s">
        <v>840</v>
      </c>
    </row>
    <row r="862" customFormat="false" ht="15" hidden="false" customHeight="false" outlineLevel="0" collapsed="false">
      <c r="A862" s="37" t="s">
        <v>207</v>
      </c>
      <c r="B862" s="37" t="s">
        <v>210</v>
      </c>
      <c r="C862" s="37" t="s">
        <v>178</v>
      </c>
      <c r="D862" s="37" t="s">
        <v>14</v>
      </c>
      <c r="E862" s="38" t="n">
        <f aca="false">'Matrice des notes'!F30</f>
        <v>1</v>
      </c>
      <c r="F862" s="37" t="s">
        <v>677</v>
      </c>
      <c r="G862" s="39" t="s">
        <v>841</v>
      </c>
    </row>
    <row r="863" customFormat="false" ht="15" hidden="false" customHeight="false" outlineLevel="0" collapsed="false">
      <c r="A863" s="37" t="s">
        <v>207</v>
      </c>
      <c r="B863" s="37" t="s">
        <v>210</v>
      </c>
      <c r="C863" s="37" t="s">
        <v>178</v>
      </c>
      <c r="D863" s="37" t="s">
        <v>17</v>
      </c>
      <c r="E863" s="38" t="n">
        <f aca="false">'Matrice des notes'!G30</f>
        <v>1</v>
      </c>
      <c r="F863" s="37" t="s">
        <v>842</v>
      </c>
      <c r="G863" s="39" t="s">
        <v>843</v>
      </c>
    </row>
    <row r="864" customFormat="false" ht="15" hidden="false" customHeight="false" outlineLevel="0" collapsed="false">
      <c r="A864" s="37" t="s">
        <v>207</v>
      </c>
      <c r="B864" s="37" t="s">
        <v>210</v>
      </c>
      <c r="C864" s="37" t="s">
        <v>178</v>
      </c>
      <c r="D864" s="37" t="s">
        <v>20</v>
      </c>
      <c r="E864" s="38" t="n">
        <f aca="false">'Matrice des notes'!H30</f>
        <v>1</v>
      </c>
      <c r="F864" s="37" t="s">
        <v>839</v>
      </c>
      <c r="G864" s="39" t="s">
        <v>844</v>
      </c>
    </row>
    <row r="865" customFormat="false" ht="15" hidden="false" customHeight="false" outlineLevel="0" collapsed="false">
      <c r="A865" s="37" t="s">
        <v>207</v>
      </c>
      <c r="B865" s="37" t="s">
        <v>210</v>
      </c>
      <c r="C865" s="37" t="s">
        <v>178</v>
      </c>
      <c r="D865" s="37" t="s">
        <v>23</v>
      </c>
      <c r="E865" s="38" t="n">
        <f aca="false">'Matrice des notes'!I30</f>
        <v>1</v>
      </c>
      <c r="F865" s="37" t="s">
        <v>839</v>
      </c>
      <c r="G865" s="39" t="s">
        <v>845</v>
      </c>
    </row>
    <row r="866" customFormat="false" ht="15" hidden="false" customHeight="false" outlineLevel="0" collapsed="false">
      <c r="A866" s="37" t="s">
        <v>207</v>
      </c>
      <c r="B866" s="37" t="s">
        <v>210</v>
      </c>
      <c r="C866" s="37" t="s">
        <v>178</v>
      </c>
      <c r="D866" s="37" t="s">
        <v>26</v>
      </c>
      <c r="E866" s="38" t="n">
        <f aca="false">'Matrice des notes'!J30</f>
        <v>1</v>
      </c>
      <c r="F866" s="37" t="s">
        <v>835</v>
      </c>
      <c r="G866" s="39" t="s">
        <v>846</v>
      </c>
    </row>
    <row r="867" customFormat="false" ht="15" hidden="false" customHeight="false" outlineLevel="0" collapsed="false">
      <c r="A867" s="37" t="s">
        <v>207</v>
      </c>
      <c r="B867" s="37" t="s">
        <v>210</v>
      </c>
      <c r="C867" s="37" t="s">
        <v>178</v>
      </c>
      <c r="D867" s="37" t="s">
        <v>30</v>
      </c>
      <c r="E867" s="38" t="n">
        <f aca="false">'Matrice des notes'!K30</f>
        <v>1</v>
      </c>
      <c r="F867" s="37" t="s">
        <v>677</v>
      </c>
      <c r="G867" s="39" t="s">
        <v>847</v>
      </c>
    </row>
    <row r="868" customFormat="false" ht="15" hidden="false" customHeight="false" outlineLevel="0" collapsed="false">
      <c r="A868" s="37" t="s">
        <v>207</v>
      </c>
      <c r="B868" s="37" t="s">
        <v>210</v>
      </c>
      <c r="C868" s="37" t="s">
        <v>178</v>
      </c>
      <c r="D868" s="37" t="s">
        <v>34</v>
      </c>
      <c r="E868" s="38" t="n">
        <f aca="false">'Matrice des notes'!L30</f>
        <v>4</v>
      </c>
      <c r="F868" s="37" t="s">
        <v>810</v>
      </c>
      <c r="G868" s="39" t="s">
        <v>848</v>
      </c>
    </row>
    <row r="869" customFormat="false" ht="15" hidden="false" customHeight="false" outlineLevel="0" collapsed="false">
      <c r="A869" s="37" t="s">
        <v>207</v>
      </c>
      <c r="B869" s="37" t="s">
        <v>210</v>
      </c>
      <c r="C869" s="37" t="s">
        <v>178</v>
      </c>
      <c r="D869" s="37" t="s">
        <v>37</v>
      </c>
      <c r="E869" s="38" t="n">
        <f aca="false">'Matrice des notes'!M30</f>
        <v>1</v>
      </c>
      <c r="F869" s="37" t="s">
        <v>812</v>
      </c>
      <c r="G869" s="39" t="s">
        <v>813</v>
      </c>
    </row>
    <row r="870" customFormat="false" ht="15" hidden="false" customHeight="false" outlineLevel="0" collapsed="false">
      <c r="A870" s="37" t="s">
        <v>207</v>
      </c>
      <c r="B870" s="37" t="s">
        <v>210</v>
      </c>
      <c r="C870" s="37" t="s">
        <v>178</v>
      </c>
      <c r="D870" s="37" t="s">
        <v>40</v>
      </c>
      <c r="E870" s="38" t="n">
        <f aca="false">'Matrice des notes'!N30</f>
        <v>1</v>
      </c>
      <c r="F870" s="37" t="s">
        <v>849</v>
      </c>
      <c r="G870" s="39" t="s">
        <v>850</v>
      </c>
    </row>
    <row r="871" customFormat="false" ht="15" hidden="false" customHeight="false" outlineLevel="0" collapsed="false">
      <c r="A871" s="37" t="s">
        <v>207</v>
      </c>
      <c r="B871" s="37" t="s">
        <v>210</v>
      </c>
      <c r="C871" s="37" t="s">
        <v>178</v>
      </c>
      <c r="D871" s="37" t="s">
        <v>43</v>
      </c>
      <c r="E871" s="38" t="n">
        <f aca="false">'Matrice des notes'!O30</f>
        <v>2</v>
      </c>
      <c r="F871" s="37" t="s">
        <v>816</v>
      </c>
      <c r="G871" s="39" t="s">
        <v>817</v>
      </c>
    </row>
    <row r="872" customFormat="false" ht="15" hidden="false" customHeight="false" outlineLevel="0" collapsed="false">
      <c r="A872" s="37" t="s">
        <v>207</v>
      </c>
      <c r="B872" s="37" t="s">
        <v>210</v>
      </c>
      <c r="C872" s="37" t="s">
        <v>178</v>
      </c>
      <c r="D872" s="37" t="s">
        <v>46</v>
      </c>
      <c r="E872" s="38" t="n">
        <f aca="false">'Matrice des notes'!P30</f>
        <v>1</v>
      </c>
      <c r="F872" s="37" t="s">
        <v>839</v>
      </c>
      <c r="G872" s="39" t="s">
        <v>851</v>
      </c>
    </row>
    <row r="873" customFormat="false" ht="15" hidden="false" customHeight="false" outlineLevel="0" collapsed="false">
      <c r="A873" s="37" t="s">
        <v>207</v>
      </c>
      <c r="B873" s="37" t="s">
        <v>210</v>
      </c>
      <c r="C873" s="37" t="s">
        <v>179</v>
      </c>
      <c r="D873" s="37" t="s">
        <v>49</v>
      </c>
      <c r="E873" s="38" t="n">
        <f aca="false">'Matrice des notes'!Q30</f>
        <v>2</v>
      </c>
      <c r="F873" s="37" t="s">
        <v>852</v>
      </c>
      <c r="G873" s="39" t="s">
        <v>853</v>
      </c>
    </row>
    <row r="874" customFormat="false" ht="15" hidden="false" customHeight="false" outlineLevel="0" collapsed="false">
      <c r="A874" s="37" t="s">
        <v>207</v>
      </c>
      <c r="B874" s="37" t="s">
        <v>210</v>
      </c>
      <c r="C874" s="37" t="s">
        <v>179</v>
      </c>
      <c r="D874" s="37" t="s">
        <v>53</v>
      </c>
      <c r="E874" s="38" t="n">
        <f aca="false">'Matrice des notes'!R30</f>
        <v>4</v>
      </c>
      <c r="F874" s="37" t="s">
        <v>810</v>
      </c>
      <c r="G874" s="39" t="s">
        <v>848</v>
      </c>
    </row>
    <row r="875" customFormat="false" ht="15" hidden="false" customHeight="false" outlineLevel="0" collapsed="false">
      <c r="A875" s="37" t="s">
        <v>207</v>
      </c>
      <c r="B875" s="37" t="s">
        <v>210</v>
      </c>
      <c r="C875" s="37" t="s">
        <v>179</v>
      </c>
      <c r="D875" s="37" t="s">
        <v>56</v>
      </c>
      <c r="E875" s="38" t="n">
        <f aca="false">'Matrice des notes'!S30</f>
        <v>1</v>
      </c>
      <c r="F875" s="37" t="s">
        <v>839</v>
      </c>
      <c r="G875" s="39" t="s">
        <v>854</v>
      </c>
    </row>
    <row r="876" customFormat="false" ht="15" hidden="false" customHeight="false" outlineLevel="0" collapsed="false">
      <c r="A876" s="37" t="s">
        <v>207</v>
      </c>
      <c r="B876" s="37" t="s">
        <v>210</v>
      </c>
      <c r="C876" s="37" t="s">
        <v>179</v>
      </c>
      <c r="D876" s="37" t="s">
        <v>59</v>
      </c>
      <c r="E876" s="38" t="n">
        <f aca="false">'Matrice des notes'!T30</f>
        <v>1</v>
      </c>
      <c r="F876" s="37" t="s">
        <v>839</v>
      </c>
      <c r="G876" s="39" t="s">
        <v>855</v>
      </c>
    </row>
    <row r="877" customFormat="false" ht="15" hidden="false" customHeight="false" outlineLevel="0" collapsed="false">
      <c r="A877" s="37" t="s">
        <v>207</v>
      </c>
      <c r="B877" s="37" t="s">
        <v>210</v>
      </c>
      <c r="C877" s="37" t="s">
        <v>179</v>
      </c>
      <c r="D877" s="37" t="s">
        <v>62</v>
      </c>
      <c r="E877" s="38" t="n">
        <f aca="false">'Matrice des notes'!U30</f>
        <v>2</v>
      </c>
      <c r="F877" s="37" t="s">
        <v>852</v>
      </c>
      <c r="G877" s="39" t="s">
        <v>856</v>
      </c>
    </row>
    <row r="878" customFormat="false" ht="15" hidden="false" customHeight="false" outlineLevel="0" collapsed="false">
      <c r="A878" s="37" t="s">
        <v>207</v>
      </c>
      <c r="B878" s="37" t="s">
        <v>210</v>
      </c>
      <c r="C878" s="37" t="s">
        <v>179</v>
      </c>
      <c r="D878" s="37" t="s">
        <v>65</v>
      </c>
      <c r="E878" s="38" t="n">
        <f aca="false">'Matrice des notes'!V30</f>
        <v>4</v>
      </c>
      <c r="F878" s="37" t="s">
        <v>810</v>
      </c>
      <c r="G878" s="39" t="s">
        <v>848</v>
      </c>
    </row>
    <row r="879" customFormat="false" ht="15" hidden="false" customHeight="false" outlineLevel="0" collapsed="false">
      <c r="A879" s="37" t="s">
        <v>207</v>
      </c>
      <c r="B879" s="37" t="s">
        <v>210</v>
      </c>
      <c r="C879" s="37" t="s">
        <v>179</v>
      </c>
      <c r="D879" s="37" t="s">
        <v>68</v>
      </c>
      <c r="E879" s="38" t="n">
        <f aca="false">'Matrice des notes'!W30</f>
        <v>2</v>
      </c>
      <c r="F879" s="37" t="s">
        <v>827</v>
      </c>
      <c r="G879" s="39" t="s">
        <v>828</v>
      </c>
    </row>
    <row r="880" customFormat="false" ht="15" hidden="false" customHeight="false" outlineLevel="0" collapsed="false">
      <c r="A880" s="37" t="s">
        <v>207</v>
      </c>
      <c r="B880" s="37" t="s">
        <v>210</v>
      </c>
      <c r="C880" s="37" t="s">
        <v>179</v>
      </c>
      <c r="D880" s="37" t="s">
        <v>71</v>
      </c>
      <c r="E880" s="38" t="n">
        <f aca="false">'Matrice des notes'!X30</f>
        <v>1</v>
      </c>
      <c r="F880" s="37" t="s">
        <v>708</v>
      </c>
      <c r="G880" s="39" t="s">
        <v>857</v>
      </c>
    </row>
    <row r="881" customFormat="false" ht="15" hidden="false" customHeight="false" outlineLevel="0" collapsed="false">
      <c r="A881" s="37" t="s">
        <v>207</v>
      </c>
      <c r="B881" s="37" t="s">
        <v>210</v>
      </c>
      <c r="C881" s="37" t="s">
        <v>179</v>
      </c>
      <c r="D881" s="37" t="s">
        <v>74</v>
      </c>
      <c r="E881" s="38" t="n">
        <f aca="false">'Matrice des notes'!Y30</f>
        <v>4</v>
      </c>
      <c r="F881" s="37" t="s">
        <v>837</v>
      </c>
      <c r="G881" s="39" t="s">
        <v>838</v>
      </c>
    </row>
    <row r="882" customFormat="false" ht="15" hidden="false" customHeight="false" outlineLevel="0" collapsed="false">
      <c r="A882" s="37" t="s">
        <v>207</v>
      </c>
      <c r="B882" s="37" t="s">
        <v>210</v>
      </c>
      <c r="C882" s="37" t="s">
        <v>179</v>
      </c>
      <c r="D882" s="37" t="s">
        <v>77</v>
      </c>
      <c r="E882" s="38" t="n">
        <f aca="false">'Matrice des notes'!Z30</f>
        <v>1</v>
      </c>
      <c r="F882" s="37" t="s">
        <v>842</v>
      </c>
      <c r="G882" s="39" t="s">
        <v>858</v>
      </c>
    </row>
    <row r="883" customFormat="false" ht="15" hidden="false" customHeight="false" outlineLevel="0" collapsed="false">
      <c r="A883" s="37" t="s">
        <v>207</v>
      </c>
      <c r="B883" s="37" t="s">
        <v>210</v>
      </c>
      <c r="C883" s="37" t="s">
        <v>179</v>
      </c>
      <c r="D883" s="37" t="s">
        <v>80</v>
      </c>
      <c r="E883" s="38" t="n">
        <f aca="false">'Matrice des notes'!AA30</f>
        <v>4</v>
      </c>
      <c r="F883" s="37" t="s">
        <v>859</v>
      </c>
      <c r="G883" s="39" t="s">
        <v>860</v>
      </c>
    </row>
    <row r="884" customFormat="false" ht="15" hidden="false" customHeight="false" outlineLevel="0" collapsed="false">
      <c r="A884" s="37" t="s">
        <v>207</v>
      </c>
      <c r="B884" s="37" t="s">
        <v>210</v>
      </c>
      <c r="C884" s="37" t="s">
        <v>179</v>
      </c>
      <c r="D884" s="37" t="s">
        <v>83</v>
      </c>
      <c r="E884" s="38" t="n">
        <f aca="false">'Matrice des notes'!AB30</f>
        <v>3</v>
      </c>
      <c r="F884" s="37" t="s">
        <v>712</v>
      </c>
      <c r="G884" s="39" t="s">
        <v>713</v>
      </c>
    </row>
    <row r="885" customFormat="false" ht="15" hidden="false" customHeight="false" outlineLevel="0" collapsed="false">
      <c r="A885" s="37" t="s">
        <v>207</v>
      </c>
      <c r="B885" s="37" t="s">
        <v>210</v>
      </c>
      <c r="C885" s="37" t="s">
        <v>179</v>
      </c>
      <c r="D885" s="37" t="s">
        <v>86</v>
      </c>
      <c r="E885" s="38" t="n">
        <f aca="false">'Matrice des notes'!AC30</f>
        <v>4</v>
      </c>
      <c r="F885" s="37" t="s">
        <v>861</v>
      </c>
      <c r="G885" s="39" t="s">
        <v>862</v>
      </c>
    </row>
    <row r="886" customFormat="false" ht="15" hidden="false" customHeight="false" outlineLevel="0" collapsed="false">
      <c r="A886" s="37" t="s">
        <v>207</v>
      </c>
      <c r="B886" s="37" t="s">
        <v>210</v>
      </c>
      <c r="C886" s="37" t="s">
        <v>179</v>
      </c>
      <c r="D886" s="37" t="s">
        <v>89</v>
      </c>
      <c r="E886" s="38" t="n">
        <f aca="false">'Matrice des notes'!AD30</f>
        <v>4</v>
      </c>
      <c r="F886" s="37" t="s">
        <v>810</v>
      </c>
      <c r="G886" s="39" t="s">
        <v>848</v>
      </c>
    </row>
    <row r="887" customFormat="false" ht="15" hidden="false" customHeight="false" outlineLevel="0" collapsed="false">
      <c r="A887" s="37" t="s">
        <v>207</v>
      </c>
      <c r="B887" s="37" t="s">
        <v>210</v>
      </c>
      <c r="C887" s="37" t="s">
        <v>179</v>
      </c>
      <c r="D887" s="37" t="s">
        <v>92</v>
      </c>
      <c r="E887" s="38" t="n">
        <f aca="false">'Matrice des notes'!AE30</f>
        <v>3</v>
      </c>
      <c r="F887" s="37" t="s">
        <v>708</v>
      </c>
      <c r="G887" s="39" t="s">
        <v>714</v>
      </c>
    </row>
    <row r="888" customFormat="false" ht="15" hidden="false" customHeight="false" outlineLevel="0" collapsed="false">
      <c r="A888" s="37" t="s">
        <v>207</v>
      </c>
      <c r="B888" s="37" t="s">
        <v>210</v>
      </c>
      <c r="C888" s="37" t="s">
        <v>180</v>
      </c>
      <c r="D888" s="37" t="s">
        <v>95</v>
      </c>
      <c r="E888" s="38" t="n">
        <f aca="false">'Matrice des notes'!AF30</f>
        <v>1</v>
      </c>
      <c r="F888" s="37" t="s">
        <v>631</v>
      </c>
      <c r="G888" s="39" t="s">
        <v>654</v>
      </c>
    </row>
    <row r="889" customFormat="false" ht="15" hidden="false" customHeight="false" outlineLevel="0" collapsed="false">
      <c r="A889" s="37" t="s">
        <v>207</v>
      </c>
      <c r="B889" s="37" t="s">
        <v>210</v>
      </c>
      <c r="C889" s="37" t="s">
        <v>180</v>
      </c>
      <c r="D889" s="37" t="s">
        <v>99</v>
      </c>
      <c r="E889" s="38" t="n">
        <f aca="false">'Matrice des notes'!AG30</f>
        <v>1</v>
      </c>
      <c r="F889" s="37" t="s">
        <v>655</v>
      </c>
      <c r="G889" s="39" t="s">
        <v>656</v>
      </c>
    </row>
    <row r="890" customFormat="false" ht="15" hidden="false" customHeight="false" outlineLevel="0" collapsed="false">
      <c r="A890" s="37" t="s">
        <v>207</v>
      </c>
      <c r="B890" s="37" t="s">
        <v>210</v>
      </c>
      <c r="C890" s="37" t="s">
        <v>180</v>
      </c>
      <c r="D890" s="37" t="s">
        <v>102</v>
      </c>
      <c r="E890" s="38" t="n">
        <f aca="false">'Matrice des notes'!AH30</f>
        <v>1</v>
      </c>
      <c r="F890" s="37" t="s">
        <v>655</v>
      </c>
      <c r="G890" s="39" t="s">
        <v>656</v>
      </c>
    </row>
    <row r="891" customFormat="false" ht="15" hidden="false" customHeight="false" outlineLevel="0" collapsed="false">
      <c r="A891" s="37" t="s">
        <v>207</v>
      </c>
      <c r="B891" s="37" t="s">
        <v>210</v>
      </c>
      <c r="C891" s="37" t="s">
        <v>180</v>
      </c>
      <c r="D891" s="37" t="s">
        <v>104</v>
      </c>
      <c r="E891" s="38" t="n">
        <f aca="false">'Matrice des notes'!AI30</f>
        <v>1</v>
      </c>
      <c r="F891" s="37" t="s">
        <v>631</v>
      </c>
      <c r="G891" s="39" t="s">
        <v>654</v>
      </c>
    </row>
    <row r="892" customFormat="false" ht="15" hidden="false" customHeight="false" outlineLevel="0" collapsed="false">
      <c r="A892" s="37" t="s">
        <v>207</v>
      </c>
      <c r="B892" s="37" t="s">
        <v>210</v>
      </c>
      <c r="C892" s="37" t="s">
        <v>180</v>
      </c>
      <c r="D892" s="37" t="s">
        <v>107</v>
      </c>
      <c r="E892" s="38" t="n">
        <f aca="false">'Matrice des notes'!AJ30</f>
        <v>1</v>
      </c>
      <c r="F892" s="37" t="s">
        <v>631</v>
      </c>
      <c r="G892" s="39" t="s">
        <v>654</v>
      </c>
    </row>
    <row r="893" customFormat="false" ht="15" hidden="false" customHeight="false" outlineLevel="0" collapsed="false">
      <c r="A893" s="37" t="s">
        <v>207</v>
      </c>
      <c r="B893" s="37" t="s">
        <v>210</v>
      </c>
      <c r="C893" s="37" t="s">
        <v>180</v>
      </c>
      <c r="D893" s="37" t="s">
        <v>110</v>
      </c>
      <c r="E893" s="38" t="n">
        <f aca="false">'Matrice des notes'!AK30</f>
        <v>1</v>
      </c>
      <c r="F893" s="37" t="s">
        <v>631</v>
      </c>
      <c r="G893" s="39" t="s">
        <v>654</v>
      </c>
    </row>
    <row r="894" customFormat="false" ht="15" hidden="false" customHeight="false" outlineLevel="0" collapsed="false">
      <c r="A894" s="37" t="s">
        <v>207</v>
      </c>
      <c r="B894" s="37" t="s">
        <v>210</v>
      </c>
      <c r="C894" s="37" t="s">
        <v>180</v>
      </c>
      <c r="D894" s="37" t="s">
        <v>113</v>
      </c>
      <c r="E894" s="38" t="n">
        <f aca="false">'Matrice des notes'!AL30</f>
        <v>1</v>
      </c>
      <c r="F894" s="37" t="s">
        <v>631</v>
      </c>
      <c r="G894" s="39" t="s">
        <v>654</v>
      </c>
    </row>
    <row r="895" customFormat="false" ht="15" hidden="false" customHeight="false" outlineLevel="0" collapsed="false">
      <c r="A895" s="37" t="s">
        <v>207</v>
      </c>
      <c r="B895" s="37" t="s">
        <v>210</v>
      </c>
      <c r="C895" s="37" t="s">
        <v>180</v>
      </c>
      <c r="D895" s="37" t="s">
        <v>116</v>
      </c>
      <c r="E895" s="38" t="n">
        <f aca="false">'Matrice des notes'!AM30</f>
        <v>1</v>
      </c>
      <c r="F895" s="37" t="s">
        <v>655</v>
      </c>
      <c r="G895" s="39" t="s">
        <v>656</v>
      </c>
    </row>
    <row r="896" customFormat="false" ht="15" hidden="false" customHeight="false" outlineLevel="0" collapsed="false">
      <c r="A896" s="37" t="s">
        <v>207</v>
      </c>
      <c r="B896" s="37" t="s">
        <v>210</v>
      </c>
      <c r="C896" s="37" t="s">
        <v>180</v>
      </c>
      <c r="D896" s="37" t="s">
        <v>119</v>
      </c>
      <c r="E896" s="38" t="n">
        <f aca="false">'Matrice des notes'!AN30</f>
        <v>1</v>
      </c>
      <c r="F896" s="37" t="s">
        <v>631</v>
      </c>
      <c r="G896" s="39" t="s">
        <v>654</v>
      </c>
    </row>
    <row r="897" customFormat="false" ht="15" hidden="false" customHeight="false" outlineLevel="0" collapsed="false">
      <c r="A897" s="37" t="s">
        <v>207</v>
      </c>
      <c r="B897" s="37" t="s">
        <v>210</v>
      </c>
      <c r="C897" s="37" t="s">
        <v>180</v>
      </c>
      <c r="D897" s="37" t="s">
        <v>121</v>
      </c>
      <c r="E897" s="38" t="n">
        <f aca="false">'Matrice des notes'!AO30</f>
        <v>1</v>
      </c>
      <c r="F897" s="37" t="s">
        <v>657</v>
      </c>
      <c r="G897" s="39" t="s">
        <v>658</v>
      </c>
    </row>
    <row r="898" customFormat="false" ht="15" hidden="false" customHeight="false" outlineLevel="0" collapsed="false">
      <c r="A898" s="37" t="s">
        <v>207</v>
      </c>
      <c r="B898" s="37" t="s">
        <v>210</v>
      </c>
      <c r="C898" s="37" t="s">
        <v>180</v>
      </c>
      <c r="D898" s="37" t="s">
        <v>124</v>
      </c>
      <c r="E898" s="38" t="n">
        <f aca="false">'Matrice des notes'!AP30</f>
        <v>1</v>
      </c>
      <c r="F898" s="37" t="s">
        <v>863</v>
      </c>
      <c r="G898" s="39" t="s">
        <v>864</v>
      </c>
    </row>
    <row r="899" customFormat="false" ht="15" hidden="false" customHeight="false" outlineLevel="0" collapsed="false">
      <c r="A899" s="37" t="s">
        <v>207</v>
      </c>
      <c r="B899" s="37" t="s">
        <v>211</v>
      </c>
      <c r="C899" s="37" t="s">
        <v>178</v>
      </c>
      <c r="D899" s="37" t="s">
        <v>7</v>
      </c>
      <c r="E899" s="38" t="n">
        <f aca="false">'Matrice des notes'!D31</f>
        <v>2</v>
      </c>
      <c r="F899" s="37" t="s">
        <v>720</v>
      </c>
      <c r="G899" s="39" t="s">
        <v>721</v>
      </c>
    </row>
    <row r="900" customFormat="false" ht="15" hidden="false" customHeight="false" outlineLevel="0" collapsed="false">
      <c r="A900" s="37" t="s">
        <v>207</v>
      </c>
      <c r="B900" s="37" t="s">
        <v>211</v>
      </c>
      <c r="C900" s="37" t="s">
        <v>178</v>
      </c>
      <c r="D900" s="37" t="s">
        <v>11</v>
      </c>
      <c r="E900" s="38" t="n">
        <f aca="false">'Matrice des notes'!E31</f>
        <v>1</v>
      </c>
      <c r="F900" s="37" t="s">
        <v>839</v>
      </c>
      <c r="G900" s="39" t="s">
        <v>840</v>
      </c>
    </row>
    <row r="901" customFormat="false" ht="15" hidden="false" customHeight="false" outlineLevel="0" collapsed="false">
      <c r="A901" s="37" t="s">
        <v>207</v>
      </c>
      <c r="B901" s="37" t="s">
        <v>211</v>
      </c>
      <c r="C901" s="37" t="s">
        <v>178</v>
      </c>
      <c r="D901" s="37" t="s">
        <v>14</v>
      </c>
      <c r="E901" s="38" t="n">
        <f aca="false">'Matrice des notes'!F31</f>
        <v>1</v>
      </c>
      <c r="F901" s="37" t="s">
        <v>677</v>
      </c>
      <c r="G901" s="39" t="s">
        <v>841</v>
      </c>
    </row>
    <row r="902" customFormat="false" ht="15" hidden="false" customHeight="false" outlineLevel="0" collapsed="false">
      <c r="A902" s="37" t="s">
        <v>207</v>
      </c>
      <c r="B902" s="37" t="s">
        <v>211</v>
      </c>
      <c r="C902" s="37" t="s">
        <v>178</v>
      </c>
      <c r="D902" s="37" t="s">
        <v>17</v>
      </c>
      <c r="E902" s="38" t="n">
        <f aca="false">'Matrice des notes'!G31</f>
        <v>1</v>
      </c>
      <c r="F902" s="37" t="s">
        <v>842</v>
      </c>
      <c r="G902" s="39" t="s">
        <v>843</v>
      </c>
    </row>
    <row r="903" customFormat="false" ht="15" hidden="false" customHeight="false" outlineLevel="0" collapsed="false">
      <c r="A903" s="37" t="s">
        <v>207</v>
      </c>
      <c r="B903" s="37" t="s">
        <v>211</v>
      </c>
      <c r="C903" s="37" t="s">
        <v>178</v>
      </c>
      <c r="D903" s="37" t="s">
        <v>20</v>
      </c>
      <c r="E903" s="38" t="n">
        <f aca="false">'Matrice des notes'!H31</f>
        <v>1</v>
      </c>
      <c r="F903" s="37" t="s">
        <v>839</v>
      </c>
      <c r="G903" s="39" t="s">
        <v>844</v>
      </c>
    </row>
    <row r="904" customFormat="false" ht="15" hidden="false" customHeight="false" outlineLevel="0" collapsed="false">
      <c r="A904" s="37" t="s">
        <v>207</v>
      </c>
      <c r="B904" s="37" t="s">
        <v>211</v>
      </c>
      <c r="C904" s="37" t="s">
        <v>178</v>
      </c>
      <c r="D904" s="37" t="s">
        <v>23</v>
      </c>
      <c r="E904" s="38" t="n">
        <f aca="false">'Matrice des notes'!I31</f>
        <v>1</v>
      </c>
      <c r="F904" s="37" t="s">
        <v>839</v>
      </c>
      <c r="G904" s="39" t="s">
        <v>845</v>
      </c>
    </row>
    <row r="905" customFormat="false" ht="15" hidden="false" customHeight="false" outlineLevel="0" collapsed="false">
      <c r="A905" s="37" t="s">
        <v>207</v>
      </c>
      <c r="B905" s="37" t="s">
        <v>211</v>
      </c>
      <c r="C905" s="37" t="s">
        <v>178</v>
      </c>
      <c r="D905" s="37" t="s">
        <v>26</v>
      </c>
      <c r="E905" s="38" t="n">
        <f aca="false">'Matrice des notes'!J31</f>
        <v>1</v>
      </c>
      <c r="F905" s="37" t="s">
        <v>835</v>
      </c>
      <c r="G905" s="39" t="s">
        <v>846</v>
      </c>
    </row>
    <row r="906" customFormat="false" ht="15" hidden="false" customHeight="false" outlineLevel="0" collapsed="false">
      <c r="A906" s="37" t="s">
        <v>207</v>
      </c>
      <c r="B906" s="37" t="s">
        <v>211</v>
      </c>
      <c r="C906" s="37" t="s">
        <v>178</v>
      </c>
      <c r="D906" s="37" t="s">
        <v>30</v>
      </c>
      <c r="E906" s="38" t="n">
        <f aca="false">'Matrice des notes'!K31</f>
        <v>1</v>
      </c>
      <c r="F906" s="37" t="s">
        <v>677</v>
      </c>
      <c r="G906" s="39" t="s">
        <v>847</v>
      </c>
    </row>
    <row r="907" customFormat="false" ht="15" hidden="false" customHeight="false" outlineLevel="0" collapsed="false">
      <c r="A907" s="37" t="s">
        <v>207</v>
      </c>
      <c r="B907" s="37" t="s">
        <v>211</v>
      </c>
      <c r="C907" s="37" t="s">
        <v>178</v>
      </c>
      <c r="D907" s="37" t="s">
        <v>34</v>
      </c>
      <c r="E907" s="38" t="n">
        <f aca="false">'Matrice des notes'!L31</f>
        <v>4</v>
      </c>
      <c r="F907" s="37" t="s">
        <v>810</v>
      </c>
      <c r="G907" s="39" t="s">
        <v>865</v>
      </c>
    </row>
    <row r="908" customFormat="false" ht="15" hidden="false" customHeight="false" outlineLevel="0" collapsed="false">
      <c r="A908" s="37" t="s">
        <v>207</v>
      </c>
      <c r="B908" s="37" t="s">
        <v>211</v>
      </c>
      <c r="C908" s="37" t="s">
        <v>178</v>
      </c>
      <c r="D908" s="37" t="s">
        <v>37</v>
      </c>
      <c r="E908" s="38" t="n">
        <f aca="false">'Matrice des notes'!M31</f>
        <v>1</v>
      </c>
      <c r="F908" s="37" t="s">
        <v>812</v>
      </c>
      <c r="G908" s="39" t="s">
        <v>813</v>
      </c>
    </row>
    <row r="909" customFormat="false" ht="15" hidden="false" customHeight="false" outlineLevel="0" collapsed="false">
      <c r="A909" s="37" t="s">
        <v>207</v>
      </c>
      <c r="B909" s="37" t="s">
        <v>211</v>
      </c>
      <c r="C909" s="37" t="s">
        <v>178</v>
      </c>
      <c r="D909" s="37" t="s">
        <v>40</v>
      </c>
      <c r="E909" s="38" t="n">
        <f aca="false">'Matrice des notes'!N31</f>
        <v>1</v>
      </c>
      <c r="F909" s="37" t="s">
        <v>849</v>
      </c>
      <c r="G909" s="39" t="s">
        <v>850</v>
      </c>
    </row>
    <row r="910" customFormat="false" ht="15" hidden="false" customHeight="false" outlineLevel="0" collapsed="false">
      <c r="A910" s="37" t="s">
        <v>207</v>
      </c>
      <c r="B910" s="37" t="s">
        <v>211</v>
      </c>
      <c r="C910" s="37" t="s">
        <v>178</v>
      </c>
      <c r="D910" s="37" t="s">
        <v>43</v>
      </c>
      <c r="E910" s="38" t="n">
        <f aca="false">'Matrice des notes'!O31</f>
        <v>1</v>
      </c>
      <c r="F910" s="37" t="s">
        <v>816</v>
      </c>
      <c r="G910" s="39" t="s">
        <v>866</v>
      </c>
    </row>
    <row r="911" customFormat="false" ht="15" hidden="false" customHeight="false" outlineLevel="0" collapsed="false">
      <c r="A911" s="37" t="s">
        <v>207</v>
      </c>
      <c r="B911" s="37" t="s">
        <v>211</v>
      </c>
      <c r="C911" s="37" t="s">
        <v>178</v>
      </c>
      <c r="D911" s="37" t="s">
        <v>46</v>
      </c>
      <c r="E911" s="38" t="n">
        <f aca="false">'Matrice des notes'!P31</f>
        <v>1</v>
      </c>
      <c r="F911" s="37" t="s">
        <v>839</v>
      </c>
      <c r="G911" s="39" t="s">
        <v>851</v>
      </c>
    </row>
    <row r="912" customFormat="false" ht="22.35" hidden="false" customHeight="false" outlineLevel="0" collapsed="false">
      <c r="A912" s="37" t="s">
        <v>207</v>
      </c>
      <c r="B912" s="37" t="s">
        <v>211</v>
      </c>
      <c r="C912" s="37" t="s">
        <v>179</v>
      </c>
      <c r="D912" s="37" t="s">
        <v>49</v>
      </c>
      <c r="E912" s="38" t="n">
        <f aca="false">'Matrice des notes'!Q31</f>
        <v>1</v>
      </c>
      <c r="F912" s="37" t="s">
        <v>867</v>
      </c>
      <c r="G912" s="39" t="s">
        <v>868</v>
      </c>
    </row>
    <row r="913" customFormat="false" ht="15" hidden="false" customHeight="false" outlineLevel="0" collapsed="false">
      <c r="A913" s="37" t="s">
        <v>207</v>
      </c>
      <c r="B913" s="37" t="s">
        <v>211</v>
      </c>
      <c r="C913" s="37" t="s">
        <v>179</v>
      </c>
      <c r="D913" s="37" t="s">
        <v>53</v>
      </c>
      <c r="E913" s="38" t="n">
        <f aca="false">'Matrice des notes'!R31</f>
        <v>4</v>
      </c>
      <c r="F913" s="37" t="s">
        <v>810</v>
      </c>
      <c r="G913" s="39" t="s">
        <v>865</v>
      </c>
    </row>
    <row r="914" customFormat="false" ht="15" hidden="false" customHeight="false" outlineLevel="0" collapsed="false">
      <c r="A914" s="37" t="s">
        <v>207</v>
      </c>
      <c r="B914" s="37" t="s">
        <v>211</v>
      </c>
      <c r="C914" s="37" t="s">
        <v>179</v>
      </c>
      <c r="D914" s="37" t="s">
        <v>56</v>
      </c>
      <c r="E914" s="38" t="n">
        <f aca="false">'Matrice des notes'!S31</f>
        <v>1</v>
      </c>
      <c r="F914" s="37" t="s">
        <v>839</v>
      </c>
      <c r="G914" s="39" t="s">
        <v>854</v>
      </c>
    </row>
    <row r="915" customFormat="false" ht="15" hidden="false" customHeight="false" outlineLevel="0" collapsed="false">
      <c r="A915" s="37" t="s">
        <v>207</v>
      </c>
      <c r="B915" s="37" t="s">
        <v>211</v>
      </c>
      <c r="C915" s="37" t="s">
        <v>179</v>
      </c>
      <c r="D915" s="37" t="s">
        <v>59</v>
      </c>
      <c r="E915" s="38" t="n">
        <f aca="false">'Matrice des notes'!T31</f>
        <v>1</v>
      </c>
      <c r="F915" s="37" t="s">
        <v>839</v>
      </c>
      <c r="G915" s="39" t="s">
        <v>855</v>
      </c>
    </row>
    <row r="916" customFormat="false" ht="22.35" hidden="false" customHeight="false" outlineLevel="0" collapsed="false">
      <c r="A916" s="37" t="s">
        <v>207</v>
      </c>
      <c r="B916" s="37" t="s">
        <v>211</v>
      </c>
      <c r="C916" s="37" t="s">
        <v>179</v>
      </c>
      <c r="D916" s="37" t="s">
        <v>62</v>
      </c>
      <c r="E916" s="38" t="n">
        <f aca="false">'Matrice des notes'!U31</f>
        <v>1</v>
      </c>
      <c r="F916" s="37" t="s">
        <v>867</v>
      </c>
      <c r="G916" s="39" t="s">
        <v>869</v>
      </c>
    </row>
    <row r="917" customFormat="false" ht="15" hidden="false" customHeight="false" outlineLevel="0" collapsed="false">
      <c r="A917" s="37" t="s">
        <v>207</v>
      </c>
      <c r="B917" s="37" t="s">
        <v>211</v>
      </c>
      <c r="C917" s="37" t="s">
        <v>179</v>
      </c>
      <c r="D917" s="37" t="s">
        <v>65</v>
      </c>
      <c r="E917" s="38" t="n">
        <f aca="false">'Matrice des notes'!V31</f>
        <v>5</v>
      </c>
      <c r="F917" s="37" t="s">
        <v>870</v>
      </c>
      <c r="G917" s="39" t="s">
        <v>871</v>
      </c>
    </row>
    <row r="918" customFormat="false" ht="15" hidden="false" customHeight="false" outlineLevel="0" collapsed="false">
      <c r="A918" s="37" t="s">
        <v>207</v>
      </c>
      <c r="B918" s="37" t="s">
        <v>211</v>
      </c>
      <c r="C918" s="37" t="s">
        <v>179</v>
      </c>
      <c r="D918" s="37" t="s">
        <v>68</v>
      </c>
      <c r="E918" s="38" t="n">
        <f aca="false">'Matrice des notes'!W31</f>
        <v>1</v>
      </c>
      <c r="F918" s="37" t="s">
        <v>827</v>
      </c>
      <c r="G918" s="39" t="s">
        <v>872</v>
      </c>
    </row>
    <row r="919" customFormat="false" ht="15" hidden="false" customHeight="false" outlineLevel="0" collapsed="false">
      <c r="A919" s="37" t="s">
        <v>207</v>
      </c>
      <c r="B919" s="37" t="s">
        <v>211</v>
      </c>
      <c r="C919" s="37" t="s">
        <v>179</v>
      </c>
      <c r="D919" s="37" t="s">
        <v>71</v>
      </c>
      <c r="E919" s="38" t="n">
        <f aca="false">'Matrice des notes'!X31</f>
        <v>1</v>
      </c>
      <c r="F919" s="37" t="s">
        <v>708</v>
      </c>
      <c r="G919" s="39" t="s">
        <v>857</v>
      </c>
    </row>
    <row r="920" customFormat="false" ht="15" hidden="false" customHeight="false" outlineLevel="0" collapsed="false">
      <c r="A920" s="37" t="s">
        <v>207</v>
      </c>
      <c r="B920" s="37" t="s">
        <v>211</v>
      </c>
      <c r="C920" s="37" t="s">
        <v>179</v>
      </c>
      <c r="D920" s="37" t="s">
        <v>74</v>
      </c>
      <c r="E920" s="38" t="n">
        <f aca="false">'Matrice des notes'!Y31</f>
        <v>4</v>
      </c>
      <c r="F920" s="37" t="s">
        <v>837</v>
      </c>
      <c r="G920" s="39" t="s">
        <v>873</v>
      </c>
    </row>
    <row r="921" customFormat="false" ht="15" hidden="false" customHeight="false" outlineLevel="0" collapsed="false">
      <c r="A921" s="37" t="s">
        <v>207</v>
      </c>
      <c r="B921" s="37" t="s">
        <v>211</v>
      </c>
      <c r="C921" s="37" t="s">
        <v>179</v>
      </c>
      <c r="D921" s="37" t="s">
        <v>77</v>
      </c>
      <c r="E921" s="38" t="n">
        <f aca="false">'Matrice des notes'!Z31</f>
        <v>1</v>
      </c>
      <c r="F921" s="37" t="s">
        <v>842</v>
      </c>
      <c r="G921" s="39" t="s">
        <v>858</v>
      </c>
    </row>
    <row r="922" customFormat="false" ht="15" hidden="false" customHeight="false" outlineLevel="0" collapsed="false">
      <c r="A922" s="37" t="s">
        <v>207</v>
      </c>
      <c r="B922" s="37" t="s">
        <v>211</v>
      </c>
      <c r="C922" s="37" t="s">
        <v>179</v>
      </c>
      <c r="D922" s="37" t="s">
        <v>80</v>
      </c>
      <c r="E922" s="38" t="n">
        <f aca="false">'Matrice des notes'!AA31</f>
        <v>5</v>
      </c>
      <c r="F922" s="37" t="s">
        <v>874</v>
      </c>
      <c r="G922" s="39" t="s">
        <v>875</v>
      </c>
    </row>
    <row r="923" customFormat="false" ht="15" hidden="false" customHeight="false" outlineLevel="0" collapsed="false">
      <c r="A923" s="37" t="s">
        <v>207</v>
      </c>
      <c r="B923" s="37" t="s">
        <v>211</v>
      </c>
      <c r="C923" s="37" t="s">
        <v>179</v>
      </c>
      <c r="D923" s="37" t="s">
        <v>83</v>
      </c>
      <c r="E923" s="38" t="n">
        <f aca="false">'Matrice des notes'!AB31</f>
        <v>3</v>
      </c>
      <c r="F923" s="37" t="s">
        <v>712</v>
      </c>
      <c r="G923" s="39" t="s">
        <v>713</v>
      </c>
    </row>
    <row r="924" customFormat="false" ht="15" hidden="false" customHeight="false" outlineLevel="0" collapsed="false">
      <c r="A924" s="37" t="s">
        <v>207</v>
      </c>
      <c r="B924" s="37" t="s">
        <v>211</v>
      </c>
      <c r="C924" s="37" t="s">
        <v>179</v>
      </c>
      <c r="D924" s="37" t="s">
        <v>86</v>
      </c>
      <c r="E924" s="38" t="n">
        <f aca="false">'Matrice des notes'!AC31</f>
        <v>5</v>
      </c>
      <c r="F924" s="37" t="s">
        <v>876</v>
      </c>
      <c r="G924" s="39" t="s">
        <v>877</v>
      </c>
    </row>
    <row r="925" customFormat="false" ht="15" hidden="false" customHeight="false" outlineLevel="0" collapsed="false">
      <c r="A925" s="37" t="s">
        <v>207</v>
      </c>
      <c r="B925" s="37" t="s">
        <v>211</v>
      </c>
      <c r="C925" s="37" t="s">
        <v>179</v>
      </c>
      <c r="D925" s="37" t="s">
        <v>89</v>
      </c>
      <c r="E925" s="38" t="n">
        <f aca="false">'Matrice des notes'!AD31</f>
        <v>5</v>
      </c>
      <c r="F925" s="37" t="s">
        <v>878</v>
      </c>
      <c r="G925" s="39" t="s">
        <v>879</v>
      </c>
    </row>
    <row r="926" customFormat="false" ht="15" hidden="false" customHeight="false" outlineLevel="0" collapsed="false">
      <c r="A926" s="37" t="s">
        <v>207</v>
      </c>
      <c r="B926" s="37" t="s">
        <v>211</v>
      </c>
      <c r="C926" s="37" t="s">
        <v>179</v>
      </c>
      <c r="D926" s="37" t="s">
        <v>92</v>
      </c>
      <c r="E926" s="38" t="n">
        <f aca="false">'Matrice des notes'!AE31</f>
        <v>3</v>
      </c>
      <c r="F926" s="37" t="s">
        <v>708</v>
      </c>
      <c r="G926" s="39" t="s">
        <v>714</v>
      </c>
    </row>
    <row r="927" customFormat="false" ht="15" hidden="false" customHeight="false" outlineLevel="0" collapsed="false">
      <c r="A927" s="37" t="s">
        <v>207</v>
      </c>
      <c r="B927" s="37" t="s">
        <v>211</v>
      </c>
      <c r="C927" s="37" t="s">
        <v>180</v>
      </c>
      <c r="D927" s="37" t="s">
        <v>95</v>
      </c>
      <c r="E927" s="38" t="n">
        <f aca="false">'Matrice des notes'!AF31</f>
        <v>1</v>
      </c>
      <c r="F927" s="37" t="s">
        <v>631</v>
      </c>
      <c r="G927" s="39" t="s">
        <v>654</v>
      </c>
    </row>
    <row r="928" customFormat="false" ht="15" hidden="false" customHeight="false" outlineLevel="0" collapsed="false">
      <c r="A928" s="37" t="s">
        <v>207</v>
      </c>
      <c r="B928" s="37" t="s">
        <v>211</v>
      </c>
      <c r="C928" s="37" t="s">
        <v>180</v>
      </c>
      <c r="D928" s="37" t="s">
        <v>99</v>
      </c>
      <c r="E928" s="38" t="n">
        <f aca="false">'Matrice des notes'!AG31</f>
        <v>1</v>
      </c>
      <c r="F928" s="37" t="s">
        <v>655</v>
      </c>
      <c r="G928" s="39" t="s">
        <v>656</v>
      </c>
    </row>
    <row r="929" customFormat="false" ht="15" hidden="false" customHeight="false" outlineLevel="0" collapsed="false">
      <c r="A929" s="37" t="s">
        <v>207</v>
      </c>
      <c r="B929" s="37" t="s">
        <v>211</v>
      </c>
      <c r="C929" s="37" t="s">
        <v>180</v>
      </c>
      <c r="D929" s="37" t="s">
        <v>102</v>
      </c>
      <c r="E929" s="38" t="n">
        <f aca="false">'Matrice des notes'!AH31</f>
        <v>1</v>
      </c>
      <c r="F929" s="37" t="s">
        <v>655</v>
      </c>
      <c r="G929" s="39" t="s">
        <v>656</v>
      </c>
    </row>
    <row r="930" customFormat="false" ht="15" hidden="false" customHeight="false" outlineLevel="0" collapsed="false">
      <c r="A930" s="37" t="s">
        <v>207</v>
      </c>
      <c r="B930" s="37" t="s">
        <v>211</v>
      </c>
      <c r="C930" s="37" t="s">
        <v>180</v>
      </c>
      <c r="D930" s="37" t="s">
        <v>104</v>
      </c>
      <c r="E930" s="38" t="n">
        <f aca="false">'Matrice des notes'!AI31</f>
        <v>1</v>
      </c>
      <c r="F930" s="37" t="s">
        <v>631</v>
      </c>
      <c r="G930" s="39" t="s">
        <v>654</v>
      </c>
    </row>
    <row r="931" customFormat="false" ht="15" hidden="false" customHeight="false" outlineLevel="0" collapsed="false">
      <c r="A931" s="37" t="s">
        <v>207</v>
      </c>
      <c r="B931" s="37" t="s">
        <v>211</v>
      </c>
      <c r="C931" s="37" t="s">
        <v>180</v>
      </c>
      <c r="D931" s="37" t="s">
        <v>107</v>
      </c>
      <c r="E931" s="38" t="n">
        <f aca="false">'Matrice des notes'!AJ31</f>
        <v>1</v>
      </c>
      <c r="F931" s="37" t="s">
        <v>631</v>
      </c>
      <c r="G931" s="39" t="s">
        <v>654</v>
      </c>
    </row>
    <row r="932" customFormat="false" ht="15" hidden="false" customHeight="false" outlineLevel="0" collapsed="false">
      <c r="A932" s="37" t="s">
        <v>207</v>
      </c>
      <c r="B932" s="37" t="s">
        <v>211</v>
      </c>
      <c r="C932" s="37" t="s">
        <v>180</v>
      </c>
      <c r="D932" s="37" t="s">
        <v>110</v>
      </c>
      <c r="E932" s="38" t="n">
        <f aca="false">'Matrice des notes'!AK31</f>
        <v>1</v>
      </c>
      <c r="F932" s="37" t="s">
        <v>631</v>
      </c>
      <c r="G932" s="39" t="s">
        <v>654</v>
      </c>
    </row>
    <row r="933" customFormat="false" ht="15" hidden="false" customHeight="false" outlineLevel="0" collapsed="false">
      <c r="A933" s="37" t="s">
        <v>207</v>
      </c>
      <c r="B933" s="37" t="s">
        <v>211</v>
      </c>
      <c r="C933" s="37" t="s">
        <v>180</v>
      </c>
      <c r="D933" s="37" t="s">
        <v>113</v>
      </c>
      <c r="E933" s="38" t="n">
        <f aca="false">'Matrice des notes'!AL31</f>
        <v>1</v>
      </c>
      <c r="F933" s="37" t="s">
        <v>631</v>
      </c>
      <c r="G933" s="39" t="s">
        <v>654</v>
      </c>
    </row>
    <row r="934" customFormat="false" ht="15" hidden="false" customHeight="false" outlineLevel="0" collapsed="false">
      <c r="A934" s="37" t="s">
        <v>207</v>
      </c>
      <c r="B934" s="37" t="s">
        <v>211</v>
      </c>
      <c r="C934" s="37" t="s">
        <v>180</v>
      </c>
      <c r="D934" s="37" t="s">
        <v>116</v>
      </c>
      <c r="E934" s="38" t="n">
        <f aca="false">'Matrice des notes'!AM31</f>
        <v>1</v>
      </c>
      <c r="F934" s="37" t="s">
        <v>655</v>
      </c>
      <c r="G934" s="39" t="s">
        <v>656</v>
      </c>
    </row>
    <row r="935" customFormat="false" ht="15" hidden="false" customHeight="false" outlineLevel="0" collapsed="false">
      <c r="A935" s="37" t="s">
        <v>207</v>
      </c>
      <c r="B935" s="37" t="s">
        <v>211</v>
      </c>
      <c r="C935" s="37" t="s">
        <v>180</v>
      </c>
      <c r="D935" s="37" t="s">
        <v>119</v>
      </c>
      <c r="E935" s="38" t="n">
        <f aca="false">'Matrice des notes'!AN31</f>
        <v>1</v>
      </c>
      <c r="F935" s="37" t="s">
        <v>631</v>
      </c>
      <c r="G935" s="39" t="s">
        <v>654</v>
      </c>
    </row>
    <row r="936" customFormat="false" ht="15" hidden="false" customHeight="false" outlineLevel="0" collapsed="false">
      <c r="A936" s="37" t="s">
        <v>207</v>
      </c>
      <c r="B936" s="37" t="s">
        <v>211</v>
      </c>
      <c r="C936" s="37" t="s">
        <v>180</v>
      </c>
      <c r="D936" s="37" t="s">
        <v>121</v>
      </c>
      <c r="E936" s="38" t="n">
        <f aca="false">'Matrice des notes'!AO31</f>
        <v>1</v>
      </c>
      <c r="F936" s="37" t="s">
        <v>657</v>
      </c>
      <c r="G936" s="39" t="s">
        <v>658</v>
      </c>
    </row>
    <row r="937" customFormat="false" ht="15" hidden="false" customHeight="false" outlineLevel="0" collapsed="false">
      <c r="A937" s="37" t="s">
        <v>207</v>
      </c>
      <c r="B937" s="37" t="s">
        <v>211</v>
      </c>
      <c r="C937" s="37" t="s">
        <v>180</v>
      </c>
      <c r="D937" s="37" t="s">
        <v>124</v>
      </c>
      <c r="E937" s="38" t="n">
        <f aca="false">'Matrice des notes'!AP31</f>
        <v>3</v>
      </c>
      <c r="F937" s="37" t="s">
        <v>659</v>
      </c>
      <c r="G937" s="39" t="s">
        <v>880</v>
      </c>
    </row>
    <row r="938" customFormat="false" ht="15" hidden="false" customHeight="false" outlineLevel="0" collapsed="false">
      <c r="A938" s="37" t="s">
        <v>207</v>
      </c>
      <c r="B938" s="37" t="s">
        <v>212</v>
      </c>
      <c r="C938" s="37" t="s">
        <v>178</v>
      </c>
      <c r="D938" s="37" t="s">
        <v>7</v>
      </c>
      <c r="E938" s="38" t="n">
        <f aca="false">'Matrice des notes'!D32</f>
        <v>4</v>
      </c>
      <c r="F938" s="37" t="s">
        <v>837</v>
      </c>
      <c r="G938" s="39" t="s">
        <v>881</v>
      </c>
    </row>
    <row r="939" customFormat="false" ht="15" hidden="false" customHeight="false" outlineLevel="0" collapsed="false">
      <c r="A939" s="37" t="s">
        <v>207</v>
      </c>
      <c r="B939" s="37" t="s">
        <v>212</v>
      </c>
      <c r="C939" s="37" t="s">
        <v>178</v>
      </c>
      <c r="D939" s="37" t="s">
        <v>11</v>
      </c>
      <c r="E939" s="38" t="n">
        <f aca="false">'Matrice des notes'!E32</f>
        <v>2</v>
      </c>
      <c r="F939" s="37" t="s">
        <v>799</v>
      </c>
      <c r="G939" s="39" t="s">
        <v>800</v>
      </c>
    </row>
    <row r="940" customFormat="false" ht="15" hidden="false" customHeight="false" outlineLevel="0" collapsed="false">
      <c r="A940" s="37" t="s">
        <v>207</v>
      </c>
      <c r="B940" s="37" t="s">
        <v>212</v>
      </c>
      <c r="C940" s="37" t="s">
        <v>178</v>
      </c>
      <c r="D940" s="37" t="s">
        <v>14</v>
      </c>
      <c r="E940" s="38" t="n">
        <f aca="false">'Matrice des notes'!F32</f>
        <v>2</v>
      </c>
      <c r="F940" s="37" t="s">
        <v>801</v>
      </c>
      <c r="G940" s="39" t="s">
        <v>802</v>
      </c>
    </row>
    <row r="941" customFormat="false" ht="15" hidden="false" customHeight="false" outlineLevel="0" collapsed="false">
      <c r="A941" s="37" t="s">
        <v>207</v>
      </c>
      <c r="B941" s="37" t="s">
        <v>212</v>
      </c>
      <c r="C941" s="37" t="s">
        <v>178</v>
      </c>
      <c r="D941" s="37" t="s">
        <v>17</v>
      </c>
      <c r="E941" s="38" t="n">
        <f aca="false">'Matrice des notes'!G32</f>
        <v>2</v>
      </c>
      <c r="F941" s="37" t="s">
        <v>803</v>
      </c>
      <c r="G941" s="39" t="s">
        <v>804</v>
      </c>
    </row>
    <row r="942" customFormat="false" ht="15" hidden="false" customHeight="false" outlineLevel="0" collapsed="false">
      <c r="A942" s="37" t="s">
        <v>207</v>
      </c>
      <c r="B942" s="37" t="s">
        <v>212</v>
      </c>
      <c r="C942" s="37" t="s">
        <v>178</v>
      </c>
      <c r="D942" s="37" t="s">
        <v>20</v>
      </c>
      <c r="E942" s="38" t="n">
        <f aca="false">'Matrice des notes'!H32</f>
        <v>2</v>
      </c>
      <c r="F942" s="37" t="s">
        <v>799</v>
      </c>
      <c r="G942" s="39" t="s">
        <v>805</v>
      </c>
    </row>
    <row r="943" customFormat="false" ht="15" hidden="false" customHeight="false" outlineLevel="0" collapsed="false">
      <c r="A943" s="37" t="s">
        <v>207</v>
      </c>
      <c r="B943" s="37" t="s">
        <v>212</v>
      </c>
      <c r="C943" s="37" t="s">
        <v>178</v>
      </c>
      <c r="D943" s="37" t="s">
        <v>23</v>
      </c>
      <c r="E943" s="38" t="n">
        <f aca="false">'Matrice des notes'!I32</f>
        <v>2</v>
      </c>
      <c r="F943" s="37" t="s">
        <v>799</v>
      </c>
      <c r="G943" s="39" t="s">
        <v>806</v>
      </c>
    </row>
    <row r="944" customFormat="false" ht="15" hidden="false" customHeight="false" outlineLevel="0" collapsed="false">
      <c r="A944" s="37" t="s">
        <v>207</v>
      </c>
      <c r="B944" s="37" t="s">
        <v>212</v>
      </c>
      <c r="C944" s="37" t="s">
        <v>178</v>
      </c>
      <c r="D944" s="37" t="s">
        <v>26</v>
      </c>
      <c r="E944" s="38" t="n">
        <f aca="false">'Matrice des notes'!J32</f>
        <v>2</v>
      </c>
      <c r="F944" s="37" t="s">
        <v>807</v>
      </c>
      <c r="G944" s="39" t="s">
        <v>808</v>
      </c>
    </row>
    <row r="945" customFormat="false" ht="15" hidden="false" customHeight="false" outlineLevel="0" collapsed="false">
      <c r="A945" s="37" t="s">
        <v>207</v>
      </c>
      <c r="B945" s="37" t="s">
        <v>212</v>
      </c>
      <c r="C945" s="37" t="s">
        <v>178</v>
      </c>
      <c r="D945" s="37" t="s">
        <v>30</v>
      </c>
      <c r="E945" s="38" t="n">
        <f aca="false">'Matrice des notes'!K32</f>
        <v>2</v>
      </c>
      <c r="F945" s="37" t="s">
        <v>801</v>
      </c>
      <c r="G945" s="39" t="s">
        <v>809</v>
      </c>
    </row>
    <row r="946" customFormat="false" ht="15" hidden="false" customHeight="false" outlineLevel="0" collapsed="false">
      <c r="A946" s="37" t="s">
        <v>207</v>
      </c>
      <c r="B946" s="37" t="s">
        <v>212</v>
      </c>
      <c r="C946" s="37" t="s">
        <v>178</v>
      </c>
      <c r="D946" s="37" t="s">
        <v>34</v>
      </c>
      <c r="E946" s="38" t="n">
        <f aca="false">'Matrice des notes'!L32</f>
        <v>4</v>
      </c>
      <c r="F946" s="37" t="s">
        <v>882</v>
      </c>
      <c r="G946" s="39" t="s">
        <v>883</v>
      </c>
    </row>
    <row r="947" customFormat="false" ht="15" hidden="false" customHeight="false" outlineLevel="0" collapsed="false">
      <c r="A947" s="37" t="s">
        <v>207</v>
      </c>
      <c r="B947" s="37" t="s">
        <v>212</v>
      </c>
      <c r="C947" s="37" t="s">
        <v>178</v>
      </c>
      <c r="D947" s="37" t="s">
        <v>37</v>
      </c>
      <c r="E947" s="38" t="n">
        <f aca="false">'Matrice des notes'!M32</f>
        <v>1</v>
      </c>
      <c r="F947" s="37" t="s">
        <v>812</v>
      </c>
      <c r="G947" s="39" t="s">
        <v>813</v>
      </c>
    </row>
    <row r="948" customFormat="false" ht="15" hidden="false" customHeight="false" outlineLevel="0" collapsed="false">
      <c r="A948" s="37" t="s">
        <v>207</v>
      </c>
      <c r="B948" s="37" t="s">
        <v>212</v>
      </c>
      <c r="C948" s="37" t="s">
        <v>178</v>
      </c>
      <c r="D948" s="37" t="s">
        <v>40</v>
      </c>
      <c r="E948" s="38" t="n">
        <f aca="false">'Matrice des notes'!N32</f>
        <v>2</v>
      </c>
      <c r="F948" s="37" t="s">
        <v>814</v>
      </c>
      <c r="G948" s="39" t="s">
        <v>815</v>
      </c>
    </row>
    <row r="949" customFormat="false" ht="15" hidden="false" customHeight="false" outlineLevel="0" collapsed="false">
      <c r="A949" s="37" t="s">
        <v>207</v>
      </c>
      <c r="B949" s="37" t="s">
        <v>212</v>
      </c>
      <c r="C949" s="37" t="s">
        <v>178</v>
      </c>
      <c r="D949" s="37" t="s">
        <v>43</v>
      </c>
      <c r="E949" s="38" t="n">
        <f aca="false">'Matrice des notes'!O32</f>
        <v>2</v>
      </c>
      <c r="F949" s="37" t="s">
        <v>816</v>
      </c>
      <c r="G949" s="39" t="s">
        <v>817</v>
      </c>
    </row>
    <row r="950" customFormat="false" ht="15" hidden="false" customHeight="false" outlineLevel="0" collapsed="false">
      <c r="A950" s="37" t="s">
        <v>207</v>
      </c>
      <c r="B950" s="37" t="s">
        <v>212</v>
      </c>
      <c r="C950" s="37" t="s">
        <v>178</v>
      </c>
      <c r="D950" s="37" t="s">
        <v>46</v>
      </c>
      <c r="E950" s="38" t="n">
        <f aca="false">'Matrice des notes'!P32</f>
        <v>2</v>
      </c>
      <c r="F950" s="37" t="s">
        <v>799</v>
      </c>
      <c r="G950" s="39" t="s">
        <v>818</v>
      </c>
    </row>
    <row r="951" customFormat="false" ht="22.35" hidden="false" customHeight="false" outlineLevel="0" collapsed="false">
      <c r="A951" s="37" t="s">
        <v>207</v>
      </c>
      <c r="B951" s="37" t="s">
        <v>212</v>
      </c>
      <c r="C951" s="37" t="s">
        <v>179</v>
      </c>
      <c r="D951" s="37" t="s">
        <v>49</v>
      </c>
      <c r="E951" s="38" t="n">
        <f aca="false">'Matrice des notes'!Q32</f>
        <v>1</v>
      </c>
      <c r="F951" s="37" t="s">
        <v>867</v>
      </c>
      <c r="G951" s="39" t="s">
        <v>868</v>
      </c>
    </row>
    <row r="952" customFormat="false" ht="15" hidden="false" customHeight="false" outlineLevel="0" collapsed="false">
      <c r="A952" s="37" t="s">
        <v>207</v>
      </c>
      <c r="B952" s="37" t="s">
        <v>212</v>
      </c>
      <c r="C952" s="37" t="s">
        <v>179</v>
      </c>
      <c r="D952" s="37" t="s">
        <v>53</v>
      </c>
      <c r="E952" s="38" t="n">
        <f aca="false">'Matrice des notes'!R32</f>
        <v>4</v>
      </c>
      <c r="F952" s="37" t="s">
        <v>810</v>
      </c>
      <c r="G952" s="39" t="s">
        <v>884</v>
      </c>
    </row>
    <row r="953" customFormat="false" ht="15" hidden="false" customHeight="false" outlineLevel="0" collapsed="false">
      <c r="A953" s="37" t="s">
        <v>207</v>
      </c>
      <c r="B953" s="37" t="s">
        <v>212</v>
      </c>
      <c r="C953" s="37" t="s">
        <v>179</v>
      </c>
      <c r="D953" s="37" t="s">
        <v>56</v>
      </c>
      <c r="E953" s="38" t="n">
        <f aca="false">'Matrice des notes'!S32</f>
        <v>2</v>
      </c>
      <c r="F953" s="37" t="s">
        <v>799</v>
      </c>
      <c r="G953" s="39" t="s">
        <v>823</v>
      </c>
    </row>
    <row r="954" customFormat="false" ht="15" hidden="false" customHeight="false" outlineLevel="0" collapsed="false">
      <c r="A954" s="37" t="s">
        <v>207</v>
      </c>
      <c r="B954" s="37" t="s">
        <v>212</v>
      </c>
      <c r="C954" s="37" t="s">
        <v>179</v>
      </c>
      <c r="D954" s="37" t="s">
        <v>59</v>
      </c>
      <c r="E954" s="38" t="n">
        <f aca="false">'Matrice des notes'!T32</f>
        <v>2</v>
      </c>
      <c r="F954" s="37" t="s">
        <v>799</v>
      </c>
      <c r="G954" s="39" t="s">
        <v>824</v>
      </c>
    </row>
    <row r="955" customFormat="false" ht="22.35" hidden="false" customHeight="false" outlineLevel="0" collapsed="false">
      <c r="A955" s="37" t="s">
        <v>207</v>
      </c>
      <c r="B955" s="37" t="s">
        <v>212</v>
      </c>
      <c r="C955" s="37" t="s">
        <v>179</v>
      </c>
      <c r="D955" s="37" t="s">
        <v>62</v>
      </c>
      <c r="E955" s="38" t="n">
        <f aca="false">'Matrice des notes'!U32</f>
        <v>1</v>
      </c>
      <c r="F955" s="37" t="s">
        <v>867</v>
      </c>
      <c r="G955" s="39" t="s">
        <v>869</v>
      </c>
    </row>
    <row r="956" customFormat="false" ht="15" hidden="false" customHeight="false" outlineLevel="0" collapsed="false">
      <c r="A956" s="37" t="s">
        <v>207</v>
      </c>
      <c r="B956" s="37" t="s">
        <v>212</v>
      </c>
      <c r="C956" s="37" t="s">
        <v>179</v>
      </c>
      <c r="D956" s="37" t="s">
        <v>65</v>
      </c>
      <c r="E956" s="38" t="n">
        <f aca="false">'Matrice des notes'!V32</f>
        <v>3</v>
      </c>
      <c r="F956" s="37" t="s">
        <v>637</v>
      </c>
      <c r="G956" s="39" t="s">
        <v>638</v>
      </c>
    </row>
    <row r="957" customFormat="false" ht="15" hidden="false" customHeight="false" outlineLevel="0" collapsed="false">
      <c r="A957" s="37" t="s">
        <v>207</v>
      </c>
      <c r="B957" s="37" t="s">
        <v>212</v>
      </c>
      <c r="C957" s="37" t="s">
        <v>179</v>
      </c>
      <c r="D957" s="37" t="s">
        <v>68</v>
      </c>
      <c r="E957" s="38" t="n">
        <f aca="false">'Matrice des notes'!W32</f>
        <v>2</v>
      </c>
      <c r="F957" s="37" t="s">
        <v>827</v>
      </c>
      <c r="G957" s="39" t="s">
        <v>828</v>
      </c>
    </row>
    <row r="958" customFormat="false" ht="15" hidden="false" customHeight="false" outlineLevel="0" collapsed="false">
      <c r="A958" s="37" t="s">
        <v>207</v>
      </c>
      <c r="B958" s="37" t="s">
        <v>212</v>
      </c>
      <c r="C958" s="37" t="s">
        <v>179</v>
      </c>
      <c r="D958" s="37" t="s">
        <v>71</v>
      </c>
      <c r="E958" s="38" t="n">
        <f aca="false">'Matrice des notes'!X32</f>
        <v>2</v>
      </c>
      <c r="F958" s="37" t="s">
        <v>718</v>
      </c>
      <c r="G958" s="39" t="s">
        <v>829</v>
      </c>
    </row>
    <row r="959" customFormat="false" ht="15" hidden="false" customHeight="false" outlineLevel="0" collapsed="false">
      <c r="A959" s="37" t="s">
        <v>207</v>
      </c>
      <c r="B959" s="37" t="s">
        <v>212</v>
      </c>
      <c r="C959" s="37" t="s">
        <v>179</v>
      </c>
      <c r="D959" s="37" t="s">
        <v>74</v>
      </c>
      <c r="E959" s="38" t="n">
        <f aca="false">'Matrice des notes'!Y32</f>
        <v>3</v>
      </c>
      <c r="F959" s="37" t="s">
        <v>637</v>
      </c>
      <c r="G959" s="39" t="s">
        <v>638</v>
      </c>
    </row>
    <row r="960" customFormat="false" ht="15" hidden="false" customHeight="false" outlineLevel="0" collapsed="false">
      <c r="A960" s="37" t="s">
        <v>207</v>
      </c>
      <c r="B960" s="37" t="s">
        <v>212</v>
      </c>
      <c r="C960" s="37" t="s">
        <v>179</v>
      </c>
      <c r="D960" s="37" t="s">
        <v>77</v>
      </c>
      <c r="E960" s="38" t="n">
        <f aca="false">'Matrice des notes'!Z32</f>
        <v>2</v>
      </c>
      <c r="F960" s="37" t="s">
        <v>803</v>
      </c>
      <c r="G960" s="39" t="s">
        <v>830</v>
      </c>
    </row>
    <row r="961" customFormat="false" ht="15" hidden="false" customHeight="false" outlineLevel="0" collapsed="false">
      <c r="A961" s="37" t="s">
        <v>207</v>
      </c>
      <c r="B961" s="37" t="s">
        <v>212</v>
      </c>
      <c r="C961" s="37" t="s">
        <v>179</v>
      </c>
      <c r="D961" s="37" t="s">
        <v>80</v>
      </c>
      <c r="E961" s="38" t="n">
        <f aca="false">'Matrice des notes'!AA32</f>
        <v>3</v>
      </c>
      <c r="F961" s="37" t="s">
        <v>637</v>
      </c>
      <c r="G961" s="39" t="s">
        <v>638</v>
      </c>
    </row>
    <row r="962" customFormat="false" ht="15" hidden="false" customHeight="false" outlineLevel="0" collapsed="false">
      <c r="A962" s="37" t="s">
        <v>207</v>
      </c>
      <c r="B962" s="37" t="s">
        <v>212</v>
      </c>
      <c r="C962" s="37" t="s">
        <v>179</v>
      </c>
      <c r="D962" s="37" t="s">
        <v>83</v>
      </c>
      <c r="E962" s="38" t="n">
        <f aca="false">'Matrice des notes'!AB32</f>
        <v>3</v>
      </c>
      <c r="F962" s="37" t="s">
        <v>712</v>
      </c>
      <c r="G962" s="39" t="s">
        <v>713</v>
      </c>
    </row>
    <row r="963" customFormat="false" ht="15" hidden="false" customHeight="false" outlineLevel="0" collapsed="false">
      <c r="A963" s="37" t="s">
        <v>207</v>
      </c>
      <c r="B963" s="37" t="s">
        <v>212</v>
      </c>
      <c r="C963" s="37" t="s">
        <v>179</v>
      </c>
      <c r="D963" s="37" t="s">
        <v>86</v>
      </c>
      <c r="E963" s="38" t="n">
        <f aca="false">'Matrice des notes'!AC32</f>
        <v>3</v>
      </c>
      <c r="F963" s="37" t="s">
        <v>637</v>
      </c>
      <c r="G963" s="39" t="s">
        <v>638</v>
      </c>
    </row>
    <row r="964" customFormat="false" ht="15" hidden="false" customHeight="false" outlineLevel="0" collapsed="false">
      <c r="A964" s="37" t="s">
        <v>207</v>
      </c>
      <c r="B964" s="37" t="s">
        <v>212</v>
      </c>
      <c r="C964" s="37" t="s">
        <v>179</v>
      </c>
      <c r="D964" s="37" t="s">
        <v>89</v>
      </c>
      <c r="E964" s="38" t="n">
        <f aca="false">'Matrice des notes'!AD32</f>
        <v>3</v>
      </c>
      <c r="F964" s="37" t="s">
        <v>637</v>
      </c>
      <c r="G964" s="39" t="s">
        <v>638</v>
      </c>
    </row>
    <row r="965" customFormat="false" ht="15" hidden="false" customHeight="false" outlineLevel="0" collapsed="false">
      <c r="A965" s="37" t="s">
        <v>207</v>
      </c>
      <c r="B965" s="37" t="s">
        <v>212</v>
      </c>
      <c r="C965" s="37" t="s">
        <v>179</v>
      </c>
      <c r="D965" s="37" t="s">
        <v>92</v>
      </c>
      <c r="E965" s="38" t="n">
        <f aca="false">'Matrice des notes'!AE32</f>
        <v>2</v>
      </c>
      <c r="F965" s="37" t="s">
        <v>718</v>
      </c>
      <c r="G965" s="39" t="s">
        <v>719</v>
      </c>
    </row>
    <row r="966" customFormat="false" ht="15" hidden="false" customHeight="false" outlineLevel="0" collapsed="false">
      <c r="A966" s="37" t="s">
        <v>207</v>
      </c>
      <c r="B966" s="37" t="s">
        <v>212</v>
      </c>
      <c r="C966" s="37" t="s">
        <v>180</v>
      </c>
      <c r="D966" s="37" t="s">
        <v>95</v>
      </c>
      <c r="E966" s="38" t="n">
        <f aca="false">'Matrice des notes'!AF32</f>
        <v>1</v>
      </c>
      <c r="F966" s="37" t="s">
        <v>631</v>
      </c>
      <c r="G966" s="39" t="s">
        <v>654</v>
      </c>
    </row>
    <row r="967" customFormat="false" ht="15" hidden="false" customHeight="false" outlineLevel="0" collapsed="false">
      <c r="A967" s="37" t="s">
        <v>207</v>
      </c>
      <c r="B967" s="37" t="s">
        <v>212</v>
      </c>
      <c r="C967" s="37" t="s">
        <v>180</v>
      </c>
      <c r="D967" s="37" t="s">
        <v>99</v>
      </c>
      <c r="E967" s="38" t="n">
        <f aca="false">'Matrice des notes'!AG32</f>
        <v>1</v>
      </c>
      <c r="F967" s="37" t="s">
        <v>655</v>
      </c>
      <c r="G967" s="39" t="s">
        <v>656</v>
      </c>
    </row>
    <row r="968" customFormat="false" ht="15" hidden="false" customHeight="false" outlineLevel="0" collapsed="false">
      <c r="A968" s="37" t="s">
        <v>207</v>
      </c>
      <c r="B968" s="37" t="s">
        <v>212</v>
      </c>
      <c r="C968" s="37" t="s">
        <v>180</v>
      </c>
      <c r="D968" s="37" t="s">
        <v>102</v>
      </c>
      <c r="E968" s="38" t="n">
        <f aca="false">'Matrice des notes'!AH32</f>
        <v>1</v>
      </c>
      <c r="F968" s="37" t="s">
        <v>655</v>
      </c>
      <c r="G968" s="39" t="s">
        <v>656</v>
      </c>
    </row>
    <row r="969" customFormat="false" ht="15" hidden="false" customHeight="false" outlineLevel="0" collapsed="false">
      <c r="A969" s="37" t="s">
        <v>207</v>
      </c>
      <c r="B969" s="37" t="s">
        <v>212</v>
      </c>
      <c r="C969" s="37" t="s">
        <v>180</v>
      </c>
      <c r="D969" s="37" t="s">
        <v>104</v>
      </c>
      <c r="E969" s="38" t="n">
        <f aca="false">'Matrice des notes'!AI32</f>
        <v>1</v>
      </c>
      <c r="F969" s="37" t="s">
        <v>631</v>
      </c>
      <c r="G969" s="39" t="s">
        <v>654</v>
      </c>
    </row>
    <row r="970" customFormat="false" ht="15" hidden="false" customHeight="false" outlineLevel="0" collapsed="false">
      <c r="A970" s="37" t="s">
        <v>207</v>
      </c>
      <c r="B970" s="37" t="s">
        <v>212</v>
      </c>
      <c r="C970" s="37" t="s">
        <v>180</v>
      </c>
      <c r="D970" s="37" t="s">
        <v>107</v>
      </c>
      <c r="E970" s="38" t="n">
        <f aca="false">'Matrice des notes'!AJ32</f>
        <v>1</v>
      </c>
      <c r="F970" s="37" t="s">
        <v>631</v>
      </c>
      <c r="G970" s="39" t="s">
        <v>654</v>
      </c>
    </row>
    <row r="971" customFormat="false" ht="15" hidden="false" customHeight="false" outlineLevel="0" collapsed="false">
      <c r="A971" s="37" t="s">
        <v>207</v>
      </c>
      <c r="B971" s="37" t="s">
        <v>212</v>
      </c>
      <c r="C971" s="37" t="s">
        <v>180</v>
      </c>
      <c r="D971" s="37" t="s">
        <v>110</v>
      </c>
      <c r="E971" s="38" t="n">
        <f aca="false">'Matrice des notes'!AK32</f>
        <v>1</v>
      </c>
      <c r="F971" s="37" t="s">
        <v>631</v>
      </c>
      <c r="G971" s="39" t="s">
        <v>654</v>
      </c>
    </row>
    <row r="972" customFormat="false" ht="15" hidden="false" customHeight="false" outlineLevel="0" collapsed="false">
      <c r="A972" s="37" t="s">
        <v>207</v>
      </c>
      <c r="B972" s="37" t="s">
        <v>212</v>
      </c>
      <c r="C972" s="37" t="s">
        <v>180</v>
      </c>
      <c r="D972" s="37" t="s">
        <v>113</v>
      </c>
      <c r="E972" s="38" t="n">
        <f aca="false">'Matrice des notes'!AL32</f>
        <v>1</v>
      </c>
      <c r="F972" s="37" t="s">
        <v>631</v>
      </c>
      <c r="G972" s="39" t="s">
        <v>654</v>
      </c>
    </row>
    <row r="973" customFormat="false" ht="15" hidden="false" customHeight="false" outlineLevel="0" collapsed="false">
      <c r="A973" s="37" t="s">
        <v>207</v>
      </c>
      <c r="B973" s="37" t="s">
        <v>212</v>
      </c>
      <c r="C973" s="37" t="s">
        <v>180</v>
      </c>
      <c r="D973" s="37" t="s">
        <v>116</v>
      </c>
      <c r="E973" s="38" t="n">
        <f aca="false">'Matrice des notes'!AM32</f>
        <v>1</v>
      </c>
      <c r="F973" s="37" t="s">
        <v>655</v>
      </c>
      <c r="G973" s="39" t="s">
        <v>656</v>
      </c>
    </row>
    <row r="974" customFormat="false" ht="15" hidden="false" customHeight="false" outlineLevel="0" collapsed="false">
      <c r="A974" s="37" t="s">
        <v>207</v>
      </c>
      <c r="B974" s="37" t="s">
        <v>212</v>
      </c>
      <c r="C974" s="37" t="s">
        <v>180</v>
      </c>
      <c r="D974" s="37" t="s">
        <v>119</v>
      </c>
      <c r="E974" s="38" t="n">
        <f aca="false">'Matrice des notes'!AN32</f>
        <v>1</v>
      </c>
      <c r="F974" s="37" t="s">
        <v>631</v>
      </c>
      <c r="G974" s="39" t="s">
        <v>654</v>
      </c>
    </row>
    <row r="975" customFormat="false" ht="15" hidden="false" customHeight="false" outlineLevel="0" collapsed="false">
      <c r="A975" s="37" t="s">
        <v>207</v>
      </c>
      <c r="B975" s="37" t="s">
        <v>212</v>
      </c>
      <c r="C975" s="37" t="s">
        <v>180</v>
      </c>
      <c r="D975" s="37" t="s">
        <v>121</v>
      </c>
      <c r="E975" s="38" t="n">
        <f aca="false">'Matrice des notes'!AO32</f>
        <v>1</v>
      </c>
      <c r="F975" s="37" t="s">
        <v>657</v>
      </c>
      <c r="G975" s="39" t="s">
        <v>658</v>
      </c>
    </row>
    <row r="976" customFormat="false" ht="15" hidden="false" customHeight="false" outlineLevel="0" collapsed="false">
      <c r="A976" s="37" t="s">
        <v>207</v>
      </c>
      <c r="B976" s="37" t="s">
        <v>212</v>
      </c>
      <c r="C976" s="37" t="s">
        <v>180</v>
      </c>
      <c r="D976" s="37" t="s">
        <v>124</v>
      </c>
      <c r="E976" s="38" t="n">
        <f aca="false">'Matrice des notes'!AP32</f>
        <v>1</v>
      </c>
      <c r="F976" s="37" t="s">
        <v>863</v>
      </c>
      <c r="G976" s="39" t="s">
        <v>864</v>
      </c>
    </row>
    <row r="977" customFormat="false" ht="15" hidden="false" customHeight="false" outlineLevel="0" collapsed="false">
      <c r="A977" s="37" t="s">
        <v>207</v>
      </c>
      <c r="B977" s="37" t="s">
        <v>213</v>
      </c>
      <c r="C977" s="37" t="s">
        <v>178</v>
      </c>
      <c r="D977" s="37" t="s">
        <v>7</v>
      </c>
      <c r="E977" s="38" t="n">
        <f aca="false">'Matrice des notes'!D33</f>
        <v>3</v>
      </c>
      <c r="F977" s="37" t="s">
        <v>673</v>
      </c>
      <c r="G977" s="39" t="s">
        <v>674</v>
      </c>
    </row>
    <row r="978" customFormat="false" ht="15" hidden="false" customHeight="false" outlineLevel="0" collapsed="false">
      <c r="A978" s="37" t="s">
        <v>207</v>
      </c>
      <c r="B978" s="37" t="s">
        <v>213</v>
      </c>
      <c r="C978" s="37" t="s">
        <v>178</v>
      </c>
      <c r="D978" s="37" t="s">
        <v>11</v>
      </c>
      <c r="E978" s="38" t="n">
        <f aca="false">'Matrice des notes'!E33</f>
        <v>1</v>
      </c>
      <c r="F978" s="37" t="s">
        <v>839</v>
      </c>
      <c r="G978" s="39" t="s">
        <v>840</v>
      </c>
    </row>
    <row r="979" customFormat="false" ht="15" hidden="false" customHeight="false" outlineLevel="0" collapsed="false">
      <c r="A979" s="37" t="s">
        <v>207</v>
      </c>
      <c r="B979" s="37" t="s">
        <v>213</v>
      </c>
      <c r="C979" s="37" t="s">
        <v>178</v>
      </c>
      <c r="D979" s="37" t="s">
        <v>14</v>
      </c>
      <c r="E979" s="38" t="n">
        <f aca="false">'Matrice des notes'!F33</f>
        <v>1</v>
      </c>
      <c r="F979" s="37" t="s">
        <v>677</v>
      </c>
      <c r="G979" s="39" t="s">
        <v>841</v>
      </c>
    </row>
    <row r="980" customFormat="false" ht="15" hidden="false" customHeight="false" outlineLevel="0" collapsed="false">
      <c r="A980" s="37" t="s">
        <v>207</v>
      </c>
      <c r="B980" s="37" t="s">
        <v>213</v>
      </c>
      <c r="C980" s="37" t="s">
        <v>178</v>
      </c>
      <c r="D980" s="37" t="s">
        <v>17</v>
      </c>
      <c r="E980" s="38" t="n">
        <f aca="false">'Matrice des notes'!G33</f>
        <v>1</v>
      </c>
      <c r="F980" s="37" t="s">
        <v>842</v>
      </c>
      <c r="G980" s="39" t="s">
        <v>843</v>
      </c>
    </row>
    <row r="981" customFormat="false" ht="15" hidden="false" customHeight="false" outlineLevel="0" collapsed="false">
      <c r="A981" s="37" t="s">
        <v>207</v>
      </c>
      <c r="B981" s="37" t="s">
        <v>213</v>
      </c>
      <c r="C981" s="37" t="s">
        <v>178</v>
      </c>
      <c r="D981" s="37" t="s">
        <v>20</v>
      </c>
      <c r="E981" s="38" t="n">
        <f aca="false">'Matrice des notes'!H33</f>
        <v>1</v>
      </c>
      <c r="F981" s="37" t="s">
        <v>839</v>
      </c>
      <c r="G981" s="39" t="s">
        <v>844</v>
      </c>
    </row>
    <row r="982" customFormat="false" ht="15" hidden="false" customHeight="false" outlineLevel="0" collapsed="false">
      <c r="A982" s="37" t="s">
        <v>207</v>
      </c>
      <c r="B982" s="37" t="s">
        <v>213</v>
      </c>
      <c r="C982" s="37" t="s">
        <v>178</v>
      </c>
      <c r="D982" s="37" t="s">
        <v>23</v>
      </c>
      <c r="E982" s="38" t="n">
        <f aca="false">'Matrice des notes'!I33</f>
        <v>1</v>
      </c>
      <c r="F982" s="37" t="s">
        <v>839</v>
      </c>
      <c r="G982" s="39" t="s">
        <v>845</v>
      </c>
    </row>
    <row r="983" customFormat="false" ht="15" hidden="false" customHeight="false" outlineLevel="0" collapsed="false">
      <c r="A983" s="37" t="s">
        <v>207</v>
      </c>
      <c r="B983" s="37" t="s">
        <v>213</v>
      </c>
      <c r="C983" s="37" t="s">
        <v>178</v>
      </c>
      <c r="D983" s="37" t="s">
        <v>26</v>
      </c>
      <c r="E983" s="38" t="n">
        <f aca="false">'Matrice des notes'!J33</f>
        <v>1</v>
      </c>
      <c r="F983" s="37" t="s">
        <v>835</v>
      </c>
      <c r="G983" s="39" t="s">
        <v>846</v>
      </c>
    </row>
    <row r="984" customFormat="false" ht="15" hidden="false" customHeight="false" outlineLevel="0" collapsed="false">
      <c r="A984" s="37" t="s">
        <v>207</v>
      </c>
      <c r="B984" s="37" t="s">
        <v>213</v>
      </c>
      <c r="C984" s="37" t="s">
        <v>178</v>
      </c>
      <c r="D984" s="37" t="s">
        <v>30</v>
      </c>
      <c r="E984" s="38" t="n">
        <f aca="false">'Matrice des notes'!K33</f>
        <v>1</v>
      </c>
      <c r="F984" s="37" t="s">
        <v>677</v>
      </c>
      <c r="G984" s="39" t="s">
        <v>847</v>
      </c>
    </row>
    <row r="985" customFormat="false" ht="22.35" hidden="false" customHeight="false" outlineLevel="0" collapsed="false">
      <c r="A985" s="37" t="s">
        <v>207</v>
      </c>
      <c r="B985" s="37" t="s">
        <v>213</v>
      </c>
      <c r="C985" s="37" t="s">
        <v>178</v>
      </c>
      <c r="D985" s="37" t="s">
        <v>34</v>
      </c>
      <c r="E985" s="38" t="n">
        <f aca="false">'Matrice des notes'!L33</f>
        <v>4</v>
      </c>
      <c r="F985" s="37" t="s">
        <v>885</v>
      </c>
      <c r="G985" s="39" t="s">
        <v>886</v>
      </c>
    </row>
    <row r="986" customFormat="false" ht="15" hidden="false" customHeight="false" outlineLevel="0" collapsed="false">
      <c r="A986" s="37" t="s">
        <v>207</v>
      </c>
      <c r="B986" s="37" t="s">
        <v>213</v>
      </c>
      <c r="C986" s="37" t="s">
        <v>178</v>
      </c>
      <c r="D986" s="37" t="s">
        <v>37</v>
      </c>
      <c r="E986" s="38" t="n">
        <f aca="false">'Matrice des notes'!M33</f>
        <v>1</v>
      </c>
      <c r="F986" s="37" t="s">
        <v>812</v>
      </c>
      <c r="G986" s="39" t="s">
        <v>813</v>
      </c>
    </row>
    <row r="987" customFormat="false" ht="15" hidden="false" customHeight="false" outlineLevel="0" collapsed="false">
      <c r="A987" s="37" t="s">
        <v>207</v>
      </c>
      <c r="B987" s="37" t="s">
        <v>213</v>
      </c>
      <c r="C987" s="37" t="s">
        <v>178</v>
      </c>
      <c r="D987" s="37" t="s">
        <v>40</v>
      </c>
      <c r="E987" s="38" t="n">
        <f aca="false">'Matrice des notes'!N33</f>
        <v>1</v>
      </c>
      <c r="F987" s="37" t="s">
        <v>849</v>
      </c>
      <c r="G987" s="39" t="s">
        <v>850</v>
      </c>
    </row>
    <row r="988" customFormat="false" ht="15" hidden="false" customHeight="false" outlineLevel="0" collapsed="false">
      <c r="A988" s="37" t="s">
        <v>207</v>
      </c>
      <c r="B988" s="37" t="s">
        <v>213</v>
      </c>
      <c r="C988" s="37" t="s">
        <v>178</v>
      </c>
      <c r="D988" s="37" t="s">
        <v>43</v>
      </c>
      <c r="E988" s="38" t="n">
        <f aca="false">'Matrice des notes'!O33</f>
        <v>2</v>
      </c>
      <c r="F988" s="37" t="s">
        <v>816</v>
      </c>
      <c r="G988" s="39" t="s">
        <v>817</v>
      </c>
    </row>
    <row r="989" customFormat="false" ht="15" hidden="false" customHeight="false" outlineLevel="0" collapsed="false">
      <c r="A989" s="37" t="s">
        <v>207</v>
      </c>
      <c r="B989" s="37" t="s">
        <v>213</v>
      </c>
      <c r="C989" s="37" t="s">
        <v>178</v>
      </c>
      <c r="D989" s="37" t="s">
        <v>46</v>
      </c>
      <c r="E989" s="38" t="n">
        <f aca="false">'Matrice des notes'!P33</f>
        <v>1</v>
      </c>
      <c r="F989" s="37" t="s">
        <v>839</v>
      </c>
      <c r="G989" s="39" t="s">
        <v>851</v>
      </c>
    </row>
    <row r="990" customFormat="false" ht="22.35" hidden="false" customHeight="false" outlineLevel="0" collapsed="false">
      <c r="A990" s="37" t="s">
        <v>207</v>
      </c>
      <c r="B990" s="37" t="s">
        <v>213</v>
      </c>
      <c r="C990" s="37" t="s">
        <v>179</v>
      </c>
      <c r="D990" s="37" t="s">
        <v>49</v>
      </c>
      <c r="E990" s="38" t="n">
        <f aca="false">'Matrice des notes'!Q33</f>
        <v>1</v>
      </c>
      <c r="F990" s="37" t="s">
        <v>887</v>
      </c>
      <c r="G990" s="39" t="s">
        <v>888</v>
      </c>
    </row>
    <row r="991" customFormat="false" ht="15" hidden="false" customHeight="false" outlineLevel="0" collapsed="false">
      <c r="A991" s="37" t="s">
        <v>207</v>
      </c>
      <c r="B991" s="37" t="s">
        <v>213</v>
      </c>
      <c r="C991" s="37" t="s">
        <v>179</v>
      </c>
      <c r="D991" s="37" t="s">
        <v>53</v>
      </c>
      <c r="E991" s="38" t="n">
        <f aca="false">'Matrice des notes'!R33</f>
        <v>3</v>
      </c>
      <c r="F991" s="37" t="s">
        <v>675</v>
      </c>
      <c r="G991" s="39" t="s">
        <v>676</v>
      </c>
    </row>
    <row r="992" customFormat="false" ht="15" hidden="false" customHeight="false" outlineLevel="0" collapsed="false">
      <c r="A992" s="37" t="s">
        <v>207</v>
      </c>
      <c r="B992" s="37" t="s">
        <v>213</v>
      </c>
      <c r="C992" s="37" t="s">
        <v>179</v>
      </c>
      <c r="D992" s="37" t="s">
        <v>56</v>
      </c>
      <c r="E992" s="38" t="n">
        <f aca="false">'Matrice des notes'!S33</f>
        <v>1</v>
      </c>
      <c r="F992" s="37" t="s">
        <v>839</v>
      </c>
      <c r="G992" s="39" t="s">
        <v>854</v>
      </c>
    </row>
    <row r="993" customFormat="false" ht="15" hidden="false" customHeight="false" outlineLevel="0" collapsed="false">
      <c r="A993" s="37" t="s">
        <v>207</v>
      </c>
      <c r="B993" s="37" t="s">
        <v>213</v>
      </c>
      <c r="C993" s="37" t="s">
        <v>179</v>
      </c>
      <c r="D993" s="37" t="s">
        <v>59</v>
      </c>
      <c r="E993" s="38" t="n">
        <f aca="false">'Matrice des notes'!T33</f>
        <v>1</v>
      </c>
      <c r="F993" s="37" t="s">
        <v>839</v>
      </c>
      <c r="G993" s="39" t="s">
        <v>855</v>
      </c>
    </row>
    <row r="994" customFormat="false" ht="22.35" hidden="false" customHeight="false" outlineLevel="0" collapsed="false">
      <c r="A994" s="37" t="s">
        <v>207</v>
      </c>
      <c r="B994" s="37" t="s">
        <v>213</v>
      </c>
      <c r="C994" s="37" t="s">
        <v>179</v>
      </c>
      <c r="D994" s="37" t="s">
        <v>62</v>
      </c>
      <c r="E994" s="38" t="n">
        <f aca="false">'Matrice des notes'!U33</f>
        <v>1</v>
      </c>
      <c r="F994" s="37" t="s">
        <v>887</v>
      </c>
      <c r="G994" s="39" t="s">
        <v>889</v>
      </c>
    </row>
    <row r="995" customFormat="false" ht="15" hidden="false" customHeight="false" outlineLevel="0" collapsed="false">
      <c r="A995" s="37" t="s">
        <v>207</v>
      </c>
      <c r="B995" s="37" t="s">
        <v>213</v>
      </c>
      <c r="C995" s="37" t="s">
        <v>179</v>
      </c>
      <c r="D995" s="37" t="s">
        <v>65</v>
      </c>
      <c r="E995" s="38" t="n">
        <f aca="false">'Matrice des notes'!V33</f>
        <v>4</v>
      </c>
      <c r="F995" s="37" t="s">
        <v>810</v>
      </c>
      <c r="G995" s="39" t="s">
        <v>848</v>
      </c>
    </row>
    <row r="996" customFormat="false" ht="15" hidden="false" customHeight="false" outlineLevel="0" collapsed="false">
      <c r="A996" s="37" t="s">
        <v>207</v>
      </c>
      <c r="B996" s="37" t="s">
        <v>213</v>
      </c>
      <c r="C996" s="37" t="s">
        <v>179</v>
      </c>
      <c r="D996" s="37" t="s">
        <v>68</v>
      </c>
      <c r="E996" s="38" t="n">
        <f aca="false">'Matrice des notes'!W33</f>
        <v>2</v>
      </c>
      <c r="F996" s="37" t="s">
        <v>827</v>
      </c>
      <c r="G996" s="39" t="s">
        <v>828</v>
      </c>
    </row>
    <row r="997" customFormat="false" ht="15" hidden="false" customHeight="false" outlineLevel="0" collapsed="false">
      <c r="A997" s="37" t="s">
        <v>207</v>
      </c>
      <c r="B997" s="37" t="s">
        <v>213</v>
      </c>
      <c r="C997" s="37" t="s">
        <v>179</v>
      </c>
      <c r="D997" s="37" t="s">
        <v>71</v>
      </c>
      <c r="E997" s="38" t="n">
        <f aca="false">'Matrice des notes'!X33</f>
        <v>1</v>
      </c>
      <c r="F997" s="37" t="s">
        <v>708</v>
      </c>
      <c r="G997" s="39" t="s">
        <v>857</v>
      </c>
    </row>
    <row r="998" customFormat="false" ht="15" hidden="false" customHeight="false" outlineLevel="0" collapsed="false">
      <c r="A998" s="37" t="s">
        <v>207</v>
      </c>
      <c r="B998" s="37" t="s">
        <v>213</v>
      </c>
      <c r="C998" s="37" t="s">
        <v>179</v>
      </c>
      <c r="D998" s="37" t="s">
        <v>74</v>
      </c>
      <c r="E998" s="38" t="n">
        <f aca="false">'Matrice des notes'!Y33</f>
        <v>4</v>
      </c>
      <c r="F998" s="37" t="s">
        <v>837</v>
      </c>
      <c r="G998" s="39" t="s">
        <v>838</v>
      </c>
    </row>
    <row r="999" customFormat="false" ht="15" hidden="false" customHeight="false" outlineLevel="0" collapsed="false">
      <c r="A999" s="37" t="s">
        <v>207</v>
      </c>
      <c r="B999" s="37" t="s">
        <v>213</v>
      </c>
      <c r="C999" s="37" t="s">
        <v>179</v>
      </c>
      <c r="D999" s="37" t="s">
        <v>77</v>
      </c>
      <c r="E999" s="38" t="n">
        <f aca="false">'Matrice des notes'!Z33</f>
        <v>1</v>
      </c>
      <c r="F999" s="37" t="s">
        <v>842</v>
      </c>
      <c r="G999" s="39" t="s">
        <v>858</v>
      </c>
    </row>
    <row r="1000" customFormat="false" ht="15" hidden="false" customHeight="false" outlineLevel="0" collapsed="false">
      <c r="A1000" s="37" t="s">
        <v>207</v>
      </c>
      <c r="B1000" s="37" t="s">
        <v>213</v>
      </c>
      <c r="C1000" s="37" t="s">
        <v>179</v>
      </c>
      <c r="D1000" s="37" t="s">
        <v>80</v>
      </c>
      <c r="E1000" s="38" t="n">
        <f aca="false">'Matrice des notes'!AA33</f>
        <v>4</v>
      </c>
      <c r="F1000" s="37" t="s">
        <v>859</v>
      </c>
      <c r="G1000" s="39" t="s">
        <v>860</v>
      </c>
    </row>
    <row r="1001" customFormat="false" ht="15" hidden="false" customHeight="false" outlineLevel="0" collapsed="false">
      <c r="A1001" s="37" t="s">
        <v>207</v>
      </c>
      <c r="B1001" s="37" t="s">
        <v>213</v>
      </c>
      <c r="C1001" s="37" t="s">
        <v>179</v>
      </c>
      <c r="D1001" s="37" t="s">
        <v>83</v>
      </c>
      <c r="E1001" s="38" t="n">
        <f aca="false">'Matrice des notes'!AB33</f>
        <v>2</v>
      </c>
      <c r="F1001" s="37" t="s">
        <v>693</v>
      </c>
      <c r="G1001" s="39" t="s">
        <v>737</v>
      </c>
    </row>
    <row r="1002" customFormat="false" ht="15" hidden="false" customHeight="false" outlineLevel="0" collapsed="false">
      <c r="A1002" s="37" t="s">
        <v>207</v>
      </c>
      <c r="B1002" s="37" t="s">
        <v>213</v>
      </c>
      <c r="C1002" s="37" t="s">
        <v>179</v>
      </c>
      <c r="D1002" s="37" t="s">
        <v>86</v>
      </c>
      <c r="E1002" s="38" t="n">
        <f aca="false">'Matrice des notes'!AC33</f>
        <v>4</v>
      </c>
      <c r="F1002" s="37" t="s">
        <v>861</v>
      </c>
      <c r="G1002" s="39" t="s">
        <v>862</v>
      </c>
    </row>
    <row r="1003" customFormat="false" ht="15" hidden="false" customHeight="false" outlineLevel="0" collapsed="false">
      <c r="A1003" s="37" t="s">
        <v>207</v>
      </c>
      <c r="B1003" s="37" t="s">
        <v>213</v>
      </c>
      <c r="C1003" s="37" t="s">
        <v>179</v>
      </c>
      <c r="D1003" s="37" t="s">
        <v>89</v>
      </c>
      <c r="E1003" s="38" t="n">
        <f aca="false">'Matrice des notes'!AD33</f>
        <v>4</v>
      </c>
      <c r="F1003" s="37" t="s">
        <v>810</v>
      </c>
      <c r="G1003" s="39" t="s">
        <v>848</v>
      </c>
    </row>
    <row r="1004" customFormat="false" ht="15" hidden="false" customHeight="false" outlineLevel="0" collapsed="false">
      <c r="A1004" s="37" t="s">
        <v>207</v>
      </c>
      <c r="B1004" s="37" t="s">
        <v>213</v>
      </c>
      <c r="C1004" s="37" t="s">
        <v>179</v>
      </c>
      <c r="D1004" s="37" t="s">
        <v>92</v>
      </c>
      <c r="E1004" s="38" t="n">
        <f aca="false">'Matrice des notes'!AE33</f>
        <v>3</v>
      </c>
      <c r="F1004" s="37" t="s">
        <v>708</v>
      </c>
      <c r="G1004" s="39" t="s">
        <v>714</v>
      </c>
    </row>
    <row r="1005" customFormat="false" ht="15" hidden="false" customHeight="false" outlineLevel="0" collapsed="false">
      <c r="A1005" s="37" t="s">
        <v>207</v>
      </c>
      <c r="B1005" s="37" t="s">
        <v>213</v>
      </c>
      <c r="C1005" s="37" t="s">
        <v>180</v>
      </c>
      <c r="D1005" s="37" t="s">
        <v>95</v>
      </c>
      <c r="E1005" s="38" t="n">
        <f aca="false">'Matrice des notes'!AF33</f>
        <v>1</v>
      </c>
      <c r="F1005" s="37" t="s">
        <v>631</v>
      </c>
      <c r="G1005" s="39" t="s">
        <v>654</v>
      </c>
    </row>
    <row r="1006" customFormat="false" ht="15" hidden="false" customHeight="false" outlineLevel="0" collapsed="false">
      <c r="A1006" s="37" t="s">
        <v>207</v>
      </c>
      <c r="B1006" s="37" t="s">
        <v>213</v>
      </c>
      <c r="C1006" s="37" t="s">
        <v>180</v>
      </c>
      <c r="D1006" s="37" t="s">
        <v>99</v>
      </c>
      <c r="E1006" s="38" t="n">
        <f aca="false">'Matrice des notes'!AG33</f>
        <v>1</v>
      </c>
      <c r="F1006" s="37" t="s">
        <v>655</v>
      </c>
      <c r="G1006" s="39" t="s">
        <v>656</v>
      </c>
    </row>
    <row r="1007" customFormat="false" ht="15" hidden="false" customHeight="false" outlineLevel="0" collapsed="false">
      <c r="A1007" s="37" t="s">
        <v>207</v>
      </c>
      <c r="B1007" s="37" t="s">
        <v>213</v>
      </c>
      <c r="C1007" s="37" t="s">
        <v>180</v>
      </c>
      <c r="D1007" s="37" t="s">
        <v>102</v>
      </c>
      <c r="E1007" s="38" t="n">
        <f aca="false">'Matrice des notes'!AH33</f>
        <v>1</v>
      </c>
      <c r="F1007" s="37" t="s">
        <v>655</v>
      </c>
      <c r="G1007" s="39" t="s">
        <v>656</v>
      </c>
    </row>
    <row r="1008" customFormat="false" ht="15" hidden="false" customHeight="false" outlineLevel="0" collapsed="false">
      <c r="A1008" s="37" t="s">
        <v>207</v>
      </c>
      <c r="B1008" s="37" t="s">
        <v>213</v>
      </c>
      <c r="C1008" s="37" t="s">
        <v>180</v>
      </c>
      <c r="D1008" s="37" t="s">
        <v>104</v>
      </c>
      <c r="E1008" s="38" t="n">
        <f aca="false">'Matrice des notes'!AI33</f>
        <v>1</v>
      </c>
      <c r="F1008" s="37" t="s">
        <v>631</v>
      </c>
      <c r="G1008" s="39" t="s">
        <v>654</v>
      </c>
    </row>
    <row r="1009" customFormat="false" ht="15" hidden="false" customHeight="false" outlineLevel="0" collapsed="false">
      <c r="A1009" s="37" t="s">
        <v>207</v>
      </c>
      <c r="B1009" s="37" t="s">
        <v>213</v>
      </c>
      <c r="C1009" s="37" t="s">
        <v>180</v>
      </c>
      <c r="D1009" s="37" t="s">
        <v>107</v>
      </c>
      <c r="E1009" s="38" t="n">
        <f aca="false">'Matrice des notes'!AJ33</f>
        <v>1</v>
      </c>
      <c r="F1009" s="37" t="s">
        <v>631</v>
      </c>
      <c r="G1009" s="39" t="s">
        <v>654</v>
      </c>
    </row>
    <row r="1010" customFormat="false" ht="15" hidden="false" customHeight="false" outlineLevel="0" collapsed="false">
      <c r="A1010" s="37" t="s">
        <v>207</v>
      </c>
      <c r="B1010" s="37" t="s">
        <v>213</v>
      </c>
      <c r="C1010" s="37" t="s">
        <v>180</v>
      </c>
      <c r="D1010" s="37" t="s">
        <v>110</v>
      </c>
      <c r="E1010" s="38" t="n">
        <f aca="false">'Matrice des notes'!AK33</f>
        <v>1</v>
      </c>
      <c r="F1010" s="37" t="s">
        <v>631</v>
      </c>
      <c r="G1010" s="39" t="s">
        <v>654</v>
      </c>
    </row>
    <row r="1011" customFormat="false" ht="15" hidden="false" customHeight="false" outlineLevel="0" collapsed="false">
      <c r="A1011" s="37" t="s">
        <v>207</v>
      </c>
      <c r="B1011" s="37" t="s">
        <v>213</v>
      </c>
      <c r="C1011" s="37" t="s">
        <v>180</v>
      </c>
      <c r="D1011" s="37" t="s">
        <v>113</v>
      </c>
      <c r="E1011" s="38" t="n">
        <f aca="false">'Matrice des notes'!AL33</f>
        <v>1</v>
      </c>
      <c r="F1011" s="37" t="s">
        <v>631</v>
      </c>
      <c r="G1011" s="39" t="s">
        <v>654</v>
      </c>
    </row>
    <row r="1012" customFormat="false" ht="15" hidden="false" customHeight="false" outlineLevel="0" collapsed="false">
      <c r="A1012" s="37" t="s">
        <v>207</v>
      </c>
      <c r="B1012" s="37" t="s">
        <v>213</v>
      </c>
      <c r="C1012" s="37" t="s">
        <v>180</v>
      </c>
      <c r="D1012" s="37" t="s">
        <v>116</v>
      </c>
      <c r="E1012" s="38" t="n">
        <f aca="false">'Matrice des notes'!AM33</f>
        <v>1</v>
      </c>
      <c r="F1012" s="37" t="s">
        <v>655</v>
      </c>
      <c r="G1012" s="39" t="s">
        <v>656</v>
      </c>
    </row>
    <row r="1013" customFormat="false" ht="15" hidden="false" customHeight="false" outlineLevel="0" collapsed="false">
      <c r="A1013" s="37" t="s">
        <v>207</v>
      </c>
      <c r="B1013" s="37" t="s">
        <v>213</v>
      </c>
      <c r="C1013" s="37" t="s">
        <v>180</v>
      </c>
      <c r="D1013" s="37" t="s">
        <v>119</v>
      </c>
      <c r="E1013" s="38" t="n">
        <f aca="false">'Matrice des notes'!AN33</f>
        <v>1</v>
      </c>
      <c r="F1013" s="37" t="s">
        <v>631</v>
      </c>
      <c r="G1013" s="39" t="s">
        <v>654</v>
      </c>
    </row>
    <row r="1014" customFormat="false" ht="15" hidden="false" customHeight="false" outlineLevel="0" collapsed="false">
      <c r="A1014" s="37" t="s">
        <v>207</v>
      </c>
      <c r="B1014" s="37" t="s">
        <v>213</v>
      </c>
      <c r="C1014" s="37" t="s">
        <v>180</v>
      </c>
      <c r="D1014" s="37" t="s">
        <v>121</v>
      </c>
      <c r="E1014" s="38" t="n">
        <f aca="false">'Matrice des notes'!AO33</f>
        <v>1</v>
      </c>
      <c r="F1014" s="37" t="s">
        <v>657</v>
      </c>
      <c r="G1014" s="39" t="s">
        <v>658</v>
      </c>
    </row>
    <row r="1015" customFormat="false" ht="15" hidden="false" customHeight="false" outlineLevel="0" collapsed="false">
      <c r="A1015" s="37" t="s">
        <v>207</v>
      </c>
      <c r="B1015" s="37" t="s">
        <v>213</v>
      </c>
      <c r="C1015" s="37" t="s">
        <v>180</v>
      </c>
      <c r="D1015" s="37" t="s">
        <v>124</v>
      </c>
      <c r="E1015" s="38" t="n">
        <f aca="false">'Matrice des notes'!AP33</f>
        <v>1</v>
      </c>
      <c r="F1015" s="37" t="s">
        <v>863</v>
      </c>
      <c r="G1015" s="39" t="s">
        <v>864</v>
      </c>
    </row>
    <row r="1016" customFormat="false" ht="22.35" hidden="false" customHeight="false" outlineLevel="0" collapsed="false">
      <c r="A1016" s="37" t="s">
        <v>207</v>
      </c>
      <c r="B1016" s="37" t="s">
        <v>214</v>
      </c>
      <c r="C1016" s="37" t="s">
        <v>178</v>
      </c>
      <c r="D1016" s="37" t="s">
        <v>7</v>
      </c>
      <c r="E1016" s="38" t="n">
        <f aca="false">'Matrice des notes'!D34</f>
        <v>1</v>
      </c>
      <c r="F1016" s="37" t="s">
        <v>720</v>
      </c>
      <c r="G1016" s="39" t="s">
        <v>890</v>
      </c>
    </row>
    <row r="1017" customFormat="false" ht="15" hidden="false" customHeight="false" outlineLevel="0" collapsed="false">
      <c r="A1017" s="37" t="s">
        <v>207</v>
      </c>
      <c r="B1017" s="37" t="s">
        <v>214</v>
      </c>
      <c r="C1017" s="37" t="s">
        <v>178</v>
      </c>
      <c r="D1017" s="37" t="s">
        <v>11</v>
      </c>
      <c r="E1017" s="38" t="n">
        <f aca="false">'Matrice des notes'!E34</f>
        <v>1</v>
      </c>
      <c r="F1017" s="37" t="s">
        <v>839</v>
      </c>
      <c r="G1017" s="39" t="s">
        <v>840</v>
      </c>
    </row>
    <row r="1018" customFormat="false" ht="15" hidden="false" customHeight="false" outlineLevel="0" collapsed="false">
      <c r="A1018" s="37" t="s">
        <v>207</v>
      </c>
      <c r="B1018" s="37" t="s">
        <v>214</v>
      </c>
      <c r="C1018" s="37" t="s">
        <v>178</v>
      </c>
      <c r="D1018" s="37" t="s">
        <v>14</v>
      </c>
      <c r="E1018" s="38" t="n">
        <f aca="false">'Matrice des notes'!F34</f>
        <v>1</v>
      </c>
      <c r="F1018" s="37" t="s">
        <v>677</v>
      </c>
      <c r="G1018" s="39" t="s">
        <v>841</v>
      </c>
    </row>
    <row r="1019" customFormat="false" ht="15" hidden="false" customHeight="false" outlineLevel="0" collapsed="false">
      <c r="A1019" s="37" t="s">
        <v>207</v>
      </c>
      <c r="B1019" s="37" t="s">
        <v>214</v>
      </c>
      <c r="C1019" s="37" t="s">
        <v>178</v>
      </c>
      <c r="D1019" s="37" t="s">
        <v>17</v>
      </c>
      <c r="E1019" s="38" t="n">
        <f aca="false">'Matrice des notes'!G34</f>
        <v>1</v>
      </c>
      <c r="F1019" s="37" t="s">
        <v>842</v>
      </c>
      <c r="G1019" s="39" t="s">
        <v>843</v>
      </c>
    </row>
    <row r="1020" customFormat="false" ht="15" hidden="false" customHeight="false" outlineLevel="0" collapsed="false">
      <c r="A1020" s="37" t="s">
        <v>207</v>
      </c>
      <c r="B1020" s="37" t="s">
        <v>214</v>
      </c>
      <c r="C1020" s="37" t="s">
        <v>178</v>
      </c>
      <c r="D1020" s="37" t="s">
        <v>20</v>
      </c>
      <c r="E1020" s="38" t="n">
        <f aca="false">'Matrice des notes'!H34</f>
        <v>1</v>
      </c>
      <c r="F1020" s="37" t="s">
        <v>839</v>
      </c>
      <c r="G1020" s="39" t="s">
        <v>844</v>
      </c>
    </row>
    <row r="1021" customFormat="false" ht="15" hidden="false" customHeight="false" outlineLevel="0" collapsed="false">
      <c r="A1021" s="37" t="s">
        <v>207</v>
      </c>
      <c r="B1021" s="37" t="s">
        <v>214</v>
      </c>
      <c r="C1021" s="37" t="s">
        <v>178</v>
      </c>
      <c r="D1021" s="37" t="s">
        <v>23</v>
      </c>
      <c r="E1021" s="38" t="n">
        <f aca="false">'Matrice des notes'!I34</f>
        <v>1</v>
      </c>
      <c r="F1021" s="37" t="s">
        <v>839</v>
      </c>
      <c r="G1021" s="39" t="s">
        <v>845</v>
      </c>
    </row>
    <row r="1022" customFormat="false" ht="15" hidden="false" customHeight="false" outlineLevel="0" collapsed="false">
      <c r="A1022" s="37" t="s">
        <v>207</v>
      </c>
      <c r="B1022" s="37" t="s">
        <v>214</v>
      </c>
      <c r="C1022" s="37" t="s">
        <v>178</v>
      </c>
      <c r="D1022" s="37" t="s">
        <v>26</v>
      </c>
      <c r="E1022" s="38" t="n">
        <f aca="false">'Matrice des notes'!J34</f>
        <v>1</v>
      </c>
      <c r="F1022" s="37" t="s">
        <v>835</v>
      </c>
      <c r="G1022" s="39" t="s">
        <v>846</v>
      </c>
    </row>
    <row r="1023" customFormat="false" ht="15" hidden="false" customHeight="false" outlineLevel="0" collapsed="false">
      <c r="A1023" s="37" t="s">
        <v>207</v>
      </c>
      <c r="B1023" s="37" t="s">
        <v>214</v>
      </c>
      <c r="C1023" s="37" t="s">
        <v>178</v>
      </c>
      <c r="D1023" s="37" t="s">
        <v>30</v>
      </c>
      <c r="E1023" s="38" t="n">
        <f aca="false">'Matrice des notes'!K34</f>
        <v>1</v>
      </c>
      <c r="F1023" s="37" t="s">
        <v>677</v>
      </c>
      <c r="G1023" s="39" t="s">
        <v>847</v>
      </c>
    </row>
    <row r="1024" customFormat="false" ht="15" hidden="false" customHeight="false" outlineLevel="0" collapsed="false">
      <c r="A1024" s="37" t="s">
        <v>207</v>
      </c>
      <c r="B1024" s="37" t="s">
        <v>214</v>
      </c>
      <c r="C1024" s="37" t="s">
        <v>178</v>
      </c>
      <c r="D1024" s="37" t="s">
        <v>34</v>
      </c>
      <c r="E1024" s="38" t="n">
        <f aca="false">'Matrice des notes'!L34</f>
        <v>3</v>
      </c>
      <c r="F1024" s="37" t="s">
        <v>891</v>
      </c>
      <c r="G1024" s="39" t="s">
        <v>892</v>
      </c>
    </row>
    <row r="1025" customFormat="false" ht="15" hidden="false" customHeight="false" outlineLevel="0" collapsed="false">
      <c r="A1025" s="37" t="s">
        <v>207</v>
      </c>
      <c r="B1025" s="37" t="s">
        <v>214</v>
      </c>
      <c r="C1025" s="37" t="s">
        <v>178</v>
      </c>
      <c r="D1025" s="37" t="s">
        <v>37</v>
      </c>
      <c r="E1025" s="38" t="n">
        <f aca="false">'Matrice des notes'!M34</f>
        <v>1</v>
      </c>
      <c r="F1025" s="37" t="s">
        <v>812</v>
      </c>
      <c r="G1025" s="39" t="s">
        <v>813</v>
      </c>
    </row>
    <row r="1026" customFormat="false" ht="15" hidden="false" customHeight="false" outlineLevel="0" collapsed="false">
      <c r="A1026" s="37" t="s">
        <v>207</v>
      </c>
      <c r="B1026" s="37" t="s">
        <v>214</v>
      </c>
      <c r="C1026" s="37" t="s">
        <v>178</v>
      </c>
      <c r="D1026" s="37" t="s">
        <v>40</v>
      </c>
      <c r="E1026" s="38" t="n">
        <f aca="false">'Matrice des notes'!N34</f>
        <v>1</v>
      </c>
      <c r="F1026" s="37" t="s">
        <v>849</v>
      </c>
      <c r="G1026" s="39" t="s">
        <v>850</v>
      </c>
    </row>
    <row r="1027" customFormat="false" ht="15" hidden="false" customHeight="false" outlineLevel="0" collapsed="false">
      <c r="A1027" s="37" t="s">
        <v>207</v>
      </c>
      <c r="B1027" s="37" t="s">
        <v>214</v>
      </c>
      <c r="C1027" s="37" t="s">
        <v>178</v>
      </c>
      <c r="D1027" s="37" t="s">
        <v>43</v>
      </c>
      <c r="E1027" s="38" t="n">
        <f aca="false">'Matrice des notes'!O34</f>
        <v>1</v>
      </c>
      <c r="F1027" s="37" t="s">
        <v>816</v>
      </c>
      <c r="G1027" s="39" t="s">
        <v>866</v>
      </c>
    </row>
    <row r="1028" customFormat="false" ht="15" hidden="false" customHeight="false" outlineLevel="0" collapsed="false">
      <c r="A1028" s="37" t="s">
        <v>207</v>
      </c>
      <c r="B1028" s="37" t="s">
        <v>214</v>
      </c>
      <c r="C1028" s="37" t="s">
        <v>178</v>
      </c>
      <c r="D1028" s="37" t="s">
        <v>46</v>
      </c>
      <c r="E1028" s="38" t="n">
        <f aca="false">'Matrice des notes'!P34</f>
        <v>1</v>
      </c>
      <c r="F1028" s="37" t="s">
        <v>839</v>
      </c>
      <c r="G1028" s="39" t="s">
        <v>851</v>
      </c>
    </row>
    <row r="1029" customFormat="false" ht="22.35" hidden="false" customHeight="false" outlineLevel="0" collapsed="false">
      <c r="A1029" s="37" t="s">
        <v>207</v>
      </c>
      <c r="B1029" s="37" t="s">
        <v>214</v>
      </c>
      <c r="C1029" s="37" t="s">
        <v>179</v>
      </c>
      <c r="D1029" s="37" t="s">
        <v>49</v>
      </c>
      <c r="E1029" s="38" t="n">
        <f aca="false">'Matrice des notes'!Q34</f>
        <v>1</v>
      </c>
      <c r="F1029" s="37" t="s">
        <v>867</v>
      </c>
      <c r="G1029" s="39" t="s">
        <v>868</v>
      </c>
    </row>
    <row r="1030" customFormat="false" ht="15" hidden="false" customHeight="false" outlineLevel="0" collapsed="false">
      <c r="A1030" s="37" t="s">
        <v>207</v>
      </c>
      <c r="B1030" s="37" t="s">
        <v>214</v>
      </c>
      <c r="C1030" s="37" t="s">
        <v>179</v>
      </c>
      <c r="D1030" s="37" t="s">
        <v>53</v>
      </c>
      <c r="E1030" s="38" t="n">
        <f aca="false">'Matrice des notes'!R34</f>
        <v>2</v>
      </c>
      <c r="F1030" s="37" t="s">
        <v>891</v>
      </c>
      <c r="G1030" s="39" t="s">
        <v>893</v>
      </c>
    </row>
    <row r="1031" customFormat="false" ht="15" hidden="false" customHeight="false" outlineLevel="0" collapsed="false">
      <c r="A1031" s="37" t="s">
        <v>207</v>
      </c>
      <c r="B1031" s="37" t="s">
        <v>214</v>
      </c>
      <c r="C1031" s="37" t="s">
        <v>179</v>
      </c>
      <c r="D1031" s="37" t="s">
        <v>56</v>
      </c>
      <c r="E1031" s="38" t="n">
        <f aca="false">'Matrice des notes'!S34</f>
        <v>1</v>
      </c>
      <c r="F1031" s="37" t="s">
        <v>839</v>
      </c>
      <c r="G1031" s="39" t="s">
        <v>854</v>
      </c>
    </row>
    <row r="1032" customFormat="false" ht="15" hidden="false" customHeight="false" outlineLevel="0" collapsed="false">
      <c r="A1032" s="37" t="s">
        <v>207</v>
      </c>
      <c r="B1032" s="37" t="s">
        <v>214</v>
      </c>
      <c r="C1032" s="37" t="s">
        <v>179</v>
      </c>
      <c r="D1032" s="37" t="s">
        <v>59</v>
      </c>
      <c r="E1032" s="38" t="n">
        <f aca="false">'Matrice des notes'!T34</f>
        <v>1</v>
      </c>
      <c r="F1032" s="37" t="s">
        <v>839</v>
      </c>
      <c r="G1032" s="39" t="s">
        <v>855</v>
      </c>
    </row>
    <row r="1033" customFormat="false" ht="22.35" hidden="false" customHeight="false" outlineLevel="0" collapsed="false">
      <c r="A1033" s="37" t="s">
        <v>207</v>
      </c>
      <c r="B1033" s="37" t="s">
        <v>214</v>
      </c>
      <c r="C1033" s="37" t="s">
        <v>179</v>
      </c>
      <c r="D1033" s="37" t="s">
        <v>62</v>
      </c>
      <c r="E1033" s="38" t="n">
        <f aca="false">'Matrice des notes'!U34</f>
        <v>1</v>
      </c>
      <c r="F1033" s="37" t="s">
        <v>867</v>
      </c>
      <c r="G1033" s="39" t="s">
        <v>869</v>
      </c>
    </row>
    <row r="1034" customFormat="false" ht="22.35" hidden="false" customHeight="false" outlineLevel="0" collapsed="false">
      <c r="A1034" s="37" t="s">
        <v>207</v>
      </c>
      <c r="B1034" s="37" t="s">
        <v>214</v>
      </c>
      <c r="C1034" s="37" t="s">
        <v>179</v>
      </c>
      <c r="D1034" s="37" t="s">
        <v>65</v>
      </c>
      <c r="E1034" s="38" t="n">
        <f aca="false">'Matrice des notes'!V34</f>
        <v>4</v>
      </c>
      <c r="F1034" s="37" t="s">
        <v>894</v>
      </c>
      <c r="G1034" s="39" t="s">
        <v>895</v>
      </c>
    </row>
    <row r="1035" customFormat="false" ht="15" hidden="false" customHeight="false" outlineLevel="0" collapsed="false">
      <c r="A1035" s="37" t="s">
        <v>207</v>
      </c>
      <c r="B1035" s="37" t="s">
        <v>214</v>
      </c>
      <c r="C1035" s="37" t="s">
        <v>179</v>
      </c>
      <c r="D1035" s="37" t="s">
        <v>68</v>
      </c>
      <c r="E1035" s="38" t="n">
        <f aca="false">'Matrice des notes'!W34</f>
        <v>1</v>
      </c>
      <c r="F1035" s="37" t="s">
        <v>827</v>
      </c>
      <c r="G1035" s="39" t="s">
        <v>872</v>
      </c>
    </row>
    <row r="1036" customFormat="false" ht="15" hidden="false" customHeight="false" outlineLevel="0" collapsed="false">
      <c r="A1036" s="37" t="s">
        <v>207</v>
      </c>
      <c r="B1036" s="37" t="s">
        <v>214</v>
      </c>
      <c r="C1036" s="37" t="s">
        <v>179</v>
      </c>
      <c r="D1036" s="37" t="s">
        <v>71</v>
      </c>
      <c r="E1036" s="38" t="n">
        <f aca="false">'Matrice des notes'!X34</f>
        <v>1</v>
      </c>
      <c r="F1036" s="37" t="s">
        <v>708</v>
      </c>
      <c r="G1036" s="39" t="s">
        <v>857</v>
      </c>
    </row>
    <row r="1037" customFormat="false" ht="15" hidden="false" customHeight="false" outlineLevel="0" collapsed="false">
      <c r="A1037" s="37" t="s">
        <v>207</v>
      </c>
      <c r="B1037" s="37" t="s">
        <v>214</v>
      </c>
      <c r="C1037" s="37" t="s">
        <v>179</v>
      </c>
      <c r="D1037" s="37" t="s">
        <v>74</v>
      </c>
      <c r="E1037" s="38" t="n">
        <f aca="false">'Matrice des notes'!Y34</f>
        <v>3</v>
      </c>
      <c r="F1037" s="37" t="s">
        <v>673</v>
      </c>
      <c r="G1037" s="39" t="s">
        <v>896</v>
      </c>
    </row>
    <row r="1038" customFormat="false" ht="15" hidden="false" customHeight="false" outlineLevel="0" collapsed="false">
      <c r="A1038" s="37" t="s">
        <v>207</v>
      </c>
      <c r="B1038" s="37" t="s">
        <v>214</v>
      </c>
      <c r="C1038" s="37" t="s">
        <v>179</v>
      </c>
      <c r="D1038" s="37" t="s">
        <v>77</v>
      </c>
      <c r="E1038" s="38" t="n">
        <f aca="false">'Matrice des notes'!Z34</f>
        <v>1</v>
      </c>
      <c r="F1038" s="37" t="s">
        <v>842</v>
      </c>
      <c r="G1038" s="39" t="s">
        <v>858</v>
      </c>
    </row>
    <row r="1039" customFormat="false" ht="22.35" hidden="false" customHeight="false" outlineLevel="0" collapsed="false">
      <c r="A1039" s="37" t="s">
        <v>207</v>
      </c>
      <c r="B1039" s="37" t="s">
        <v>214</v>
      </c>
      <c r="C1039" s="37" t="s">
        <v>179</v>
      </c>
      <c r="D1039" s="37" t="s">
        <v>80</v>
      </c>
      <c r="E1039" s="38" t="n">
        <f aca="false">'Matrice des notes'!AA34</f>
        <v>4</v>
      </c>
      <c r="F1039" s="37" t="s">
        <v>874</v>
      </c>
      <c r="G1039" s="39" t="s">
        <v>897</v>
      </c>
    </row>
    <row r="1040" customFormat="false" ht="22.35" hidden="false" customHeight="false" outlineLevel="0" collapsed="false">
      <c r="A1040" s="37" t="s">
        <v>207</v>
      </c>
      <c r="B1040" s="37" t="s">
        <v>214</v>
      </c>
      <c r="C1040" s="37" t="s">
        <v>179</v>
      </c>
      <c r="D1040" s="37" t="s">
        <v>83</v>
      </c>
      <c r="E1040" s="38" t="n">
        <f aca="false">'Matrice des notes'!AB34</f>
        <v>1</v>
      </c>
      <c r="F1040" s="37" t="s">
        <v>898</v>
      </c>
      <c r="G1040" s="39" t="s">
        <v>899</v>
      </c>
    </row>
    <row r="1041" customFormat="false" ht="15" hidden="false" customHeight="false" outlineLevel="0" collapsed="false">
      <c r="A1041" s="37" t="s">
        <v>207</v>
      </c>
      <c r="B1041" s="37" t="s">
        <v>214</v>
      </c>
      <c r="C1041" s="37" t="s">
        <v>179</v>
      </c>
      <c r="D1041" s="37" t="s">
        <v>86</v>
      </c>
      <c r="E1041" s="38" t="n">
        <f aca="false">'Matrice des notes'!AC34</f>
        <v>5</v>
      </c>
      <c r="F1041" s="37" t="s">
        <v>876</v>
      </c>
      <c r="G1041" s="39" t="s">
        <v>877</v>
      </c>
    </row>
    <row r="1042" customFormat="false" ht="15" hidden="false" customHeight="false" outlineLevel="0" collapsed="false">
      <c r="A1042" s="37" t="s">
        <v>207</v>
      </c>
      <c r="B1042" s="37" t="s">
        <v>214</v>
      </c>
      <c r="C1042" s="37" t="s">
        <v>179</v>
      </c>
      <c r="D1042" s="37" t="s">
        <v>89</v>
      </c>
      <c r="E1042" s="38" t="n">
        <f aca="false">'Matrice des notes'!AD34</f>
        <v>5</v>
      </c>
      <c r="F1042" s="37" t="s">
        <v>878</v>
      </c>
      <c r="G1042" s="39" t="s">
        <v>879</v>
      </c>
    </row>
    <row r="1043" customFormat="false" ht="15" hidden="false" customHeight="false" outlineLevel="0" collapsed="false">
      <c r="A1043" s="37" t="s">
        <v>207</v>
      </c>
      <c r="B1043" s="37" t="s">
        <v>214</v>
      </c>
      <c r="C1043" s="37" t="s">
        <v>179</v>
      </c>
      <c r="D1043" s="37" t="s">
        <v>92</v>
      </c>
      <c r="E1043" s="38" t="n">
        <f aca="false">'Matrice des notes'!AE34</f>
        <v>2</v>
      </c>
      <c r="F1043" s="37" t="s">
        <v>900</v>
      </c>
      <c r="G1043" s="39" t="s">
        <v>901</v>
      </c>
    </row>
    <row r="1044" customFormat="false" ht="15" hidden="false" customHeight="false" outlineLevel="0" collapsed="false">
      <c r="A1044" s="37" t="s">
        <v>207</v>
      </c>
      <c r="B1044" s="37" t="s">
        <v>214</v>
      </c>
      <c r="C1044" s="37" t="s">
        <v>180</v>
      </c>
      <c r="D1044" s="37" t="s">
        <v>95</v>
      </c>
      <c r="E1044" s="38" t="n">
        <f aca="false">'Matrice des notes'!AF34</f>
        <v>1</v>
      </c>
      <c r="F1044" s="37" t="s">
        <v>631</v>
      </c>
      <c r="G1044" s="39" t="s">
        <v>654</v>
      </c>
    </row>
    <row r="1045" customFormat="false" ht="15" hidden="false" customHeight="false" outlineLevel="0" collapsed="false">
      <c r="A1045" s="37" t="s">
        <v>207</v>
      </c>
      <c r="B1045" s="37" t="s">
        <v>214</v>
      </c>
      <c r="C1045" s="37" t="s">
        <v>180</v>
      </c>
      <c r="D1045" s="37" t="s">
        <v>99</v>
      </c>
      <c r="E1045" s="38" t="n">
        <f aca="false">'Matrice des notes'!AG34</f>
        <v>1</v>
      </c>
      <c r="F1045" s="37" t="s">
        <v>655</v>
      </c>
      <c r="G1045" s="39" t="s">
        <v>656</v>
      </c>
    </row>
    <row r="1046" customFormat="false" ht="15" hidden="false" customHeight="false" outlineLevel="0" collapsed="false">
      <c r="A1046" s="37" t="s">
        <v>207</v>
      </c>
      <c r="B1046" s="37" t="s">
        <v>214</v>
      </c>
      <c r="C1046" s="37" t="s">
        <v>180</v>
      </c>
      <c r="D1046" s="37" t="s">
        <v>102</v>
      </c>
      <c r="E1046" s="38" t="n">
        <f aca="false">'Matrice des notes'!AH34</f>
        <v>1</v>
      </c>
      <c r="F1046" s="37" t="s">
        <v>655</v>
      </c>
      <c r="G1046" s="39" t="s">
        <v>656</v>
      </c>
    </row>
    <row r="1047" customFormat="false" ht="15" hidden="false" customHeight="false" outlineLevel="0" collapsed="false">
      <c r="A1047" s="37" t="s">
        <v>207</v>
      </c>
      <c r="B1047" s="37" t="s">
        <v>214</v>
      </c>
      <c r="C1047" s="37" t="s">
        <v>180</v>
      </c>
      <c r="D1047" s="37" t="s">
        <v>104</v>
      </c>
      <c r="E1047" s="38" t="n">
        <f aca="false">'Matrice des notes'!AI34</f>
        <v>1</v>
      </c>
      <c r="F1047" s="37" t="s">
        <v>631</v>
      </c>
      <c r="G1047" s="39" t="s">
        <v>654</v>
      </c>
    </row>
    <row r="1048" customFormat="false" ht="15" hidden="false" customHeight="false" outlineLevel="0" collapsed="false">
      <c r="A1048" s="37" t="s">
        <v>207</v>
      </c>
      <c r="B1048" s="37" t="s">
        <v>214</v>
      </c>
      <c r="C1048" s="37" t="s">
        <v>180</v>
      </c>
      <c r="D1048" s="37" t="s">
        <v>107</v>
      </c>
      <c r="E1048" s="38" t="n">
        <f aca="false">'Matrice des notes'!AJ34</f>
        <v>1</v>
      </c>
      <c r="F1048" s="37" t="s">
        <v>631</v>
      </c>
      <c r="G1048" s="39" t="s">
        <v>654</v>
      </c>
    </row>
    <row r="1049" customFormat="false" ht="15" hidden="false" customHeight="false" outlineLevel="0" collapsed="false">
      <c r="A1049" s="37" t="s">
        <v>207</v>
      </c>
      <c r="B1049" s="37" t="s">
        <v>214</v>
      </c>
      <c r="C1049" s="37" t="s">
        <v>180</v>
      </c>
      <c r="D1049" s="37" t="s">
        <v>110</v>
      </c>
      <c r="E1049" s="38" t="n">
        <f aca="false">'Matrice des notes'!AK34</f>
        <v>1</v>
      </c>
      <c r="F1049" s="37" t="s">
        <v>631</v>
      </c>
      <c r="G1049" s="39" t="s">
        <v>654</v>
      </c>
    </row>
    <row r="1050" customFormat="false" ht="15" hidden="false" customHeight="false" outlineLevel="0" collapsed="false">
      <c r="A1050" s="37" t="s">
        <v>207</v>
      </c>
      <c r="B1050" s="37" t="s">
        <v>214</v>
      </c>
      <c r="C1050" s="37" t="s">
        <v>180</v>
      </c>
      <c r="D1050" s="37" t="s">
        <v>113</v>
      </c>
      <c r="E1050" s="38" t="n">
        <f aca="false">'Matrice des notes'!AL34</f>
        <v>1</v>
      </c>
      <c r="F1050" s="37" t="s">
        <v>631</v>
      </c>
      <c r="G1050" s="39" t="s">
        <v>654</v>
      </c>
    </row>
    <row r="1051" customFormat="false" ht="15" hidden="false" customHeight="false" outlineLevel="0" collapsed="false">
      <c r="A1051" s="37" t="s">
        <v>207</v>
      </c>
      <c r="B1051" s="37" t="s">
        <v>214</v>
      </c>
      <c r="C1051" s="37" t="s">
        <v>180</v>
      </c>
      <c r="D1051" s="37" t="s">
        <v>116</v>
      </c>
      <c r="E1051" s="38" t="n">
        <f aca="false">'Matrice des notes'!AM34</f>
        <v>1</v>
      </c>
      <c r="F1051" s="37" t="s">
        <v>655</v>
      </c>
      <c r="G1051" s="39" t="s">
        <v>656</v>
      </c>
    </row>
    <row r="1052" customFormat="false" ht="15" hidden="false" customHeight="false" outlineLevel="0" collapsed="false">
      <c r="A1052" s="37" t="s">
        <v>207</v>
      </c>
      <c r="B1052" s="37" t="s">
        <v>214</v>
      </c>
      <c r="C1052" s="37" t="s">
        <v>180</v>
      </c>
      <c r="D1052" s="37" t="s">
        <v>119</v>
      </c>
      <c r="E1052" s="38" t="n">
        <f aca="false">'Matrice des notes'!AN34</f>
        <v>1</v>
      </c>
      <c r="F1052" s="37" t="s">
        <v>631</v>
      </c>
      <c r="G1052" s="39" t="s">
        <v>654</v>
      </c>
    </row>
    <row r="1053" customFormat="false" ht="15" hidden="false" customHeight="false" outlineLevel="0" collapsed="false">
      <c r="A1053" s="37" t="s">
        <v>207</v>
      </c>
      <c r="B1053" s="37" t="s">
        <v>214</v>
      </c>
      <c r="C1053" s="37" t="s">
        <v>180</v>
      </c>
      <c r="D1053" s="37" t="s">
        <v>121</v>
      </c>
      <c r="E1053" s="38" t="n">
        <f aca="false">'Matrice des notes'!AO34</f>
        <v>1</v>
      </c>
      <c r="F1053" s="37" t="s">
        <v>657</v>
      </c>
      <c r="G1053" s="39" t="s">
        <v>658</v>
      </c>
    </row>
    <row r="1054" customFormat="false" ht="15" hidden="false" customHeight="false" outlineLevel="0" collapsed="false">
      <c r="A1054" s="37" t="s">
        <v>207</v>
      </c>
      <c r="B1054" s="37" t="s">
        <v>214</v>
      </c>
      <c r="C1054" s="37" t="s">
        <v>180</v>
      </c>
      <c r="D1054" s="37" t="s">
        <v>124</v>
      </c>
      <c r="E1054" s="38" t="n">
        <f aca="false">'Matrice des notes'!AP34</f>
        <v>1</v>
      </c>
      <c r="F1054" s="37" t="s">
        <v>863</v>
      </c>
      <c r="G1054" s="39" t="s">
        <v>864</v>
      </c>
    </row>
    <row r="1055" customFormat="false" ht="15" hidden="false" customHeight="false" outlineLevel="0" collapsed="false">
      <c r="A1055" s="37" t="s">
        <v>207</v>
      </c>
      <c r="B1055" s="37" t="s">
        <v>215</v>
      </c>
      <c r="C1055" s="37" t="s">
        <v>178</v>
      </c>
      <c r="D1055" s="37" t="s">
        <v>7</v>
      </c>
      <c r="E1055" s="38" t="n">
        <f aca="false">'Matrice des notes'!D35</f>
        <v>1</v>
      </c>
      <c r="F1055" s="37" t="s">
        <v>673</v>
      </c>
      <c r="G1055" s="39" t="s">
        <v>902</v>
      </c>
    </row>
    <row r="1056" customFormat="false" ht="15" hidden="false" customHeight="false" outlineLevel="0" collapsed="false">
      <c r="A1056" s="37" t="s">
        <v>207</v>
      </c>
      <c r="B1056" s="37" t="s">
        <v>215</v>
      </c>
      <c r="C1056" s="37" t="s">
        <v>178</v>
      </c>
      <c r="D1056" s="37" t="s">
        <v>11</v>
      </c>
      <c r="E1056" s="38" t="n">
        <f aca="false">'Matrice des notes'!E35</f>
        <v>1</v>
      </c>
      <c r="F1056" s="37" t="s">
        <v>839</v>
      </c>
      <c r="G1056" s="39" t="s">
        <v>840</v>
      </c>
    </row>
    <row r="1057" customFormat="false" ht="15" hidden="false" customHeight="false" outlineLevel="0" collapsed="false">
      <c r="A1057" s="37" t="s">
        <v>207</v>
      </c>
      <c r="B1057" s="37" t="s">
        <v>215</v>
      </c>
      <c r="C1057" s="37" t="s">
        <v>178</v>
      </c>
      <c r="D1057" s="37" t="s">
        <v>14</v>
      </c>
      <c r="E1057" s="38" t="n">
        <f aca="false">'Matrice des notes'!F35</f>
        <v>1</v>
      </c>
      <c r="F1057" s="37" t="s">
        <v>677</v>
      </c>
      <c r="G1057" s="39" t="s">
        <v>841</v>
      </c>
    </row>
    <row r="1058" customFormat="false" ht="15" hidden="false" customHeight="false" outlineLevel="0" collapsed="false">
      <c r="A1058" s="37" t="s">
        <v>207</v>
      </c>
      <c r="B1058" s="37" t="s">
        <v>215</v>
      </c>
      <c r="C1058" s="37" t="s">
        <v>178</v>
      </c>
      <c r="D1058" s="37" t="s">
        <v>17</v>
      </c>
      <c r="E1058" s="38" t="n">
        <f aca="false">'Matrice des notes'!G35</f>
        <v>1</v>
      </c>
      <c r="F1058" s="37" t="s">
        <v>842</v>
      </c>
      <c r="G1058" s="39" t="s">
        <v>843</v>
      </c>
    </row>
    <row r="1059" customFormat="false" ht="15" hidden="false" customHeight="false" outlineLevel="0" collapsed="false">
      <c r="A1059" s="37" t="s">
        <v>207</v>
      </c>
      <c r="B1059" s="37" t="s">
        <v>215</v>
      </c>
      <c r="C1059" s="37" t="s">
        <v>178</v>
      </c>
      <c r="D1059" s="37" t="s">
        <v>20</v>
      </c>
      <c r="E1059" s="38" t="n">
        <f aca="false">'Matrice des notes'!H35</f>
        <v>1</v>
      </c>
      <c r="F1059" s="37" t="s">
        <v>839</v>
      </c>
      <c r="G1059" s="39" t="s">
        <v>844</v>
      </c>
    </row>
    <row r="1060" customFormat="false" ht="15" hidden="false" customHeight="false" outlineLevel="0" collapsed="false">
      <c r="A1060" s="37" t="s">
        <v>207</v>
      </c>
      <c r="B1060" s="37" t="s">
        <v>215</v>
      </c>
      <c r="C1060" s="37" t="s">
        <v>178</v>
      </c>
      <c r="D1060" s="37" t="s">
        <v>23</v>
      </c>
      <c r="E1060" s="38" t="n">
        <f aca="false">'Matrice des notes'!I35</f>
        <v>1</v>
      </c>
      <c r="F1060" s="37" t="s">
        <v>839</v>
      </c>
      <c r="G1060" s="39" t="s">
        <v>845</v>
      </c>
    </row>
    <row r="1061" customFormat="false" ht="15" hidden="false" customHeight="false" outlineLevel="0" collapsed="false">
      <c r="A1061" s="37" t="s">
        <v>207</v>
      </c>
      <c r="B1061" s="37" t="s">
        <v>215</v>
      </c>
      <c r="C1061" s="37" t="s">
        <v>178</v>
      </c>
      <c r="D1061" s="37" t="s">
        <v>26</v>
      </c>
      <c r="E1061" s="38" t="n">
        <f aca="false">'Matrice des notes'!J35</f>
        <v>1</v>
      </c>
      <c r="F1061" s="37" t="s">
        <v>835</v>
      </c>
      <c r="G1061" s="39" t="s">
        <v>846</v>
      </c>
    </row>
    <row r="1062" customFormat="false" ht="15" hidden="false" customHeight="false" outlineLevel="0" collapsed="false">
      <c r="A1062" s="37" t="s">
        <v>207</v>
      </c>
      <c r="B1062" s="37" t="s">
        <v>215</v>
      </c>
      <c r="C1062" s="37" t="s">
        <v>178</v>
      </c>
      <c r="D1062" s="37" t="s">
        <v>30</v>
      </c>
      <c r="E1062" s="38" t="n">
        <f aca="false">'Matrice des notes'!K35</f>
        <v>1</v>
      </c>
      <c r="F1062" s="37" t="s">
        <v>677</v>
      </c>
      <c r="G1062" s="39" t="s">
        <v>847</v>
      </c>
    </row>
    <row r="1063" customFormat="false" ht="15" hidden="false" customHeight="false" outlineLevel="0" collapsed="false">
      <c r="A1063" s="37" t="s">
        <v>207</v>
      </c>
      <c r="B1063" s="37" t="s">
        <v>215</v>
      </c>
      <c r="C1063" s="37" t="s">
        <v>178</v>
      </c>
      <c r="D1063" s="37" t="s">
        <v>34</v>
      </c>
      <c r="E1063" s="38" t="n">
        <f aca="false">'Matrice des notes'!L35</f>
        <v>3</v>
      </c>
      <c r="F1063" s="37" t="s">
        <v>891</v>
      </c>
      <c r="G1063" s="39" t="s">
        <v>892</v>
      </c>
    </row>
    <row r="1064" customFormat="false" ht="15" hidden="false" customHeight="false" outlineLevel="0" collapsed="false">
      <c r="A1064" s="37" t="s">
        <v>207</v>
      </c>
      <c r="B1064" s="37" t="s">
        <v>215</v>
      </c>
      <c r="C1064" s="37" t="s">
        <v>178</v>
      </c>
      <c r="D1064" s="37" t="s">
        <v>37</v>
      </c>
      <c r="E1064" s="38" t="n">
        <f aca="false">'Matrice des notes'!M35</f>
        <v>1</v>
      </c>
      <c r="F1064" s="37" t="s">
        <v>812</v>
      </c>
      <c r="G1064" s="39" t="s">
        <v>813</v>
      </c>
    </row>
    <row r="1065" customFormat="false" ht="15" hidden="false" customHeight="false" outlineLevel="0" collapsed="false">
      <c r="A1065" s="37" t="s">
        <v>207</v>
      </c>
      <c r="B1065" s="37" t="s">
        <v>215</v>
      </c>
      <c r="C1065" s="37" t="s">
        <v>178</v>
      </c>
      <c r="D1065" s="37" t="s">
        <v>40</v>
      </c>
      <c r="E1065" s="38" t="n">
        <f aca="false">'Matrice des notes'!N35</f>
        <v>1</v>
      </c>
      <c r="F1065" s="37" t="s">
        <v>849</v>
      </c>
      <c r="G1065" s="39" t="s">
        <v>850</v>
      </c>
    </row>
    <row r="1066" customFormat="false" ht="15" hidden="false" customHeight="false" outlineLevel="0" collapsed="false">
      <c r="A1066" s="37" t="s">
        <v>207</v>
      </c>
      <c r="B1066" s="37" t="s">
        <v>215</v>
      </c>
      <c r="C1066" s="37" t="s">
        <v>178</v>
      </c>
      <c r="D1066" s="37" t="s">
        <v>43</v>
      </c>
      <c r="E1066" s="38" t="n">
        <f aca="false">'Matrice des notes'!O35</f>
        <v>1</v>
      </c>
      <c r="F1066" s="37" t="s">
        <v>816</v>
      </c>
      <c r="G1066" s="39" t="s">
        <v>866</v>
      </c>
    </row>
    <row r="1067" customFormat="false" ht="15" hidden="false" customHeight="false" outlineLevel="0" collapsed="false">
      <c r="A1067" s="37" t="s">
        <v>207</v>
      </c>
      <c r="B1067" s="37" t="s">
        <v>215</v>
      </c>
      <c r="C1067" s="37" t="s">
        <v>178</v>
      </c>
      <c r="D1067" s="37" t="s">
        <v>46</v>
      </c>
      <c r="E1067" s="38" t="n">
        <f aca="false">'Matrice des notes'!P35</f>
        <v>1</v>
      </c>
      <c r="F1067" s="37" t="s">
        <v>839</v>
      </c>
      <c r="G1067" s="39" t="s">
        <v>851</v>
      </c>
    </row>
    <row r="1068" customFormat="false" ht="22.35" hidden="false" customHeight="false" outlineLevel="0" collapsed="false">
      <c r="A1068" s="37" t="s">
        <v>207</v>
      </c>
      <c r="B1068" s="37" t="s">
        <v>215</v>
      </c>
      <c r="C1068" s="37" t="s">
        <v>179</v>
      </c>
      <c r="D1068" s="37" t="s">
        <v>49</v>
      </c>
      <c r="E1068" s="38" t="n">
        <f aca="false">'Matrice des notes'!Q35</f>
        <v>1</v>
      </c>
      <c r="F1068" s="37" t="s">
        <v>867</v>
      </c>
      <c r="G1068" s="39" t="s">
        <v>868</v>
      </c>
    </row>
    <row r="1069" customFormat="false" ht="15" hidden="false" customHeight="false" outlineLevel="0" collapsed="false">
      <c r="A1069" s="37" t="s">
        <v>207</v>
      </c>
      <c r="B1069" s="37" t="s">
        <v>215</v>
      </c>
      <c r="C1069" s="37" t="s">
        <v>179</v>
      </c>
      <c r="D1069" s="37" t="s">
        <v>53</v>
      </c>
      <c r="E1069" s="38" t="n">
        <f aca="false">'Matrice des notes'!R35</f>
        <v>2</v>
      </c>
      <c r="F1069" s="37" t="s">
        <v>891</v>
      </c>
      <c r="G1069" s="39" t="s">
        <v>893</v>
      </c>
    </row>
    <row r="1070" customFormat="false" ht="15" hidden="false" customHeight="false" outlineLevel="0" collapsed="false">
      <c r="A1070" s="37" t="s">
        <v>207</v>
      </c>
      <c r="B1070" s="37" t="s">
        <v>215</v>
      </c>
      <c r="C1070" s="37" t="s">
        <v>179</v>
      </c>
      <c r="D1070" s="37" t="s">
        <v>56</v>
      </c>
      <c r="E1070" s="38" t="n">
        <f aca="false">'Matrice des notes'!S35</f>
        <v>1</v>
      </c>
      <c r="F1070" s="37" t="s">
        <v>839</v>
      </c>
      <c r="G1070" s="39" t="s">
        <v>854</v>
      </c>
    </row>
    <row r="1071" customFormat="false" ht="15" hidden="false" customHeight="false" outlineLevel="0" collapsed="false">
      <c r="A1071" s="37" t="s">
        <v>207</v>
      </c>
      <c r="B1071" s="37" t="s">
        <v>215</v>
      </c>
      <c r="C1071" s="37" t="s">
        <v>179</v>
      </c>
      <c r="D1071" s="37" t="s">
        <v>59</v>
      </c>
      <c r="E1071" s="38" t="n">
        <f aca="false">'Matrice des notes'!T35</f>
        <v>1</v>
      </c>
      <c r="F1071" s="37" t="s">
        <v>839</v>
      </c>
      <c r="G1071" s="39" t="s">
        <v>855</v>
      </c>
    </row>
    <row r="1072" customFormat="false" ht="22.35" hidden="false" customHeight="false" outlineLevel="0" collapsed="false">
      <c r="A1072" s="37" t="s">
        <v>207</v>
      </c>
      <c r="B1072" s="37" t="s">
        <v>215</v>
      </c>
      <c r="C1072" s="37" t="s">
        <v>179</v>
      </c>
      <c r="D1072" s="37" t="s">
        <v>62</v>
      </c>
      <c r="E1072" s="38" t="n">
        <f aca="false">'Matrice des notes'!U35</f>
        <v>1</v>
      </c>
      <c r="F1072" s="37" t="s">
        <v>867</v>
      </c>
      <c r="G1072" s="39" t="s">
        <v>869</v>
      </c>
    </row>
    <row r="1073" customFormat="false" ht="15" hidden="false" customHeight="false" outlineLevel="0" collapsed="false">
      <c r="A1073" s="37" t="s">
        <v>207</v>
      </c>
      <c r="B1073" s="37" t="s">
        <v>215</v>
      </c>
      <c r="C1073" s="37" t="s">
        <v>179</v>
      </c>
      <c r="D1073" s="37" t="s">
        <v>65</v>
      </c>
      <c r="E1073" s="38" t="n">
        <f aca="false">'Matrice des notes'!V35</f>
        <v>3</v>
      </c>
      <c r="F1073" s="37" t="s">
        <v>903</v>
      </c>
      <c r="G1073" s="39" t="s">
        <v>904</v>
      </c>
    </row>
    <row r="1074" customFormat="false" ht="15" hidden="false" customHeight="false" outlineLevel="0" collapsed="false">
      <c r="A1074" s="37" t="s">
        <v>207</v>
      </c>
      <c r="B1074" s="37" t="s">
        <v>215</v>
      </c>
      <c r="C1074" s="37" t="s">
        <v>179</v>
      </c>
      <c r="D1074" s="37" t="s">
        <v>68</v>
      </c>
      <c r="E1074" s="38" t="n">
        <f aca="false">'Matrice des notes'!W35</f>
        <v>1</v>
      </c>
      <c r="F1074" s="37" t="s">
        <v>827</v>
      </c>
      <c r="G1074" s="39" t="s">
        <v>872</v>
      </c>
    </row>
    <row r="1075" customFormat="false" ht="15" hidden="false" customHeight="false" outlineLevel="0" collapsed="false">
      <c r="A1075" s="37" t="s">
        <v>207</v>
      </c>
      <c r="B1075" s="37" t="s">
        <v>215</v>
      </c>
      <c r="C1075" s="37" t="s">
        <v>179</v>
      </c>
      <c r="D1075" s="37" t="s">
        <v>71</v>
      </c>
      <c r="E1075" s="38" t="n">
        <f aca="false">'Matrice des notes'!X35</f>
        <v>1</v>
      </c>
      <c r="F1075" s="37" t="s">
        <v>708</v>
      </c>
      <c r="G1075" s="39" t="s">
        <v>857</v>
      </c>
    </row>
    <row r="1076" customFormat="false" ht="15" hidden="false" customHeight="false" outlineLevel="0" collapsed="false">
      <c r="A1076" s="37" t="s">
        <v>207</v>
      </c>
      <c r="B1076" s="37" t="s">
        <v>215</v>
      </c>
      <c r="C1076" s="37" t="s">
        <v>179</v>
      </c>
      <c r="D1076" s="37" t="s">
        <v>74</v>
      </c>
      <c r="E1076" s="38" t="n">
        <f aca="false">'Matrice des notes'!Y35</f>
        <v>3</v>
      </c>
      <c r="F1076" s="37" t="s">
        <v>673</v>
      </c>
      <c r="G1076" s="39" t="s">
        <v>896</v>
      </c>
    </row>
    <row r="1077" customFormat="false" ht="15" hidden="false" customHeight="false" outlineLevel="0" collapsed="false">
      <c r="A1077" s="37" t="s">
        <v>207</v>
      </c>
      <c r="B1077" s="37" t="s">
        <v>215</v>
      </c>
      <c r="C1077" s="37" t="s">
        <v>179</v>
      </c>
      <c r="D1077" s="37" t="s">
        <v>77</v>
      </c>
      <c r="E1077" s="38" t="n">
        <f aca="false">'Matrice des notes'!Z35</f>
        <v>1</v>
      </c>
      <c r="F1077" s="37" t="s">
        <v>842</v>
      </c>
      <c r="G1077" s="39" t="s">
        <v>858</v>
      </c>
    </row>
    <row r="1078" customFormat="false" ht="22.35" hidden="false" customHeight="false" outlineLevel="0" collapsed="false">
      <c r="A1078" s="37" t="s">
        <v>207</v>
      </c>
      <c r="B1078" s="37" t="s">
        <v>215</v>
      </c>
      <c r="C1078" s="37" t="s">
        <v>179</v>
      </c>
      <c r="D1078" s="37" t="s">
        <v>80</v>
      </c>
      <c r="E1078" s="38" t="n">
        <f aca="false">'Matrice des notes'!AA35</f>
        <v>4</v>
      </c>
      <c r="F1078" s="37" t="s">
        <v>874</v>
      </c>
      <c r="G1078" s="39" t="s">
        <v>897</v>
      </c>
    </row>
    <row r="1079" customFormat="false" ht="22.35" hidden="false" customHeight="false" outlineLevel="0" collapsed="false">
      <c r="A1079" s="37" t="s">
        <v>207</v>
      </c>
      <c r="B1079" s="37" t="s">
        <v>215</v>
      </c>
      <c r="C1079" s="37" t="s">
        <v>179</v>
      </c>
      <c r="D1079" s="37" t="s">
        <v>83</v>
      </c>
      <c r="E1079" s="38" t="n">
        <f aca="false">'Matrice des notes'!AB35</f>
        <v>1</v>
      </c>
      <c r="F1079" s="37" t="s">
        <v>898</v>
      </c>
      <c r="G1079" s="39" t="s">
        <v>899</v>
      </c>
    </row>
    <row r="1080" customFormat="false" ht="15" hidden="false" customHeight="false" outlineLevel="0" collapsed="false">
      <c r="A1080" s="37" t="s">
        <v>207</v>
      </c>
      <c r="B1080" s="37" t="s">
        <v>215</v>
      </c>
      <c r="C1080" s="37" t="s">
        <v>179</v>
      </c>
      <c r="D1080" s="37" t="s">
        <v>86</v>
      </c>
      <c r="E1080" s="38" t="n">
        <f aca="false">'Matrice des notes'!AC35</f>
        <v>5</v>
      </c>
      <c r="F1080" s="37" t="s">
        <v>876</v>
      </c>
      <c r="G1080" s="39" t="s">
        <v>877</v>
      </c>
    </row>
    <row r="1081" customFormat="false" ht="15" hidden="false" customHeight="false" outlineLevel="0" collapsed="false">
      <c r="A1081" s="37" t="s">
        <v>207</v>
      </c>
      <c r="B1081" s="37" t="s">
        <v>215</v>
      </c>
      <c r="C1081" s="37" t="s">
        <v>179</v>
      </c>
      <c r="D1081" s="37" t="s">
        <v>89</v>
      </c>
      <c r="E1081" s="38" t="n">
        <f aca="false">'Matrice des notes'!AD35</f>
        <v>4</v>
      </c>
      <c r="F1081" s="37" t="s">
        <v>810</v>
      </c>
      <c r="G1081" s="39" t="s">
        <v>905</v>
      </c>
    </row>
    <row r="1082" customFormat="false" ht="15" hidden="false" customHeight="false" outlineLevel="0" collapsed="false">
      <c r="A1082" s="37" t="s">
        <v>207</v>
      </c>
      <c r="B1082" s="37" t="s">
        <v>215</v>
      </c>
      <c r="C1082" s="37" t="s">
        <v>179</v>
      </c>
      <c r="D1082" s="37" t="s">
        <v>92</v>
      </c>
      <c r="E1082" s="38" t="n">
        <f aca="false">'Matrice des notes'!AE35</f>
        <v>2</v>
      </c>
      <c r="F1082" s="37" t="s">
        <v>900</v>
      </c>
      <c r="G1082" s="39" t="s">
        <v>901</v>
      </c>
    </row>
    <row r="1083" customFormat="false" ht="15" hidden="false" customHeight="false" outlineLevel="0" collapsed="false">
      <c r="A1083" s="37" t="s">
        <v>207</v>
      </c>
      <c r="B1083" s="37" t="s">
        <v>215</v>
      </c>
      <c r="C1083" s="37" t="s">
        <v>180</v>
      </c>
      <c r="D1083" s="37" t="s">
        <v>95</v>
      </c>
      <c r="E1083" s="38" t="n">
        <f aca="false">'Matrice des notes'!AF35</f>
        <v>1</v>
      </c>
      <c r="F1083" s="37" t="s">
        <v>631</v>
      </c>
      <c r="G1083" s="39" t="s">
        <v>654</v>
      </c>
    </row>
    <row r="1084" customFormat="false" ht="15" hidden="false" customHeight="false" outlineLevel="0" collapsed="false">
      <c r="A1084" s="37" t="s">
        <v>207</v>
      </c>
      <c r="B1084" s="37" t="s">
        <v>215</v>
      </c>
      <c r="C1084" s="37" t="s">
        <v>180</v>
      </c>
      <c r="D1084" s="37" t="s">
        <v>99</v>
      </c>
      <c r="E1084" s="38" t="n">
        <f aca="false">'Matrice des notes'!AG35</f>
        <v>1</v>
      </c>
      <c r="F1084" s="37" t="s">
        <v>655</v>
      </c>
      <c r="G1084" s="39" t="s">
        <v>656</v>
      </c>
    </row>
    <row r="1085" customFormat="false" ht="15" hidden="false" customHeight="false" outlineLevel="0" collapsed="false">
      <c r="A1085" s="37" t="s">
        <v>207</v>
      </c>
      <c r="B1085" s="37" t="s">
        <v>215</v>
      </c>
      <c r="C1085" s="37" t="s">
        <v>180</v>
      </c>
      <c r="D1085" s="37" t="s">
        <v>102</v>
      </c>
      <c r="E1085" s="38" t="n">
        <f aca="false">'Matrice des notes'!AH35</f>
        <v>1</v>
      </c>
      <c r="F1085" s="37" t="s">
        <v>655</v>
      </c>
      <c r="G1085" s="39" t="s">
        <v>656</v>
      </c>
    </row>
    <row r="1086" customFormat="false" ht="15" hidden="false" customHeight="false" outlineLevel="0" collapsed="false">
      <c r="A1086" s="37" t="s">
        <v>207</v>
      </c>
      <c r="B1086" s="37" t="s">
        <v>215</v>
      </c>
      <c r="C1086" s="37" t="s">
        <v>180</v>
      </c>
      <c r="D1086" s="37" t="s">
        <v>104</v>
      </c>
      <c r="E1086" s="38" t="n">
        <f aca="false">'Matrice des notes'!AI35</f>
        <v>1</v>
      </c>
      <c r="F1086" s="37" t="s">
        <v>631</v>
      </c>
      <c r="G1086" s="39" t="s">
        <v>654</v>
      </c>
    </row>
    <row r="1087" customFormat="false" ht="15" hidden="false" customHeight="false" outlineLevel="0" collapsed="false">
      <c r="A1087" s="37" t="s">
        <v>207</v>
      </c>
      <c r="B1087" s="37" t="s">
        <v>215</v>
      </c>
      <c r="C1087" s="37" t="s">
        <v>180</v>
      </c>
      <c r="D1087" s="37" t="s">
        <v>107</v>
      </c>
      <c r="E1087" s="38" t="n">
        <f aca="false">'Matrice des notes'!AJ35</f>
        <v>1</v>
      </c>
      <c r="F1087" s="37" t="s">
        <v>631</v>
      </c>
      <c r="G1087" s="39" t="s">
        <v>654</v>
      </c>
    </row>
    <row r="1088" customFormat="false" ht="15" hidden="false" customHeight="false" outlineLevel="0" collapsed="false">
      <c r="A1088" s="37" t="s">
        <v>207</v>
      </c>
      <c r="B1088" s="37" t="s">
        <v>215</v>
      </c>
      <c r="C1088" s="37" t="s">
        <v>180</v>
      </c>
      <c r="D1088" s="37" t="s">
        <v>110</v>
      </c>
      <c r="E1088" s="38" t="n">
        <f aca="false">'Matrice des notes'!AK35</f>
        <v>1</v>
      </c>
      <c r="F1088" s="37" t="s">
        <v>631</v>
      </c>
      <c r="G1088" s="39" t="s">
        <v>654</v>
      </c>
    </row>
    <row r="1089" customFormat="false" ht="15" hidden="false" customHeight="false" outlineLevel="0" collapsed="false">
      <c r="A1089" s="37" t="s">
        <v>207</v>
      </c>
      <c r="B1089" s="37" t="s">
        <v>215</v>
      </c>
      <c r="C1089" s="37" t="s">
        <v>180</v>
      </c>
      <c r="D1089" s="37" t="s">
        <v>113</v>
      </c>
      <c r="E1089" s="38" t="n">
        <f aca="false">'Matrice des notes'!AL35</f>
        <v>1</v>
      </c>
      <c r="F1089" s="37" t="s">
        <v>631</v>
      </c>
      <c r="G1089" s="39" t="s">
        <v>654</v>
      </c>
    </row>
    <row r="1090" customFormat="false" ht="15" hidden="false" customHeight="false" outlineLevel="0" collapsed="false">
      <c r="A1090" s="37" t="s">
        <v>207</v>
      </c>
      <c r="B1090" s="37" t="s">
        <v>215</v>
      </c>
      <c r="C1090" s="37" t="s">
        <v>180</v>
      </c>
      <c r="D1090" s="37" t="s">
        <v>116</v>
      </c>
      <c r="E1090" s="38" t="n">
        <f aca="false">'Matrice des notes'!AM35</f>
        <v>1</v>
      </c>
      <c r="F1090" s="37" t="s">
        <v>655</v>
      </c>
      <c r="G1090" s="39" t="s">
        <v>656</v>
      </c>
    </row>
    <row r="1091" customFormat="false" ht="15" hidden="false" customHeight="false" outlineLevel="0" collapsed="false">
      <c r="A1091" s="37" t="s">
        <v>207</v>
      </c>
      <c r="B1091" s="37" t="s">
        <v>215</v>
      </c>
      <c r="C1091" s="37" t="s">
        <v>180</v>
      </c>
      <c r="D1091" s="37" t="s">
        <v>119</v>
      </c>
      <c r="E1091" s="38" t="n">
        <f aca="false">'Matrice des notes'!AN35</f>
        <v>1</v>
      </c>
      <c r="F1091" s="37" t="s">
        <v>631</v>
      </c>
      <c r="G1091" s="39" t="s">
        <v>654</v>
      </c>
    </row>
    <row r="1092" customFormat="false" ht="15" hidden="false" customHeight="false" outlineLevel="0" collapsed="false">
      <c r="A1092" s="37" t="s">
        <v>207</v>
      </c>
      <c r="B1092" s="37" t="s">
        <v>215</v>
      </c>
      <c r="C1092" s="37" t="s">
        <v>180</v>
      </c>
      <c r="D1092" s="37" t="s">
        <v>121</v>
      </c>
      <c r="E1092" s="38" t="n">
        <f aca="false">'Matrice des notes'!AO35</f>
        <v>1</v>
      </c>
      <c r="F1092" s="37" t="s">
        <v>657</v>
      </c>
      <c r="G1092" s="39" t="s">
        <v>658</v>
      </c>
    </row>
    <row r="1093" customFormat="false" ht="15" hidden="false" customHeight="false" outlineLevel="0" collapsed="false">
      <c r="A1093" s="37" t="s">
        <v>207</v>
      </c>
      <c r="B1093" s="37" t="s">
        <v>215</v>
      </c>
      <c r="C1093" s="37" t="s">
        <v>180</v>
      </c>
      <c r="D1093" s="37" t="s">
        <v>124</v>
      </c>
      <c r="E1093" s="38" t="n">
        <f aca="false">'Matrice des notes'!AP35</f>
        <v>1</v>
      </c>
      <c r="F1093" s="37" t="s">
        <v>863</v>
      </c>
      <c r="G1093" s="39" t="s">
        <v>864</v>
      </c>
    </row>
    <row r="1094" customFormat="false" ht="22.35" hidden="false" customHeight="false" outlineLevel="0" collapsed="false">
      <c r="A1094" s="37" t="s">
        <v>207</v>
      </c>
      <c r="B1094" s="37" t="s">
        <v>216</v>
      </c>
      <c r="C1094" s="37" t="s">
        <v>178</v>
      </c>
      <c r="D1094" s="37" t="s">
        <v>7</v>
      </c>
      <c r="E1094" s="38" t="n">
        <f aca="false">'Matrice des notes'!D36</f>
        <v>1</v>
      </c>
      <c r="F1094" s="37" t="s">
        <v>720</v>
      </c>
      <c r="G1094" s="39" t="s">
        <v>906</v>
      </c>
    </row>
    <row r="1095" customFormat="false" ht="15" hidden="false" customHeight="false" outlineLevel="0" collapsed="false">
      <c r="A1095" s="37" t="s">
        <v>207</v>
      </c>
      <c r="B1095" s="37" t="s">
        <v>216</v>
      </c>
      <c r="C1095" s="37" t="s">
        <v>178</v>
      </c>
      <c r="D1095" s="37" t="s">
        <v>11</v>
      </c>
      <c r="E1095" s="38" t="n">
        <f aca="false">'Matrice des notes'!E36</f>
        <v>1</v>
      </c>
      <c r="F1095" s="37" t="s">
        <v>839</v>
      </c>
      <c r="G1095" s="39" t="s">
        <v>840</v>
      </c>
    </row>
    <row r="1096" customFormat="false" ht="15" hidden="false" customHeight="false" outlineLevel="0" collapsed="false">
      <c r="A1096" s="37" t="s">
        <v>207</v>
      </c>
      <c r="B1096" s="37" t="s">
        <v>216</v>
      </c>
      <c r="C1096" s="37" t="s">
        <v>178</v>
      </c>
      <c r="D1096" s="37" t="s">
        <v>14</v>
      </c>
      <c r="E1096" s="38" t="n">
        <f aca="false">'Matrice des notes'!F36</f>
        <v>1</v>
      </c>
      <c r="F1096" s="37" t="s">
        <v>677</v>
      </c>
      <c r="G1096" s="39" t="s">
        <v>841</v>
      </c>
    </row>
    <row r="1097" customFormat="false" ht="15" hidden="false" customHeight="false" outlineLevel="0" collapsed="false">
      <c r="A1097" s="37" t="s">
        <v>207</v>
      </c>
      <c r="B1097" s="37" t="s">
        <v>216</v>
      </c>
      <c r="C1097" s="37" t="s">
        <v>178</v>
      </c>
      <c r="D1097" s="37" t="s">
        <v>17</v>
      </c>
      <c r="E1097" s="38" t="n">
        <f aca="false">'Matrice des notes'!G36</f>
        <v>1</v>
      </c>
      <c r="F1097" s="37" t="s">
        <v>842</v>
      </c>
      <c r="G1097" s="39" t="s">
        <v>843</v>
      </c>
    </row>
    <row r="1098" customFormat="false" ht="15" hidden="false" customHeight="false" outlineLevel="0" collapsed="false">
      <c r="A1098" s="37" t="s">
        <v>207</v>
      </c>
      <c r="B1098" s="37" t="s">
        <v>216</v>
      </c>
      <c r="C1098" s="37" t="s">
        <v>178</v>
      </c>
      <c r="D1098" s="37" t="s">
        <v>20</v>
      </c>
      <c r="E1098" s="38" t="n">
        <f aca="false">'Matrice des notes'!H36</f>
        <v>1</v>
      </c>
      <c r="F1098" s="37" t="s">
        <v>839</v>
      </c>
      <c r="G1098" s="39" t="s">
        <v>844</v>
      </c>
    </row>
    <row r="1099" customFormat="false" ht="15" hidden="false" customHeight="false" outlineLevel="0" collapsed="false">
      <c r="A1099" s="37" t="s">
        <v>207</v>
      </c>
      <c r="B1099" s="37" t="s">
        <v>216</v>
      </c>
      <c r="C1099" s="37" t="s">
        <v>178</v>
      </c>
      <c r="D1099" s="37" t="s">
        <v>23</v>
      </c>
      <c r="E1099" s="38" t="n">
        <f aca="false">'Matrice des notes'!I36</f>
        <v>1</v>
      </c>
      <c r="F1099" s="37" t="s">
        <v>839</v>
      </c>
      <c r="G1099" s="39" t="s">
        <v>845</v>
      </c>
    </row>
    <row r="1100" customFormat="false" ht="15" hidden="false" customHeight="false" outlineLevel="0" collapsed="false">
      <c r="A1100" s="37" t="s">
        <v>207</v>
      </c>
      <c r="B1100" s="37" t="s">
        <v>216</v>
      </c>
      <c r="C1100" s="37" t="s">
        <v>178</v>
      </c>
      <c r="D1100" s="37" t="s">
        <v>26</v>
      </c>
      <c r="E1100" s="38" t="n">
        <f aca="false">'Matrice des notes'!J36</f>
        <v>1</v>
      </c>
      <c r="F1100" s="37" t="s">
        <v>835</v>
      </c>
      <c r="G1100" s="39" t="s">
        <v>846</v>
      </c>
    </row>
    <row r="1101" customFormat="false" ht="15" hidden="false" customHeight="false" outlineLevel="0" collapsed="false">
      <c r="A1101" s="37" t="s">
        <v>207</v>
      </c>
      <c r="B1101" s="37" t="s">
        <v>216</v>
      </c>
      <c r="C1101" s="37" t="s">
        <v>178</v>
      </c>
      <c r="D1101" s="37" t="s">
        <v>30</v>
      </c>
      <c r="E1101" s="38" t="n">
        <f aca="false">'Matrice des notes'!K36</f>
        <v>1</v>
      </c>
      <c r="F1101" s="37" t="s">
        <v>677</v>
      </c>
      <c r="G1101" s="39" t="s">
        <v>847</v>
      </c>
    </row>
    <row r="1102" customFormat="false" ht="15" hidden="false" customHeight="false" outlineLevel="0" collapsed="false">
      <c r="A1102" s="37" t="s">
        <v>207</v>
      </c>
      <c r="B1102" s="37" t="s">
        <v>216</v>
      </c>
      <c r="C1102" s="37" t="s">
        <v>178</v>
      </c>
      <c r="D1102" s="37" t="s">
        <v>34</v>
      </c>
      <c r="E1102" s="38" t="n">
        <f aca="false">'Matrice des notes'!L36</f>
        <v>2</v>
      </c>
      <c r="F1102" s="37" t="s">
        <v>891</v>
      </c>
      <c r="G1102" s="39" t="s">
        <v>892</v>
      </c>
    </row>
    <row r="1103" customFormat="false" ht="15" hidden="false" customHeight="false" outlineLevel="0" collapsed="false">
      <c r="A1103" s="37" t="s">
        <v>207</v>
      </c>
      <c r="B1103" s="37" t="s">
        <v>216</v>
      </c>
      <c r="C1103" s="37" t="s">
        <v>178</v>
      </c>
      <c r="D1103" s="37" t="s">
        <v>37</v>
      </c>
      <c r="E1103" s="38" t="n">
        <f aca="false">'Matrice des notes'!M36</f>
        <v>1</v>
      </c>
      <c r="F1103" s="37" t="s">
        <v>812</v>
      </c>
      <c r="G1103" s="39" t="s">
        <v>813</v>
      </c>
    </row>
    <row r="1104" customFormat="false" ht="15" hidden="false" customHeight="false" outlineLevel="0" collapsed="false">
      <c r="A1104" s="37" t="s">
        <v>207</v>
      </c>
      <c r="B1104" s="37" t="s">
        <v>216</v>
      </c>
      <c r="C1104" s="37" t="s">
        <v>178</v>
      </c>
      <c r="D1104" s="37" t="s">
        <v>40</v>
      </c>
      <c r="E1104" s="38" t="n">
        <f aca="false">'Matrice des notes'!N36</f>
        <v>1</v>
      </c>
      <c r="F1104" s="37" t="s">
        <v>849</v>
      </c>
      <c r="G1104" s="39" t="s">
        <v>850</v>
      </c>
    </row>
    <row r="1105" customFormat="false" ht="15" hidden="false" customHeight="false" outlineLevel="0" collapsed="false">
      <c r="A1105" s="37" t="s">
        <v>207</v>
      </c>
      <c r="B1105" s="37" t="s">
        <v>216</v>
      </c>
      <c r="C1105" s="37" t="s">
        <v>178</v>
      </c>
      <c r="D1105" s="37" t="s">
        <v>43</v>
      </c>
      <c r="E1105" s="38" t="n">
        <f aca="false">'Matrice des notes'!O36</f>
        <v>1</v>
      </c>
      <c r="F1105" s="37" t="s">
        <v>816</v>
      </c>
      <c r="G1105" s="39" t="s">
        <v>866</v>
      </c>
    </row>
    <row r="1106" customFormat="false" ht="15" hidden="false" customHeight="false" outlineLevel="0" collapsed="false">
      <c r="A1106" s="37" t="s">
        <v>207</v>
      </c>
      <c r="B1106" s="37" t="s">
        <v>216</v>
      </c>
      <c r="C1106" s="37" t="s">
        <v>178</v>
      </c>
      <c r="D1106" s="37" t="s">
        <v>46</v>
      </c>
      <c r="E1106" s="38" t="n">
        <f aca="false">'Matrice des notes'!P36</f>
        <v>1</v>
      </c>
      <c r="F1106" s="37" t="s">
        <v>839</v>
      </c>
      <c r="G1106" s="39" t="s">
        <v>851</v>
      </c>
    </row>
    <row r="1107" customFormat="false" ht="22.35" hidden="false" customHeight="false" outlineLevel="0" collapsed="false">
      <c r="A1107" s="37" t="s">
        <v>207</v>
      </c>
      <c r="B1107" s="37" t="s">
        <v>216</v>
      </c>
      <c r="C1107" s="37" t="s">
        <v>179</v>
      </c>
      <c r="D1107" s="37" t="s">
        <v>49</v>
      </c>
      <c r="E1107" s="38" t="n">
        <f aca="false">'Matrice des notes'!Q36</f>
        <v>1</v>
      </c>
      <c r="F1107" s="37" t="s">
        <v>867</v>
      </c>
      <c r="G1107" s="39" t="s">
        <v>868</v>
      </c>
    </row>
    <row r="1108" customFormat="false" ht="15" hidden="false" customHeight="false" outlineLevel="0" collapsed="false">
      <c r="A1108" s="37" t="s">
        <v>207</v>
      </c>
      <c r="B1108" s="37" t="s">
        <v>216</v>
      </c>
      <c r="C1108" s="37" t="s">
        <v>179</v>
      </c>
      <c r="D1108" s="37" t="s">
        <v>53</v>
      </c>
      <c r="E1108" s="38" t="n">
        <f aca="false">'Matrice des notes'!R36</f>
        <v>1</v>
      </c>
      <c r="F1108" s="37" t="s">
        <v>891</v>
      </c>
      <c r="G1108" s="39" t="s">
        <v>893</v>
      </c>
    </row>
    <row r="1109" customFormat="false" ht="15" hidden="false" customHeight="false" outlineLevel="0" collapsed="false">
      <c r="A1109" s="37" t="s">
        <v>207</v>
      </c>
      <c r="B1109" s="37" t="s">
        <v>216</v>
      </c>
      <c r="C1109" s="37" t="s">
        <v>179</v>
      </c>
      <c r="D1109" s="37" t="s">
        <v>56</v>
      </c>
      <c r="E1109" s="38" t="n">
        <f aca="false">'Matrice des notes'!S36</f>
        <v>1</v>
      </c>
      <c r="F1109" s="37" t="s">
        <v>839</v>
      </c>
      <c r="G1109" s="39" t="s">
        <v>854</v>
      </c>
    </row>
    <row r="1110" customFormat="false" ht="15" hidden="false" customHeight="false" outlineLevel="0" collapsed="false">
      <c r="A1110" s="37" t="s">
        <v>207</v>
      </c>
      <c r="B1110" s="37" t="s">
        <v>216</v>
      </c>
      <c r="C1110" s="37" t="s">
        <v>179</v>
      </c>
      <c r="D1110" s="37" t="s">
        <v>59</v>
      </c>
      <c r="E1110" s="38" t="n">
        <f aca="false">'Matrice des notes'!T36</f>
        <v>1</v>
      </c>
      <c r="F1110" s="37" t="s">
        <v>839</v>
      </c>
      <c r="G1110" s="39" t="s">
        <v>855</v>
      </c>
    </row>
    <row r="1111" customFormat="false" ht="22.35" hidden="false" customHeight="false" outlineLevel="0" collapsed="false">
      <c r="A1111" s="37" t="s">
        <v>207</v>
      </c>
      <c r="B1111" s="37" t="s">
        <v>216</v>
      </c>
      <c r="C1111" s="37" t="s">
        <v>179</v>
      </c>
      <c r="D1111" s="37" t="s">
        <v>62</v>
      </c>
      <c r="E1111" s="38" t="n">
        <f aca="false">'Matrice des notes'!U36</f>
        <v>1</v>
      </c>
      <c r="F1111" s="37" t="s">
        <v>867</v>
      </c>
      <c r="G1111" s="39" t="s">
        <v>869</v>
      </c>
    </row>
    <row r="1112" customFormat="false" ht="15" hidden="false" customHeight="false" outlineLevel="0" collapsed="false">
      <c r="A1112" s="37" t="s">
        <v>207</v>
      </c>
      <c r="B1112" s="37" t="s">
        <v>216</v>
      </c>
      <c r="C1112" s="37" t="s">
        <v>179</v>
      </c>
      <c r="D1112" s="37" t="s">
        <v>65</v>
      </c>
      <c r="E1112" s="38" t="n">
        <f aca="false">'Matrice des notes'!V36</f>
        <v>2</v>
      </c>
      <c r="F1112" s="37" t="s">
        <v>903</v>
      </c>
      <c r="G1112" s="39" t="s">
        <v>904</v>
      </c>
    </row>
    <row r="1113" customFormat="false" ht="15" hidden="false" customHeight="false" outlineLevel="0" collapsed="false">
      <c r="A1113" s="37" t="s">
        <v>207</v>
      </c>
      <c r="B1113" s="37" t="s">
        <v>216</v>
      </c>
      <c r="C1113" s="37" t="s">
        <v>179</v>
      </c>
      <c r="D1113" s="37" t="s">
        <v>68</v>
      </c>
      <c r="E1113" s="38" t="n">
        <f aca="false">'Matrice des notes'!W36</f>
        <v>1</v>
      </c>
      <c r="F1113" s="37" t="s">
        <v>827</v>
      </c>
      <c r="G1113" s="39" t="s">
        <v>872</v>
      </c>
    </row>
    <row r="1114" customFormat="false" ht="15" hidden="false" customHeight="false" outlineLevel="0" collapsed="false">
      <c r="A1114" s="37" t="s">
        <v>207</v>
      </c>
      <c r="B1114" s="37" t="s">
        <v>216</v>
      </c>
      <c r="C1114" s="37" t="s">
        <v>179</v>
      </c>
      <c r="D1114" s="37" t="s">
        <v>71</v>
      </c>
      <c r="E1114" s="38" t="n">
        <f aca="false">'Matrice des notes'!X36</f>
        <v>1</v>
      </c>
      <c r="F1114" s="37" t="s">
        <v>708</v>
      </c>
      <c r="G1114" s="39" t="s">
        <v>857</v>
      </c>
    </row>
    <row r="1115" customFormat="false" ht="15" hidden="false" customHeight="false" outlineLevel="0" collapsed="false">
      <c r="A1115" s="37" t="s">
        <v>207</v>
      </c>
      <c r="B1115" s="37" t="s">
        <v>216</v>
      </c>
      <c r="C1115" s="37" t="s">
        <v>179</v>
      </c>
      <c r="D1115" s="37" t="s">
        <v>74</v>
      </c>
      <c r="E1115" s="38" t="n">
        <f aca="false">'Matrice des notes'!Y36</f>
        <v>2</v>
      </c>
      <c r="F1115" s="37" t="s">
        <v>673</v>
      </c>
      <c r="G1115" s="39" t="s">
        <v>896</v>
      </c>
    </row>
    <row r="1116" customFormat="false" ht="15" hidden="false" customHeight="false" outlineLevel="0" collapsed="false">
      <c r="A1116" s="37" t="s">
        <v>207</v>
      </c>
      <c r="B1116" s="37" t="s">
        <v>216</v>
      </c>
      <c r="C1116" s="37" t="s">
        <v>179</v>
      </c>
      <c r="D1116" s="37" t="s">
        <v>77</v>
      </c>
      <c r="E1116" s="38" t="n">
        <f aca="false">'Matrice des notes'!Z36</f>
        <v>1</v>
      </c>
      <c r="F1116" s="37" t="s">
        <v>842</v>
      </c>
      <c r="G1116" s="39" t="s">
        <v>858</v>
      </c>
    </row>
    <row r="1117" customFormat="false" ht="15" hidden="false" customHeight="false" outlineLevel="0" collapsed="false">
      <c r="A1117" s="37" t="s">
        <v>207</v>
      </c>
      <c r="B1117" s="37" t="s">
        <v>216</v>
      </c>
      <c r="C1117" s="37" t="s">
        <v>179</v>
      </c>
      <c r="D1117" s="37" t="s">
        <v>80</v>
      </c>
      <c r="E1117" s="38" t="n">
        <f aca="false">'Matrice des notes'!AA36</f>
        <v>3</v>
      </c>
      <c r="F1117" s="37" t="s">
        <v>907</v>
      </c>
      <c r="G1117" s="39" t="s">
        <v>908</v>
      </c>
    </row>
    <row r="1118" customFormat="false" ht="22.35" hidden="false" customHeight="false" outlineLevel="0" collapsed="false">
      <c r="A1118" s="37" t="s">
        <v>207</v>
      </c>
      <c r="B1118" s="37" t="s">
        <v>216</v>
      </c>
      <c r="C1118" s="37" t="s">
        <v>179</v>
      </c>
      <c r="D1118" s="37" t="s">
        <v>83</v>
      </c>
      <c r="E1118" s="38" t="n">
        <f aca="false">'Matrice des notes'!AB36</f>
        <v>1</v>
      </c>
      <c r="F1118" s="37" t="s">
        <v>898</v>
      </c>
      <c r="G1118" s="39" t="s">
        <v>899</v>
      </c>
    </row>
    <row r="1119" customFormat="false" ht="15" hidden="false" customHeight="false" outlineLevel="0" collapsed="false">
      <c r="A1119" s="37" t="s">
        <v>207</v>
      </c>
      <c r="B1119" s="37" t="s">
        <v>216</v>
      </c>
      <c r="C1119" s="37" t="s">
        <v>179</v>
      </c>
      <c r="D1119" s="37" t="s">
        <v>86</v>
      </c>
      <c r="E1119" s="38" t="n">
        <f aca="false">'Matrice des notes'!AC36</f>
        <v>3</v>
      </c>
      <c r="F1119" s="37" t="s">
        <v>772</v>
      </c>
      <c r="G1119" s="39" t="s">
        <v>909</v>
      </c>
    </row>
    <row r="1120" customFormat="false" ht="15" hidden="false" customHeight="false" outlineLevel="0" collapsed="false">
      <c r="A1120" s="37" t="s">
        <v>207</v>
      </c>
      <c r="B1120" s="37" t="s">
        <v>216</v>
      </c>
      <c r="C1120" s="37" t="s">
        <v>179</v>
      </c>
      <c r="D1120" s="37" t="s">
        <v>89</v>
      </c>
      <c r="E1120" s="38" t="n">
        <f aca="false">'Matrice des notes'!AD36</f>
        <v>3</v>
      </c>
      <c r="F1120" s="37" t="s">
        <v>903</v>
      </c>
      <c r="G1120" s="39" t="s">
        <v>910</v>
      </c>
    </row>
    <row r="1121" customFormat="false" ht="15" hidden="false" customHeight="false" outlineLevel="0" collapsed="false">
      <c r="A1121" s="37" t="s">
        <v>207</v>
      </c>
      <c r="B1121" s="37" t="s">
        <v>216</v>
      </c>
      <c r="C1121" s="37" t="s">
        <v>179</v>
      </c>
      <c r="D1121" s="37" t="s">
        <v>92</v>
      </c>
      <c r="E1121" s="38" t="n">
        <f aca="false">'Matrice des notes'!AE36</f>
        <v>2</v>
      </c>
      <c r="F1121" s="37" t="s">
        <v>900</v>
      </c>
      <c r="G1121" s="39" t="s">
        <v>901</v>
      </c>
    </row>
    <row r="1122" customFormat="false" ht="15" hidden="false" customHeight="false" outlineLevel="0" collapsed="false">
      <c r="A1122" s="37" t="s">
        <v>207</v>
      </c>
      <c r="B1122" s="37" t="s">
        <v>216</v>
      </c>
      <c r="C1122" s="37" t="s">
        <v>180</v>
      </c>
      <c r="D1122" s="37" t="s">
        <v>95</v>
      </c>
      <c r="E1122" s="38" t="n">
        <f aca="false">'Matrice des notes'!AF36</f>
        <v>1</v>
      </c>
      <c r="F1122" s="37" t="s">
        <v>631</v>
      </c>
      <c r="G1122" s="39" t="s">
        <v>654</v>
      </c>
    </row>
    <row r="1123" customFormat="false" ht="15" hidden="false" customHeight="false" outlineLevel="0" collapsed="false">
      <c r="A1123" s="37" t="s">
        <v>207</v>
      </c>
      <c r="B1123" s="37" t="s">
        <v>216</v>
      </c>
      <c r="C1123" s="37" t="s">
        <v>180</v>
      </c>
      <c r="D1123" s="37" t="s">
        <v>99</v>
      </c>
      <c r="E1123" s="38" t="n">
        <f aca="false">'Matrice des notes'!AG36</f>
        <v>1</v>
      </c>
      <c r="F1123" s="37" t="s">
        <v>655</v>
      </c>
      <c r="G1123" s="39" t="s">
        <v>656</v>
      </c>
    </row>
    <row r="1124" customFormat="false" ht="15" hidden="false" customHeight="false" outlineLevel="0" collapsed="false">
      <c r="A1124" s="37" t="s">
        <v>207</v>
      </c>
      <c r="B1124" s="37" t="s">
        <v>216</v>
      </c>
      <c r="C1124" s="37" t="s">
        <v>180</v>
      </c>
      <c r="D1124" s="37" t="s">
        <v>102</v>
      </c>
      <c r="E1124" s="38" t="n">
        <f aca="false">'Matrice des notes'!AH36</f>
        <v>1</v>
      </c>
      <c r="F1124" s="37" t="s">
        <v>655</v>
      </c>
      <c r="G1124" s="39" t="s">
        <v>656</v>
      </c>
    </row>
    <row r="1125" customFormat="false" ht="15" hidden="false" customHeight="false" outlineLevel="0" collapsed="false">
      <c r="A1125" s="37" t="s">
        <v>207</v>
      </c>
      <c r="B1125" s="37" t="s">
        <v>216</v>
      </c>
      <c r="C1125" s="37" t="s">
        <v>180</v>
      </c>
      <c r="D1125" s="37" t="s">
        <v>104</v>
      </c>
      <c r="E1125" s="38" t="n">
        <f aca="false">'Matrice des notes'!AI36</f>
        <v>1</v>
      </c>
      <c r="F1125" s="37" t="s">
        <v>631</v>
      </c>
      <c r="G1125" s="39" t="s">
        <v>654</v>
      </c>
    </row>
    <row r="1126" customFormat="false" ht="15" hidden="false" customHeight="false" outlineLevel="0" collapsed="false">
      <c r="A1126" s="37" t="s">
        <v>207</v>
      </c>
      <c r="B1126" s="37" t="s">
        <v>216</v>
      </c>
      <c r="C1126" s="37" t="s">
        <v>180</v>
      </c>
      <c r="D1126" s="37" t="s">
        <v>107</v>
      </c>
      <c r="E1126" s="38" t="n">
        <f aca="false">'Matrice des notes'!AJ36</f>
        <v>1</v>
      </c>
      <c r="F1126" s="37" t="s">
        <v>631</v>
      </c>
      <c r="G1126" s="39" t="s">
        <v>654</v>
      </c>
    </row>
    <row r="1127" customFormat="false" ht="15" hidden="false" customHeight="false" outlineLevel="0" collapsed="false">
      <c r="A1127" s="37" t="s">
        <v>207</v>
      </c>
      <c r="B1127" s="37" t="s">
        <v>216</v>
      </c>
      <c r="C1127" s="37" t="s">
        <v>180</v>
      </c>
      <c r="D1127" s="37" t="s">
        <v>110</v>
      </c>
      <c r="E1127" s="38" t="n">
        <f aca="false">'Matrice des notes'!AK36</f>
        <v>1</v>
      </c>
      <c r="F1127" s="37" t="s">
        <v>631</v>
      </c>
      <c r="G1127" s="39" t="s">
        <v>654</v>
      </c>
    </row>
    <row r="1128" customFormat="false" ht="15" hidden="false" customHeight="false" outlineLevel="0" collapsed="false">
      <c r="A1128" s="37" t="s">
        <v>207</v>
      </c>
      <c r="B1128" s="37" t="s">
        <v>216</v>
      </c>
      <c r="C1128" s="37" t="s">
        <v>180</v>
      </c>
      <c r="D1128" s="37" t="s">
        <v>113</v>
      </c>
      <c r="E1128" s="38" t="n">
        <f aca="false">'Matrice des notes'!AL36</f>
        <v>1</v>
      </c>
      <c r="F1128" s="37" t="s">
        <v>631</v>
      </c>
      <c r="G1128" s="39" t="s">
        <v>654</v>
      </c>
    </row>
    <row r="1129" customFormat="false" ht="15" hidden="false" customHeight="false" outlineLevel="0" collapsed="false">
      <c r="A1129" s="37" t="s">
        <v>207</v>
      </c>
      <c r="B1129" s="37" t="s">
        <v>216</v>
      </c>
      <c r="C1129" s="37" t="s">
        <v>180</v>
      </c>
      <c r="D1129" s="37" t="s">
        <v>116</v>
      </c>
      <c r="E1129" s="38" t="n">
        <f aca="false">'Matrice des notes'!AM36</f>
        <v>1</v>
      </c>
      <c r="F1129" s="37" t="s">
        <v>655</v>
      </c>
      <c r="G1129" s="39" t="s">
        <v>656</v>
      </c>
    </row>
    <row r="1130" customFormat="false" ht="15" hidden="false" customHeight="false" outlineLevel="0" collapsed="false">
      <c r="A1130" s="37" t="s">
        <v>207</v>
      </c>
      <c r="B1130" s="37" t="s">
        <v>216</v>
      </c>
      <c r="C1130" s="37" t="s">
        <v>180</v>
      </c>
      <c r="D1130" s="37" t="s">
        <v>119</v>
      </c>
      <c r="E1130" s="38" t="n">
        <f aca="false">'Matrice des notes'!AN36</f>
        <v>1</v>
      </c>
      <c r="F1130" s="37" t="s">
        <v>631</v>
      </c>
      <c r="G1130" s="39" t="s">
        <v>654</v>
      </c>
    </row>
    <row r="1131" customFormat="false" ht="15" hidden="false" customHeight="false" outlineLevel="0" collapsed="false">
      <c r="A1131" s="37" t="s">
        <v>207</v>
      </c>
      <c r="B1131" s="37" t="s">
        <v>216</v>
      </c>
      <c r="C1131" s="37" t="s">
        <v>180</v>
      </c>
      <c r="D1131" s="37" t="s">
        <v>121</v>
      </c>
      <c r="E1131" s="38" t="n">
        <f aca="false">'Matrice des notes'!AO36</f>
        <v>1</v>
      </c>
      <c r="F1131" s="37" t="s">
        <v>657</v>
      </c>
      <c r="G1131" s="39" t="s">
        <v>658</v>
      </c>
    </row>
    <row r="1132" customFormat="false" ht="15" hidden="false" customHeight="false" outlineLevel="0" collapsed="false">
      <c r="A1132" s="37" t="s">
        <v>207</v>
      </c>
      <c r="B1132" s="37" t="s">
        <v>216</v>
      </c>
      <c r="C1132" s="37" t="s">
        <v>180</v>
      </c>
      <c r="D1132" s="37" t="s">
        <v>124</v>
      </c>
      <c r="E1132" s="38" t="n">
        <f aca="false">'Matrice des notes'!AP36</f>
        <v>1</v>
      </c>
      <c r="F1132" s="37" t="s">
        <v>863</v>
      </c>
      <c r="G1132" s="39" t="s">
        <v>864</v>
      </c>
    </row>
    <row r="1133" customFormat="false" ht="22.35" hidden="false" customHeight="false" outlineLevel="0" collapsed="false">
      <c r="A1133" s="37" t="s">
        <v>207</v>
      </c>
      <c r="B1133" s="37" t="s">
        <v>217</v>
      </c>
      <c r="C1133" s="37" t="s">
        <v>178</v>
      </c>
      <c r="D1133" s="37" t="s">
        <v>7</v>
      </c>
      <c r="E1133" s="38" t="n">
        <f aca="false">'Matrice des notes'!D37</f>
        <v>1</v>
      </c>
      <c r="F1133" s="37" t="s">
        <v>720</v>
      </c>
      <c r="G1133" s="39" t="s">
        <v>890</v>
      </c>
    </row>
    <row r="1134" customFormat="false" ht="15" hidden="false" customHeight="false" outlineLevel="0" collapsed="false">
      <c r="A1134" s="37" t="s">
        <v>207</v>
      </c>
      <c r="B1134" s="37" t="s">
        <v>217</v>
      </c>
      <c r="C1134" s="37" t="s">
        <v>178</v>
      </c>
      <c r="D1134" s="37" t="s">
        <v>11</v>
      </c>
      <c r="E1134" s="38" t="n">
        <f aca="false">'Matrice des notes'!E37</f>
        <v>1</v>
      </c>
      <c r="F1134" s="37" t="s">
        <v>839</v>
      </c>
      <c r="G1134" s="39" t="s">
        <v>840</v>
      </c>
    </row>
    <row r="1135" customFormat="false" ht="15" hidden="false" customHeight="false" outlineLevel="0" collapsed="false">
      <c r="A1135" s="37" t="s">
        <v>207</v>
      </c>
      <c r="B1135" s="37" t="s">
        <v>217</v>
      </c>
      <c r="C1135" s="37" t="s">
        <v>178</v>
      </c>
      <c r="D1135" s="37" t="s">
        <v>14</v>
      </c>
      <c r="E1135" s="38" t="n">
        <f aca="false">'Matrice des notes'!F37</f>
        <v>1</v>
      </c>
      <c r="F1135" s="37" t="s">
        <v>677</v>
      </c>
      <c r="G1135" s="39" t="s">
        <v>841</v>
      </c>
    </row>
    <row r="1136" customFormat="false" ht="15" hidden="false" customHeight="false" outlineLevel="0" collapsed="false">
      <c r="A1136" s="37" t="s">
        <v>207</v>
      </c>
      <c r="B1136" s="37" t="s">
        <v>217</v>
      </c>
      <c r="C1136" s="37" t="s">
        <v>178</v>
      </c>
      <c r="D1136" s="37" t="s">
        <v>17</v>
      </c>
      <c r="E1136" s="38" t="n">
        <f aca="false">'Matrice des notes'!G37</f>
        <v>1</v>
      </c>
      <c r="F1136" s="37" t="s">
        <v>842</v>
      </c>
      <c r="G1136" s="39" t="s">
        <v>843</v>
      </c>
    </row>
    <row r="1137" customFormat="false" ht="15" hidden="false" customHeight="false" outlineLevel="0" collapsed="false">
      <c r="A1137" s="37" t="s">
        <v>207</v>
      </c>
      <c r="B1137" s="37" t="s">
        <v>217</v>
      </c>
      <c r="C1137" s="37" t="s">
        <v>178</v>
      </c>
      <c r="D1137" s="37" t="s">
        <v>20</v>
      </c>
      <c r="E1137" s="38" t="n">
        <f aca="false">'Matrice des notes'!H37</f>
        <v>1</v>
      </c>
      <c r="F1137" s="37" t="s">
        <v>839</v>
      </c>
      <c r="G1137" s="39" t="s">
        <v>844</v>
      </c>
    </row>
    <row r="1138" customFormat="false" ht="15" hidden="false" customHeight="false" outlineLevel="0" collapsed="false">
      <c r="A1138" s="37" t="s">
        <v>207</v>
      </c>
      <c r="B1138" s="37" t="s">
        <v>217</v>
      </c>
      <c r="C1138" s="37" t="s">
        <v>178</v>
      </c>
      <c r="D1138" s="37" t="s">
        <v>23</v>
      </c>
      <c r="E1138" s="38" t="n">
        <f aca="false">'Matrice des notes'!I37</f>
        <v>1</v>
      </c>
      <c r="F1138" s="37" t="s">
        <v>839</v>
      </c>
      <c r="G1138" s="39" t="s">
        <v>845</v>
      </c>
    </row>
    <row r="1139" customFormat="false" ht="15" hidden="false" customHeight="false" outlineLevel="0" collapsed="false">
      <c r="A1139" s="37" t="s">
        <v>207</v>
      </c>
      <c r="B1139" s="37" t="s">
        <v>217</v>
      </c>
      <c r="C1139" s="37" t="s">
        <v>178</v>
      </c>
      <c r="D1139" s="37" t="s">
        <v>26</v>
      </c>
      <c r="E1139" s="38" t="n">
        <f aca="false">'Matrice des notes'!J37</f>
        <v>1</v>
      </c>
      <c r="F1139" s="37" t="s">
        <v>835</v>
      </c>
      <c r="G1139" s="39" t="s">
        <v>846</v>
      </c>
    </row>
    <row r="1140" customFormat="false" ht="15" hidden="false" customHeight="false" outlineLevel="0" collapsed="false">
      <c r="A1140" s="37" t="s">
        <v>207</v>
      </c>
      <c r="B1140" s="37" t="s">
        <v>217</v>
      </c>
      <c r="C1140" s="37" t="s">
        <v>178</v>
      </c>
      <c r="D1140" s="37" t="s">
        <v>30</v>
      </c>
      <c r="E1140" s="38" t="n">
        <f aca="false">'Matrice des notes'!K37</f>
        <v>1</v>
      </c>
      <c r="F1140" s="37" t="s">
        <v>677</v>
      </c>
      <c r="G1140" s="39" t="s">
        <v>847</v>
      </c>
    </row>
    <row r="1141" customFormat="false" ht="15" hidden="false" customHeight="false" outlineLevel="0" collapsed="false">
      <c r="A1141" s="37" t="s">
        <v>207</v>
      </c>
      <c r="B1141" s="37" t="s">
        <v>217</v>
      </c>
      <c r="C1141" s="37" t="s">
        <v>178</v>
      </c>
      <c r="D1141" s="37" t="s">
        <v>34</v>
      </c>
      <c r="E1141" s="38" t="n">
        <f aca="false">'Matrice des notes'!L37</f>
        <v>2</v>
      </c>
      <c r="F1141" s="37" t="s">
        <v>911</v>
      </c>
      <c r="G1141" s="39" t="s">
        <v>912</v>
      </c>
    </row>
    <row r="1142" customFormat="false" ht="15" hidden="false" customHeight="false" outlineLevel="0" collapsed="false">
      <c r="A1142" s="37" t="s">
        <v>207</v>
      </c>
      <c r="B1142" s="37" t="s">
        <v>217</v>
      </c>
      <c r="C1142" s="37" t="s">
        <v>178</v>
      </c>
      <c r="D1142" s="37" t="s">
        <v>37</v>
      </c>
      <c r="E1142" s="38" t="n">
        <f aca="false">'Matrice des notes'!M37</f>
        <v>1</v>
      </c>
      <c r="F1142" s="37" t="s">
        <v>812</v>
      </c>
      <c r="G1142" s="39" t="s">
        <v>813</v>
      </c>
    </row>
    <row r="1143" customFormat="false" ht="15" hidden="false" customHeight="false" outlineLevel="0" collapsed="false">
      <c r="A1143" s="37" t="s">
        <v>207</v>
      </c>
      <c r="B1143" s="37" t="s">
        <v>217</v>
      </c>
      <c r="C1143" s="37" t="s">
        <v>178</v>
      </c>
      <c r="D1143" s="37" t="s">
        <v>40</v>
      </c>
      <c r="E1143" s="38" t="n">
        <f aca="false">'Matrice des notes'!N37</f>
        <v>1</v>
      </c>
      <c r="F1143" s="37" t="s">
        <v>849</v>
      </c>
      <c r="G1143" s="39" t="s">
        <v>850</v>
      </c>
    </row>
    <row r="1144" customFormat="false" ht="15" hidden="false" customHeight="false" outlineLevel="0" collapsed="false">
      <c r="A1144" s="37" t="s">
        <v>207</v>
      </c>
      <c r="B1144" s="37" t="s">
        <v>217</v>
      </c>
      <c r="C1144" s="37" t="s">
        <v>178</v>
      </c>
      <c r="D1144" s="37" t="s">
        <v>43</v>
      </c>
      <c r="E1144" s="38" t="n">
        <f aca="false">'Matrice des notes'!O37</f>
        <v>1</v>
      </c>
      <c r="F1144" s="37" t="s">
        <v>816</v>
      </c>
      <c r="G1144" s="39" t="s">
        <v>866</v>
      </c>
    </row>
    <row r="1145" customFormat="false" ht="15" hidden="false" customHeight="false" outlineLevel="0" collapsed="false">
      <c r="A1145" s="37" t="s">
        <v>207</v>
      </c>
      <c r="B1145" s="37" t="s">
        <v>217</v>
      </c>
      <c r="C1145" s="37" t="s">
        <v>178</v>
      </c>
      <c r="D1145" s="37" t="s">
        <v>46</v>
      </c>
      <c r="E1145" s="38" t="n">
        <f aca="false">'Matrice des notes'!P37</f>
        <v>1</v>
      </c>
      <c r="F1145" s="37" t="s">
        <v>839</v>
      </c>
      <c r="G1145" s="39" t="s">
        <v>851</v>
      </c>
    </row>
    <row r="1146" customFormat="false" ht="22.35" hidden="false" customHeight="false" outlineLevel="0" collapsed="false">
      <c r="A1146" s="37" t="s">
        <v>207</v>
      </c>
      <c r="B1146" s="37" t="s">
        <v>217</v>
      </c>
      <c r="C1146" s="37" t="s">
        <v>179</v>
      </c>
      <c r="D1146" s="37" t="s">
        <v>49</v>
      </c>
      <c r="E1146" s="38" t="n">
        <f aca="false">'Matrice des notes'!Q37</f>
        <v>1</v>
      </c>
      <c r="F1146" s="37" t="s">
        <v>887</v>
      </c>
      <c r="G1146" s="39" t="s">
        <v>888</v>
      </c>
    </row>
    <row r="1147" customFormat="false" ht="15" hidden="false" customHeight="false" outlineLevel="0" collapsed="false">
      <c r="A1147" s="37" t="s">
        <v>207</v>
      </c>
      <c r="B1147" s="37" t="s">
        <v>217</v>
      </c>
      <c r="C1147" s="37" t="s">
        <v>179</v>
      </c>
      <c r="D1147" s="37" t="s">
        <v>53</v>
      </c>
      <c r="E1147" s="38" t="n">
        <f aca="false">'Matrice des notes'!R37</f>
        <v>1</v>
      </c>
      <c r="F1147" s="37" t="s">
        <v>911</v>
      </c>
      <c r="G1147" s="39" t="s">
        <v>913</v>
      </c>
    </row>
    <row r="1148" customFormat="false" ht="15" hidden="false" customHeight="false" outlineLevel="0" collapsed="false">
      <c r="A1148" s="37" t="s">
        <v>207</v>
      </c>
      <c r="B1148" s="37" t="s">
        <v>217</v>
      </c>
      <c r="C1148" s="37" t="s">
        <v>179</v>
      </c>
      <c r="D1148" s="37" t="s">
        <v>56</v>
      </c>
      <c r="E1148" s="38" t="n">
        <f aca="false">'Matrice des notes'!S37</f>
        <v>1</v>
      </c>
      <c r="F1148" s="37" t="s">
        <v>839</v>
      </c>
      <c r="G1148" s="39" t="s">
        <v>854</v>
      </c>
    </row>
    <row r="1149" customFormat="false" ht="15" hidden="false" customHeight="false" outlineLevel="0" collapsed="false">
      <c r="A1149" s="37" t="s">
        <v>207</v>
      </c>
      <c r="B1149" s="37" t="s">
        <v>217</v>
      </c>
      <c r="C1149" s="37" t="s">
        <v>179</v>
      </c>
      <c r="D1149" s="37" t="s">
        <v>59</v>
      </c>
      <c r="E1149" s="38" t="n">
        <f aca="false">'Matrice des notes'!T37</f>
        <v>1</v>
      </c>
      <c r="F1149" s="37" t="s">
        <v>839</v>
      </c>
      <c r="G1149" s="39" t="s">
        <v>855</v>
      </c>
    </row>
    <row r="1150" customFormat="false" ht="22.35" hidden="false" customHeight="false" outlineLevel="0" collapsed="false">
      <c r="A1150" s="37" t="s">
        <v>207</v>
      </c>
      <c r="B1150" s="37" t="s">
        <v>217</v>
      </c>
      <c r="C1150" s="37" t="s">
        <v>179</v>
      </c>
      <c r="D1150" s="37" t="s">
        <v>62</v>
      </c>
      <c r="E1150" s="38" t="n">
        <f aca="false">'Matrice des notes'!U37</f>
        <v>1</v>
      </c>
      <c r="F1150" s="37" t="s">
        <v>887</v>
      </c>
      <c r="G1150" s="39" t="s">
        <v>889</v>
      </c>
    </row>
    <row r="1151" customFormat="false" ht="22.35" hidden="false" customHeight="false" outlineLevel="0" collapsed="false">
      <c r="A1151" s="37" t="s">
        <v>207</v>
      </c>
      <c r="B1151" s="37" t="s">
        <v>217</v>
      </c>
      <c r="C1151" s="37" t="s">
        <v>179</v>
      </c>
      <c r="D1151" s="37" t="s">
        <v>65</v>
      </c>
      <c r="E1151" s="38" t="n">
        <f aca="false">'Matrice des notes'!V37</f>
        <v>2</v>
      </c>
      <c r="F1151" s="37" t="s">
        <v>891</v>
      </c>
      <c r="G1151" s="39" t="s">
        <v>914</v>
      </c>
    </row>
    <row r="1152" customFormat="false" ht="15" hidden="false" customHeight="false" outlineLevel="0" collapsed="false">
      <c r="A1152" s="37" t="s">
        <v>207</v>
      </c>
      <c r="B1152" s="37" t="s">
        <v>217</v>
      </c>
      <c r="C1152" s="37" t="s">
        <v>179</v>
      </c>
      <c r="D1152" s="37" t="s">
        <v>68</v>
      </c>
      <c r="E1152" s="38" t="n">
        <f aca="false">'Matrice des notes'!W37</f>
        <v>1</v>
      </c>
      <c r="F1152" s="37" t="s">
        <v>827</v>
      </c>
      <c r="G1152" s="39" t="s">
        <v>872</v>
      </c>
    </row>
    <row r="1153" customFormat="false" ht="15" hidden="false" customHeight="false" outlineLevel="0" collapsed="false">
      <c r="A1153" s="37" t="s">
        <v>207</v>
      </c>
      <c r="B1153" s="37" t="s">
        <v>217</v>
      </c>
      <c r="C1153" s="37" t="s">
        <v>179</v>
      </c>
      <c r="D1153" s="37" t="s">
        <v>71</v>
      </c>
      <c r="E1153" s="38" t="n">
        <f aca="false">'Matrice des notes'!X37</f>
        <v>1</v>
      </c>
      <c r="F1153" s="37" t="s">
        <v>708</v>
      </c>
      <c r="G1153" s="39" t="s">
        <v>857</v>
      </c>
    </row>
    <row r="1154" customFormat="false" ht="15" hidden="false" customHeight="false" outlineLevel="0" collapsed="false">
      <c r="A1154" s="37" t="s">
        <v>207</v>
      </c>
      <c r="B1154" s="37" t="s">
        <v>217</v>
      </c>
      <c r="C1154" s="37" t="s">
        <v>179</v>
      </c>
      <c r="D1154" s="37" t="s">
        <v>74</v>
      </c>
      <c r="E1154" s="38" t="n">
        <f aca="false">'Matrice des notes'!Y37</f>
        <v>2</v>
      </c>
      <c r="F1154" s="37" t="s">
        <v>915</v>
      </c>
      <c r="G1154" s="39" t="s">
        <v>916</v>
      </c>
    </row>
    <row r="1155" customFormat="false" ht="15" hidden="false" customHeight="false" outlineLevel="0" collapsed="false">
      <c r="A1155" s="37" t="s">
        <v>207</v>
      </c>
      <c r="B1155" s="37" t="s">
        <v>217</v>
      </c>
      <c r="C1155" s="37" t="s">
        <v>179</v>
      </c>
      <c r="D1155" s="37" t="s">
        <v>77</v>
      </c>
      <c r="E1155" s="38" t="n">
        <f aca="false">'Matrice des notes'!Z37</f>
        <v>1</v>
      </c>
      <c r="F1155" s="37" t="s">
        <v>842</v>
      </c>
      <c r="G1155" s="39" t="s">
        <v>858</v>
      </c>
    </row>
    <row r="1156" customFormat="false" ht="15" hidden="false" customHeight="false" outlineLevel="0" collapsed="false">
      <c r="A1156" s="37" t="s">
        <v>207</v>
      </c>
      <c r="B1156" s="37" t="s">
        <v>217</v>
      </c>
      <c r="C1156" s="37" t="s">
        <v>179</v>
      </c>
      <c r="D1156" s="37" t="s">
        <v>80</v>
      </c>
      <c r="E1156" s="38" t="n">
        <f aca="false">'Matrice des notes'!AA37</f>
        <v>3</v>
      </c>
      <c r="F1156" s="37" t="s">
        <v>917</v>
      </c>
      <c r="G1156" s="39" t="s">
        <v>918</v>
      </c>
    </row>
    <row r="1157" customFormat="false" ht="22.35" hidden="false" customHeight="false" outlineLevel="0" collapsed="false">
      <c r="A1157" s="37" t="s">
        <v>207</v>
      </c>
      <c r="B1157" s="37" t="s">
        <v>217</v>
      </c>
      <c r="C1157" s="37" t="s">
        <v>179</v>
      </c>
      <c r="D1157" s="37" t="s">
        <v>83</v>
      </c>
      <c r="E1157" s="38" t="n">
        <f aca="false">'Matrice des notes'!AB37</f>
        <v>1</v>
      </c>
      <c r="F1157" s="37" t="s">
        <v>919</v>
      </c>
      <c r="G1157" s="39" t="s">
        <v>920</v>
      </c>
    </row>
    <row r="1158" customFormat="false" ht="22.35" hidden="false" customHeight="false" outlineLevel="0" collapsed="false">
      <c r="A1158" s="37" t="s">
        <v>207</v>
      </c>
      <c r="B1158" s="37" t="s">
        <v>217</v>
      </c>
      <c r="C1158" s="37" t="s">
        <v>179</v>
      </c>
      <c r="D1158" s="37" t="s">
        <v>86</v>
      </c>
      <c r="E1158" s="38" t="n">
        <f aca="false">'Matrice des notes'!AC37</f>
        <v>4</v>
      </c>
      <c r="F1158" s="37" t="s">
        <v>921</v>
      </c>
      <c r="G1158" s="39" t="s">
        <v>922</v>
      </c>
    </row>
    <row r="1159" customFormat="false" ht="15" hidden="false" customHeight="false" outlineLevel="0" collapsed="false">
      <c r="A1159" s="37" t="s">
        <v>207</v>
      </c>
      <c r="B1159" s="37" t="s">
        <v>217</v>
      </c>
      <c r="C1159" s="37" t="s">
        <v>179</v>
      </c>
      <c r="D1159" s="37" t="s">
        <v>89</v>
      </c>
      <c r="E1159" s="38" t="n">
        <f aca="false">'Matrice des notes'!AD37</f>
        <v>3</v>
      </c>
      <c r="F1159" s="37" t="s">
        <v>675</v>
      </c>
      <c r="G1159" s="39" t="s">
        <v>676</v>
      </c>
    </row>
    <row r="1160" customFormat="false" ht="22.35" hidden="false" customHeight="false" outlineLevel="0" collapsed="false">
      <c r="A1160" s="37" t="s">
        <v>207</v>
      </c>
      <c r="B1160" s="37" t="s">
        <v>217</v>
      </c>
      <c r="C1160" s="37" t="s">
        <v>179</v>
      </c>
      <c r="D1160" s="37" t="s">
        <v>92</v>
      </c>
      <c r="E1160" s="38" t="n">
        <f aca="false">'Matrice des notes'!AE37</f>
        <v>2</v>
      </c>
      <c r="F1160" s="37" t="s">
        <v>923</v>
      </c>
      <c r="G1160" s="39" t="s">
        <v>924</v>
      </c>
    </row>
    <row r="1161" customFormat="false" ht="15" hidden="false" customHeight="false" outlineLevel="0" collapsed="false">
      <c r="A1161" s="37" t="s">
        <v>207</v>
      </c>
      <c r="B1161" s="37" t="s">
        <v>217</v>
      </c>
      <c r="C1161" s="37" t="s">
        <v>180</v>
      </c>
      <c r="D1161" s="37" t="s">
        <v>95</v>
      </c>
      <c r="E1161" s="38" t="n">
        <f aca="false">'Matrice des notes'!AF37</f>
        <v>1</v>
      </c>
      <c r="F1161" s="37" t="s">
        <v>631</v>
      </c>
      <c r="G1161" s="39" t="s">
        <v>654</v>
      </c>
    </row>
    <row r="1162" customFormat="false" ht="15" hidden="false" customHeight="false" outlineLevel="0" collapsed="false">
      <c r="A1162" s="37" t="s">
        <v>207</v>
      </c>
      <c r="B1162" s="37" t="s">
        <v>217</v>
      </c>
      <c r="C1162" s="37" t="s">
        <v>180</v>
      </c>
      <c r="D1162" s="37" t="s">
        <v>99</v>
      </c>
      <c r="E1162" s="38" t="n">
        <f aca="false">'Matrice des notes'!AG37</f>
        <v>1</v>
      </c>
      <c r="F1162" s="37" t="s">
        <v>655</v>
      </c>
      <c r="G1162" s="39" t="s">
        <v>656</v>
      </c>
    </row>
    <row r="1163" customFormat="false" ht="15" hidden="false" customHeight="false" outlineLevel="0" collapsed="false">
      <c r="A1163" s="37" t="s">
        <v>207</v>
      </c>
      <c r="B1163" s="37" t="s">
        <v>217</v>
      </c>
      <c r="C1163" s="37" t="s">
        <v>180</v>
      </c>
      <c r="D1163" s="37" t="s">
        <v>102</v>
      </c>
      <c r="E1163" s="38" t="n">
        <f aca="false">'Matrice des notes'!AH37</f>
        <v>1</v>
      </c>
      <c r="F1163" s="37" t="s">
        <v>655</v>
      </c>
      <c r="G1163" s="39" t="s">
        <v>656</v>
      </c>
    </row>
    <row r="1164" customFormat="false" ht="15" hidden="false" customHeight="false" outlineLevel="0" collapsed="false">
      <c r="A1164" s="37" t="s">
        <v>207</v>
      </c>
      <c r="B1164" s="37" t="s">
        <v>217</v>
      </c>
      <c r="C1164" s="37" t="s">
        <v>180</v>
      </c>
      <c r="D1164" s="37" t="s">
        <v>104</v>
      </c>
      <c r="E1164" s="38" t="n">
        <f aca="false">'Matrice des notes'!AI37</f>
        <v>1</v>
      </c>
      <c r="F1164" s="37" t="s">
        <v>631</v>
      </c>
      <c r="G1164" s="39" t="s">
        <v>654</v>
      </c>
    </row>
    <row r="1165" customFormat="false" ht="15" hidden="false" customHeight="false" outlineLevel="0" collapsed="false">
      <c r="A1165" s="37" t="s">
        <v>207</v>
      </c>
      <c r="B1165" s="37" t="s">
        <v>217</v>
      </c>
      <c r="C1165" s="37" t="s">
        <v>180</v>
      </c>
      <c r="D1165" s="37" t="s">
        <v>107</v>
      </c>
      <c r="E1165" s="38" t="n">
        <f aca="false">'Matrice des notes'!AJ37</f>
        <v>1</v>
      </c>
      <c r="F1165" s="37" t="s">
        <v>631</v>
      </c>
      <c r="G1165" s="39" t="s">
        <v>654</v>
      </c>
    </row>
    <row r="1166" customFormat="false" ht="15" hidden="false" customHeight="false" outlineLevel="0" collapsed="false">
      <c r="A1166" s="37" t="s">
        <v>207</v>
      </c>
      <c r="B1166" s="37" t="s">
        <v>217</v>
      </c>
      <c r="C1166" s="37" t="s">
        <v>180</v>
      </c>
      <c r="D1166" s="37" t="s">
        <v>110</v>
      </c>
      <c r="E1166" s="38" t="n">
        <f aca="false">'Matrice des notes'!AK37</f>
        <v>1</v>
      </c>
      <c r="F1166" s="37" t="s">
        <v>631</v>
      </c>
      <c r="G1166" s="39" t="s">
        <v>654</v>
      </c>
    </row>
    <row r="1167" customFormat="false" ht="15" hidden="false" customHeight="false" outlineLevel="0" collapsed="false">
      <c r="A1167" s="37" t="s">
        <v>207</v>
      </c>
      <c r="B1167" s="37" t="s">
        <v>217</v>
      </c>
      <c r="C1167" s="37" t="s">
        <v>180</v>
      </c>
      <c r="D1167" s="37" t="s">
        <v>113</v>
      </c>
      <c r="E1167" s="38" t="n">
        <f aca="false">'Matrice des notes'!AL37</f>
        <v>1</v>
      </c>
      <c r="F1167" s="37" t="s">
        <v>631</v>
      </c>
      <c r="G1167" s="39" t="s">
        <v>654</v>
      </c>
    </row>
    <row r="1168" customFormat="false" ht="15" hidden="false" customHeight="false" outlineLevel="0" collapsed="false">
      <c r="A1168" s="37" t="s">
        <v>207</v>
      </c>
      <c r="B1168" s="37" t="s">
        <v>217</v>
      </c>
      <c r="C1168" s="37" t="s">
        <v>180</v>
      </c>
      <c r="D1168" s="37" t="s">
        <v>116</v>
      </c>
      <c r="E1168" s="38" t="n">
        <f aca="false">'Matrice des notes'!AM37</f>
        <v>1</v>
      </c>
      <c r="F1168" s="37" t="s">
        <v>655</v>
      </c>
      <c r="G1168" s="39" t="s">
        <v>656</v>
      </c>
    </row>
    <row r="1169" customFormat="false" ht="15" hidden="false" customHeight="false" outlineLevel="0" collapsed="false">
      <c r="A1169" s="37" t="s">
        <v>207</v>
      </c>
      <c r="B1169" s="37" t="s">
        <v>217</v>
      </c>
      <c r="C1169" s="37" t="s">
        <v>180</v>
      </c>
      <c r="D1169" s="37" t="s">
        <v>119</v>
      </c>
      <c r="E1169" s="38" t="n">
        <f aca="false">'Matrice des notes'!AN37</f>
        <v>1</v>
      </c>
      <c r="F1169" s="37" t="s">
        <v>631</v>
      </c>
      <c r="G1169" s="39" t="s">
        <v>654</v>
      </c>
    </row>
    <row r="1170" customFormat="false" ht="15" hidden="false" customHeight="false" outlineLevel="0" collapsed="false">
      <c r="A1170" s="37" t="s">
        <v>207</v>
      </c>
      <c r="B1170" s="37" t="s">
        <v>217</v>
      </c>
      <c r="C1170" s="37" t="s">
        <v>180</v>
      </c>
      <c r="D1170" s="37" t="s">
        <v>121</v>
      </c>
      <c r="E1170" s="38" t="n">
        <f aca="false">'Matrice des notes'!AO37</f>
        <v>1</v>
      </c>
      <c r="F1170" s="37" t="s">
        <v>657</v>
      </c>
      <c r="G1170" s="39" t="s">
        <v>658</v>
      </c>
    </row>
    <row r="1171" customFormat="false" ht="15" hidden="false" customHeight="false" outlineLevel="0" collapsed="false">
      <c r="A1171" s="37" t="s">
        <v>207</v>
      </c>
      <c r="B1171" s="37" t="s">
        <v>217</v>
      </c>
      <c r="C1171" s="37" t="s">
        <v>180</v>
      </c>
      <c r="D1171" s="37" t="s">
        <v>124</v>
      </c>
      <c r="E1171" s="38" t="n">
        <f aca="false">'Matrice des notes'!AP37</f>
        <v>1</v>
      </c>
      <c r="F1171" s="37" t="s">
        <v>863</v>
      </c>
      <c r="G1171" s="39" t="s">
        <v>864</v>
      </c>
    </row>
    <row r="1172" customFormat="false" ht="15" hidden="false" customHeight="false" outlineLevel="0" collapsed="false">
      <c r="A1172" s="37" t="s">
        <v>207</v>
      </c>
      <c r="B1172" s="37" t="s">
        <v>218</v>
      </c>
      <c r="C1172" s="37" t="s">
        <v>178</v>
      </c>
      <c r="D1172" s="37" t="s">
        <v>7</v>
      </c>
      <c r="E1172" s="38" t="n">
        <f aca="false">'Matrice des notes'!D38</f>
        <v>5</v>
      </c>
      <c r="F1172" s="37" t="s">
        <v>797</v>
      </c>
      <c r="G1172" s="39" t="s">
        <v>798</v>
      </c>
    </row>
    <row r="1173" customFormat="false" ht="15" hidden="false" customHeight="false" outlineLevel="0" collapsed="false">
      <c r="A1173" s="37" t="s">
        <v>207</v>
      </c>
      <c r="B1173" s="37" t="s">
        <v>218</v>
      </c>
      <c r="C1173" s="37" t="s">
        <v>178</v>
      </c>
      <c r="D1173" s="37" t="s">
        <v>11</v>
      </c>
      <c r="E1173" s="38" t="n">
        <f aca="false">'Matrice des notes'!E38</f>
        <v>2</v>
      </c>
      <c r="F1173" s="37" t="s">
        <v>799</v>
      </c>
      <c r="G1173" s="39" t="s">
        <v>800</v>
      </c>
    </row>
    <row r="1174" customFormat="false" ht="15" hidden="false" customHeight="false" outlineLevel="0" collapsed="false">
      <c r="A1174" s="37" t="s">
        <v>207</v>
      </c>
      <c r="B1174" s="37" t="s">
        <v>218</v>
      </c>
      <c r="C1174" s="37" t="s">
        <v>178</v>
      </c>
      <c r="D1174" s="37" t="s">
        <v>14</v>
      </c>
      <c r="E1174" s="38" t="n">
        <f aca="false">'Matrice des notes'!F38</f>
        <v>2</v>
      </c>
      <c r="F1174" s="37" t="s">
        <v>801</v>
      </c>
      <c r="G1174" s="39" t="s">
        <v>802</v>
      </c>
    </row>
    <row r="1175" customFormat="false" ht="15" hidden="false" customHeight="false" outlineLevel="0" collapsed="false">
      <c r="A1175" s="37" t="s">
        <v>207</v>
      </c>
      <c r="B1175" s="37" t="s">
        <v>218</v>
      </c>
      <c r="C1175" s="37" t="s">
        <v>178</v>
      </c>
      <c r="D1175" s="37" t="s">
        <v>17</v>
      </c>
      <c r="E1175" s="38" t="n">
        <f aca="false">'Matrice des notes'!G38</f>
        <v>2</v>
      </c>
      <c r="F1175" s="37" t="s">
        <v>803</v>
      </c>
      <c r="G1175" s="39" t="s">
        <v>804</v>
      </c>
    </row>
    <row r="1176" customFormat="false" ht="15" hidden="false" customHeight="false" outlineLevel="0" collapsed="false">
      <c r="A1176" s="37" t="s">
        <v>207</v>
      </c>
      <c r="B1176" s="37" t="s">
        <v>218</v>
      </c>
      <c r="C1176" s="37" t="s">
        <v>178</v>
      </c>
      <c r="D1176" s="37" t="s">
        <v>20</v>
      </c>
      <c r="E1176" s="38" t="n">
        <f aca="false">'Matrice des notes'!H38</f>
        <v>2</v>
      </c>
      <c r="F1176" s="37" t="s">
        <v>799</v>
      </c>
      <c r="G1176" s="39" t="s">
        <v>805</v>
      </c>
    </row>
    <row r="1177" customFormat="false" ht="15" hidden="false" customHeight="false" outlineLevel="0" collapsed="false">
      <c r="A1177" s="37" t="s">
        <v>207</v>
      </c>
      <c r="B1177" s="37" t="s">
        <v>218</v>
      </c>
      <c r="C1177" s="37" t="s">
        <v>178</v>
      </c>
      <c r="D1177" s="37" t="s">
        <v>23</v>
      </c>
      <c r="E1177" s="38" t="n">
        <f aca="false">'Matrice des notes'!I38</f>
        <v>2</v>
      </c>
      <c r="F1177" s="37" t="s">
        <v>799</v>
      </c>
      <c r="G1177" s="39" t="s">
        <v>806</v>
      </c>
    </row>
    <row r="1178" customFormat="false" ht="15" hidden="false" customHeight="false" outlineLevel="0" collapsed="false">
      <c r="A1178" s="37" t="s">
        <v>207</v>
      </c>
      <c r="B1178" s="37" t="s">
        <v>218</v>
      </c>
      <c r="C1178" s="37" t="s">
        <v>178</v>
      </c>
      <c r="D1178" s="37" t="s">
        <v>26</v>
      </c>
      <c r="E1178" s="38" t="n">
        <f aca="false">'Matrice des notes'!J38</f>
        <v>2</v>
      </c>
      <c r="F1178" s="37" t="s">
        <v>807</v>
      </c>
      <c r="G1178" s="39" t="s">
        <v>808</v>
      </c>
    </row>
    <row r="1179" customFormat="false" ht="15" hidden="false" customHeight="false" outlineLevel="0" collapsed="false">
      <c r="A1179" s="37" t="s">
        <v>207</v>
      </c>
      <c r="B1179" s="37" t="s">
        <v>218</v>
      </c>
      <c r="C1179" s="37" t="s">
        <v>178</v>
      </c>
      <c r="D1179" s="37" t="s">
        <v>30</v>
      </c>
      <c r="E1179" s="38" t="n">
        <f aca="false">'Matrice des notes'!K38</f>
        <v>2</v>
      </c>
      <c r="F1179" s="37" t="s">
        <v>801</v>
      </c>
      <c r="G1179" s="39" t="s">
        <v>809</v>
      </c>
    </row>
    <row r="1180" customFormat="false" ht="15" hidden="false" customHeight="false" outlineLevel="0" collapsed="false">
      <c r="A1180" s="37" t="s">
        <v>207</v>
      </c>
      <c r="B1180" s="37" t="s">
        <v>218</v>
      </c>
      <c r="C1180" s="37" t="s">
        <v>178</v>
      </c>
      <c r="D1180" s="37" t="s">
        <v>34</v>
      </c>
      <c r="E1180" s="38" t="n">
        <f aca="false">'Matrice des notes'!L38</f>
        <v>4</v>
      </c>
      <c r="F1180" s="37" t="s">
        <v>810</v>
      </c>
      <c r="G1180" s="39" t="s">
        <v>884</v>
      </c>
    </row>
    <row r="1181" customFormat="false" ht="15" hidden="false" customHeight="false" outlineLevel="0" collapsed="false">
      <c r="A1181" s="37" t="s">
        <v>207</v>
      </c>
      <c r="B1181" s="37" t="s">
        <v>218</v>
      </c>
      <c r="C1181" s="37" t="s">
        <v>178</v>
      </c>
      <c r="D1181" s="37" t="s">
        <v>37</v>
      </c>
      <c r="E1181" s="38" t="n">
        <f aca="false">'Matrice des notes'!M38</f>
        <v>1</v>
      </c>
      <c r="F1181" s="37" t="s">
        <v>812</v>
      </c>
      <c r="G1181" s="39" t="s">
        <v>813</v>
      </c>
    </row>
    <row r="1182" customFormat="false" ht="15" hidden="false" customHeight="false" outlineLevel="0" collapsed="false">
      <c r="A1182" s="37" t="s">
        <v>207</v>
      </c>
      <c r="B1182" s="37" t="s">
        <v>218</v>
      </c>
      <c r="C1182" s="37" t="s">
        <v>178</v>
      </c>
      <c r="D1182" s="37" t="s">
        <v>40</v>
      </c>
      <c r="E1182" s="38" t="n">
        <f aca="false">'Matrice des notes'!N38</f>
        <v>2</v>
      </c>
      <c r="F1182" s="37" t="s">
        <v>814</v>
      </c>
      <c r="G1182" s="39" t="s">
        <v>815</v>
      </c>
    </row>
    <row r="1183" customFormat="false" ht="15" hidden="false" customHeight="false" outlineLevel="0" collapsed="false">
      <c r="A1183" s="37" t="s">
        <v>207</v>
      </c>
      <c r="B1183" s="37" t="s">
        <v>218</v>
      </c>
      <c r="C1183" s="37" t="s">
        <v>178</v>
      </c>
      <c r="D1183" s="37" t="s">
        <v>43</v>
      </c>
      <c r="E1183" s="38" t="n">
        <f aca="false">'Matrice des notes'!O38</f>
        <v>2</v>
      </c>
      <c r="F1183" s="37" t="s">
        <v>816</v>
      </c>
      <c r="G1183" s="39" t="s">
        <v>817</v>
      </c>
    </row>
    <row r="1184" customFormat="false" ht="15" hidden="false" customHeight="false" outlineLevel="0" collapsed="false">
      <c r="A1184" s="37" t="s">
        <v>207</v>
      </c>
      <c r="B1184" s="37" t="s">
        <v>218</v>
      </c>
      <c r="C1184" s="37" t="s">
        <v>178</v>
      </c>
      <c r="D1184" s="37" t="s">
        <v>46</v>
      </c>
      <c r="E1184" s="38" t="n">
        <f aca="false">'Matrice des notes'!P38</f>
        <v>2</v>
      </c>
      <c r="F1184" s="37" t="s">
        <v>799</v>
      </c>
      <c r="G1184" s="39" t="s">
        <v>818</v>
      </c>
    </row>
    <row r="1185" customFormat="false" ht="15" hidden="false" customHeight="false" outlineLevel="0" collapsed="false">
      <c r="A1185" s="37" t="s">
        <v>207</v>
      </c>
      <c r="B1185" s="37" t="s">
        <v>218</v>
      </c>
      <c r="C1185" s="37" t="s">
        <v>179</v>
      </c>
      <c r="D1185" s="37" t="s">
        <v>49</v>
      </c>
      <c r="E1185" s="38" t="n">
        <f aca="false">'Matrice des notes'!Q38</f>
        <v>3</v>
      </c>
      <c r="F1185" s="37" t="s">
        <v>839</v>
      </c>
      <c r="G1185" s="39" t="s">
        <v>925</v>
      </c>
    </row>
    <row r="1186" customFormat="false" ht="15" hidden="false" customHeight="false" outlineLevel="0" collapsed="false">
      <c r="A1186" s="37" t="s">
        <v>207</v>
      </c>
      <c r="B1186" s="37" t="s">
        <v>218</v>
      </c>
      <c r="C1186" s="37" t="s">
        <v>179</v>
      </c>
      <c r="D1186" s="37" t="s">
        <v>53</v>
      </c>
      <c r="E1186" s="38" t="n">
        <f aca="false">'Matrice des notes'!R38</f>
        <v>5</v>
      </c>
      <c r="F1186" s="37" t="s">
        <v>821</v>
      </c>
      <c r="G1186" s="39" t="s">
        <v>822</v>
      </c>
    </row>
    <row r="1187" customFormat="false" ht="15" hidden="false" customHeight="false" outlineLevel="0" collapsed="false">
      <c r="A1187" s="37" t="s">
        <v>207</v>
      </c>
      <c r="B1187" s="37" t="s">
        <v>218</v>
      </c>
      <c r="C1187" s="37" t="s">
        <v>179</v>
      </c>
      <c r="D1187" s="37" t="s">
        <v>56</v>
      </c>
      <c r="E1187" s="38" t="n">
        <f aca="false">'Matrice des notes'!S38</f>
        <v>2</v>
      </c>
      <c r="F1187" s="37" t="s">
        <v>799</v>
      </c>
      <c r="G1187" s="39" t="s">
        <v>823</v>
      </c>
    </row>
    <row r="1188" customFormat="false" ht="15" hidden="false" customHeight="false" outlineLevel="0" collapsed="false">
      <c r="A1188" s="37" t="s">
        <v>207</v>
      </c>
      <c r="B1188" s="37" t="s">
        <v>218</v>
      </c>
      <c r="C1188" s="37" t="s">
        <v>179</v>
      </c>
      <c r="D1188" s="37" t="s">
        <v>59</v>
      </c>
      <c r="E1188" s="38" t="n">
        <f aca="false">'Matrice des notes'!T38</f>
        <v>2</v>
      </c>
      <c r="F1188" s="37" t="s">
        <v>799</v>
      </c>
      <c r="G1188" s="39" t="s">
        <v>824</v>
      </c>
    </row>
    <row r="1189" customFormat="false" ht="15" hidden="false" customHeight="false" outlineLevel="0" collapsed="false">
      <c r="A1189" s="37" t="s">
        <v>207</v>
      </c>
      <c r="B1189" s="37" t="s">
        <v>218</v>
      </c>
      <c r="C1189" s="37" t="s">
        <v>179</v>
      </c>
      <c r="D1189" s="37" t="s">
        <v>62</v>
      </c>
      <c r="E1189" s="38" t="n">
        <f aca="false">'Matrice des notes'!U38</f>
        <v>3</v>
      </c>
      <c r="F1189" s="37" t="s">
        <v>839</v>
      </c>
      <c r="G1189" s="39" t="s">
        <v>926</v>
      </c>
    </row>
    <row r="1190" customFormat="false" ht="15" hidden="false" customHeight="false" outlineLevel="0" collapsed="false">
      <c r="A1190" s="37" t="s">
        <v>207</v>
      </c>
      <c r="B1190" s="37" t="s">
        <v>218</v>
      </c>
      <c r="C1190" s="37" t="s">
        <v>179</v>
      </c>
      <c r="D1190" s="37" t="s">
        <v>65</v>
      </c>
      <c r="E1190" s="38" t="n">
        <f aca="false">'Matrice des notes'!V38</f>
        <v>3</v>
      </c>
      <c r="F1190" s="37" t="s">
        <v>637</v>
      </c>
      <c r="G1190" s="39" t="s">
        <v>638</v>
      </c>
    </row>
    <row r="1191" customFormat="false" ht="15" hidden="false" customHeight="false" outlineLevel="0" collapsed="false">
      <c r="A1191" s="37" t="s">
        <v>207</v>
      </c>
      <c r="B1191" s="37" t="s">
        <v>218</v>
      </c>
      <c r="C1191" s="37" t="s">
        <v>179</v>
      </c>
      <c r="D1191" s="37" t="s">
        <v>68</v>
      </c>
      <c r="E1191" s="38" t="n">
        <f aca="false">'Matrice des notes'!W38</f>
        <v>2</v>
      </c>
      <c r="F1191" s="37" t="s">
        <v>827</v>
      </c>
      <c r="G1191" s="39" t="s">
        <v>828</v>
      </c>
    </row>
    <row r="1192" customFormat="false" ht="15" hidden="false" customHeight="false" outlineLevel="0" collapsed="false">
      <c r="A1192" s="37" t="s">
        <v>207</v>
      </c>
      <c r="B1192" s="37" t="s">
        <v>218</v>
      </c>
      <c r="C1192" s="37" t="s">
        <v>179</v>
      </c>
      <c r="D1192" s="37" t="s">
        <v>71</v>
      </c>
      <c r="E1192" s="38" t="n">
        <f aca="false">'Matrice des notes'!X38</f>
        <v>2</v>
      </c>
      <c r="F1192" s="37" t="s">
        <v>718</v>
      </c>
      <c r="G1192" s="39" t="s">
        <v>829</v>
      </c>
    </row>
    <row r="1193" customFormat="false" ht="15" hidden="false" customHeight="false" outlineLevel="0" collapsed="false">
      <c r="A1193" s="37" t="s">
        <v>207</v>
      </c>
      <c r="B1193" s="37" t="s">
        <v>218</v>
      </c>
      <c r="C1193" s="37" t="s">
        <v>179</v>
      </c>
      <c r="D1193" s="37" t="s">
        <v>74</v>
      </c>
      <c r="E1193" s="38" t="n">
        <f aca="false">'Matrice des notes'!Y38</f>
        <v>3</v>
      </c>
      <c r="F1193" s="37" t="s">
        <v>637</v>
      </c>
      <c r="G1193" s="39" t="s">
        <v>638</v>
      </c>
    </row>
    <row r="1194" customFormat="false" ht="15" hidden="false" customHeight="false" outlineLevel="0" collapsed="false">
      <c r="A1194" s="37" t="s">
        <v>207</v>
      </c>
      <c r="B1194" s="37" t="s">
        <v>218</v>
      </c>
      <c r="C1194" s="37" t="s">
        <v>179</v>
      </c>
      <c r="D1194" s="37" t="s">
        <v>77</v>
      </c>
      <c r="E1194" s="38" t="n">
        <f aca="false">'Matrice des notes'!Z38</f>
        <v>2</v>
      </c>
      <c r="F1194" s="37" t="s">
        <v>803</v>
      </c>
      <c r="G1194" s="39" t="s">
        <v>830</v>
      </c>
    </row>
    <row r="1195" customFormat="false" ht="15" hidden="false" customHeight="false" outlineLevel="0" collapsed="false">
      <c r="A1195" s="37" t="s">
        <v>207</v>
      </c>
      <c r="B1195" s="37" t="s">
        <v>218</v>
      </c>
      <c r="C1195" s="37" t="s">
        <v>179</v>
      </c>
      <c r="D1195" s="37" t="s">
        <v>80</v>
      </c>
      <c r="E1195" s="38" t="n">
        <f aca="false">'Matrice des notes'!AA38</f>
        <v>3</v>
      </c>
      <c r="F1195" s="37" t="s">
        <v>637</v>
      </c>
      <c r="G1195" s="39" t="s">
        <v>638</v>
      </c>
    </row>
    <row r="1196" customFormat="false" ht="15" hidden="false" customHeight="false" outlineLevel="0" collapsed="false">
      <c r="A1196" s="37" t="s">
        <v>207</v>
      </c>
      <c r="B1196" s="37" t="s">
        <v>218</v>
      </c>
      <c r="C1196" s="37" t="s">
        <v>179</v>
      </c>
      <c r="D1196" s="37" t="s">
        <v>83</v>
      </c>
      <c r="E1196" s="38" t="n">
        <f aca="false">'Matrice des notes'!AB38</f>
        <v>4</v>
      </c>
      <c r="F1196" s="37" t="s">
        <v>831</v>
      </c>
      <c r="G1196" s="39" t="s">
        <v>832</v>
      </c>
    </row>
    <row r="1197" customFormat="false" ht="15" hidden="false" customHeight="false" outlineLevel="0" collapsed="false">
      <c r="A1197" s="37" t="s">
        <v>207</v>
      </c>
      <c r="B1197" s="37" t="s">
        <v>218</v>
      </c>
      <c r="C1197" s="37" t="s">
        <v>179</v>
      </c>
      <c r="D1197" s="37" t="s">
        <v>86</v>
      </c>
      <c r="E1197" s="38" t="n">
        <f aca="false">'Matrice des notes'!AC38</f>
        <v>3</v>
      </c>
      <c r="F1197" s="37" t="s">
        <v>637</v>
      </c>
      <c r="G1197" s="39" t="s">
        <v>638</v>
      </c>
    </row>
    <row r="1198" customFormat="false" ht="15" hidden="false" customHeight="false" outlineLevel="0" collapsed="false">
      <c r="A1198" s="37" t="s">
        <v>207</v>
      </c>
      <c r="B1198" s="37" t="s">
        <v>218</v>
      </c>
      <c r="C1198" s="37" t="s">
        <v>179</v>
      </c>
      <c r="D1198" s="37" t="s">
        <v>89</v>
      </c>
      <c r="E1198" s="38" t="n">
        <f aca="false">'Matrice des notes'!AD38</f>
        <v>3</v>
      </c>
      <c r="F1198" s="37" t="s">
        <v>637</v>
      </c>
      <c r="G1198" s="39" t="s">
        <v>638</v>
      </c>
    </row>
    <row r="1199" customFormat="false" ht="22.35" hidden="false" customHeight="false" outlineLevel="0" collapsed="false">
      <c r="A1199" s="37" t="s">
        <v>207</v>
      </c>
      <c r="B1199" s="37" t="s">
        <v>218</v>
      </c>
      <c r="C1199" s="37" t="s">
        <v>179</v>
      </c>
      <c r="D1199" s="37" t="s">
        <v>92</v>
      </c>
      <c r="E1199" s="38" t="n">
        <f aca="false">'Matrice des notes'!AE38</f>
        <v>4</v>
      </c>
      <c r="F1199" s="37" t="s">
        <v>833</v>
      </c>
      <c r="G1199" s="39" t="s">
        <v>834</v>
      </c>
    </row>
    <row r="1200" customFormat="false" ht="15" hidden="false" customHeight="false" outlineLevel="0" collapsed="false">
      <c r="A1200" s="37" t="s">
        <v>207</v>
      </c>
      <c r="B1200" s="37" t="s">
        <v>218</v>
      </c>
      <c r="C1200" s="37" t="s">
        <v>180</v>
      </c>
      <c r="D1200" s="37" t="s">
        <v>95</v>
      </c>
      <c r="E1200" s="38" t="n">
        <f aca="false">'Matrice des notes'!AF38</f>
        <v>1</v>
      </c>
      <c r="F1200" s="37" t="s">
        <v>631</v>
      </c>
      <c r="G1200" s="39" t="s">
        <v>654</v>
      </c>
    </row>
    <row r="1201" customFormat="false" ht="15" hidden="false" customHeight="false" outlineLevel="0" collapsed="false">
      <c r="A1201" s="37" t="s">
        <v>207</v>
      </c>
      <c r="B1201" s="37" t="s">
        <v>218</v>
      </c>
      <c r="C1201" s="37" t="s">
        <v>180</v>
      </c>
      <c r="D1201" s="37" t="s">
        <v>99</v>
      </c>
      <c r="E1201" s="38" t="n">
        <f aca="false">'Matrice des notes'!AG38</f>
        <v>1</v>
      </c>
      <c r="F1201" s="37" t="s">
        <v>655</v>
      </c>
      <c r="G1201" s="39" t="s">
        <v>656</v>
      </c>
    </row>
    <row r="1202" customFormat="false" ht="15" hidden="false" customHeight="false" outlineLevel="0" collapsed="false">
      <c r="A1202" s="37" t="s">
        <v>207</v>
      </c>
      <c r="B1202" s="37" t="s">
        <v>218</v>
      </c>
      <c r="C1202" s="37" t="s">
        <v>180</v>
      </c>
      <c r="D1202" s="37" t="s">
        <v>102</v>
      </c>
      <c r="E1202" s="38" t="n">
        <f aca="false">'Matrice des notes'!AH38</f>
        <v>1</v>
      </c>
      <c r="F1202" s="37" t="s">
        <v>655</v>
      </c>
      <c r="G1202" s="39" t="s">
        <v>656</v>
      </c>
    </row>
    <row r="1203" customFormat="false" ht="15" hidden="false" customHeight="false" outlineLevel="0" collapsed="false">
      <c r="A1203" s="37" t="s">
        <v>207</v>
      </c>
      <c r="B1203" s="37" t="s">
        <v>218</v>
      </c>
      <c r="C1203" s="37" t="s">
        <v>180</v>
      </c>
      <c r="D1203" s="37" t="s">
        <v>104</v>
      </c>
      <c r="E1203" s="38" t="n">
        <f aca="false">'Matrice des notes'!AI38</f>
        <v>1</v>
      </c>
      <c r="F1203" s="37" t="s">
        <v>631</v>
      </c>
      <c r="G1203" s="39" t="s">
        <v>654</v>
      </c>
    </row>
    <row r="1204" customFormat="false" ht="15" hidden="false" customHeight="false" outlineLevel="0" collapsed="false">
      <c r="A1204" s="37" t="s">
        <v>207</v>
      </c>
      <c r="B1204" s="37" t="s">
        <v>218</v>
      </c>
      <c r="C1204" s="37" t="s">
        <v>180</v>
      </c>
      <c r="D1204" s="37" t="s">
        <v>107</v>
      </c>
      <c r="E1204" s="38" t="n">
        <f aca="false">'Matrice des notes'!AJ38</f>
        <v>1</v>
      </c>
      <c r="F1204" s="37" t="s">
        <v>631</v>
      </c>
      <c r="G1204" s="39" t="s">
        <v>654</v>
      </c>
    </row>
    <row r="1205" customFormat="false" ht="15" hidden="false" customHeight="false" outlineLevel="0" collapsed="false">
      <c r="A1205" s="37" t="s">
        <v>207</v>
      </c>
      <c r="B1205" s="37" t="s">
        <v>218</v>
      </c>
      <c r="C1205" s="37" t="s">
        <v>180</v>
      </c>
      <c r="D1205" s="37" t="s">
        <v>110</v>
      </c>
      <c r="E1205" s="38" t="n">
        <f aca="false">'Matrice des notes'!AK38</f>
        <v>1</v>
      </c>
      <c r="F1205" s="37" t="s">
        <v>631</v>
      </c>
      <c r="G1205" s="39" t="s">
        <v>654</v>
      </c>
    </row>
    <row r="1206" customFormat="false" ht="15" hidden="false" customHeight="false" outlineLevel="0" collapsed="false">
      <c r="A1206" s="37" t="s">
        <v>207</v>
      </c>
      <c r="B1206" s="37" t="s">
        <v>218</v>
      </c>
      <c r="C1206" s="37" t="s">
        <v>180</v>
      </c>
      <c r="D1206" s="37" t="s">
        <v>113</v>
      </c>
      <c r="E1206" s="38" t="n">
        <f aca="false">'Matrice des notes'!AL38</f>
        <v>1</v>
      </c>
      <c r="F1206" s="37" t="s">
        <v>631</v>
      </c>
      <c r="G1206" s="39" t="s">
        <v>654</v>
      </c>
    </row>
    <row r="1207" customFormat="false" ht="15" hidden="false" customHeight="false" outlineLevel="0" collapsed="false">
      <c r="A1207" s="37" t="s">
        <v>207</v>
      </c>
      <c r="B1207" s="37" t="s">
        <v>218</v>
      </c>
      <c r="C1207" s="37" t="s">
        <v>180</v>
      </c>
      <c r="D1207" s="37" t="s">
        <v>116</v>
      </c>
      <c r="E1207" s="38" t="n">
        <f aca="false">'Matrice des notes'!AM38</f>
        <v>1</v>
      </c>
      <c r="F1207" s="37" t="s">
        <v>655</v>
      </c>
      <c r="G1207" s="39" t="s">
        <v>656</v>
      </c>
    </row>
    <row r="1208" customFormat="false" ht="15" hidden="false" customHeight="false" outlineLevel="0" collapsed="false">
      <c r="A1208" s="37" t="s">
        <v>207</v>
      </c>
      <c r="B1208" s="37" t="s">
        <v>218</v>
      </c>
      <c r="C1208" s="37" t="s">
        <v>180</v>
      </c>
      <c r="D1208" s="37" t="s">
        <v>119</v>
      </c>
      <c r="E1208" s="38" t="n">
        <f aca="false">'Matrice des notes'!AN38</f>
        <v>1</v>
      </c>
      <c r="F1208" s="37" t="s">
        <v>631</v>
      </c>
      <c r="G1208" s="39" t="s">
        <v>654</v>
      </c>
    </row>
    <row r="1209" customFormat="false" ht="15" hidden="false" customHeight="false" outlineLevel="0" collapsed="false">
      <c r="A1209" s="37" t="s">
        <v>207</v>
      </c>
      <c r="B1209" s="37" t="s">
        <v>218</v>
      </c>
      <c r="C1209" s="37" t="s">
        <v>180</v>
      </c>
      <c r="D1209" s="37" t="s">
        <v>121</v>
      </c>
      <c r="E1209" s="38" t="n">
        <f aca="false">'Matrice des notes'!AO38</f>
        <v>1</v>
      </c>
      <c r="F1209" s="37" t="s">
        <v>657</v>
      </c>
      <c r="G1209" s="39" t="s">
        <v>658</v>
      </c>
    </row>
    <row r="1210" customFormat="false" ht="15" hidden="false" customHeight="false" outlineLevel="0" collapsed="false">
      <c r="A1210" s="37" t="s">
        <v>207</v>
      </c>
      <c r="B1210" s="37" t="s">
        <v>218</v>
      </c>
      <c r="C1210" s="37" t="s">
        <v>180</v>
      </c>
      <c r="D1210" s="37" t="s">
        <v>124</v>
      </c>
      <c r="E1210" s="38" t="n">
        <f aca="false">'Matrice des notes'!AP38</f>
        <v>1</v>
      </c>
      <c r="F1210" s="37" t="s">
        <v>863</v>
      </c>
      <c r="G1210" s="39" t="s">
        <v>864</v>
      </c>
    </row>
    <row r="1211" customFormat="false" ht="15" hidden="false" customHeight="false" outlineLevel="0" collapsed="false">
      <c r="A1211" s="37" t="s">
        <v>207</v>
      </c>
      <c r="B1211" s="37" t="s">
        <v>219</v>
      </c>
      <c r="C1211" s="37" t="s">
        <v>178</v>
      </c>
      <c r="D1211" s="37" t="s">
        <v>7</v>
      </c>
      <c r="E1211" s="38" t="n">
        <f aca="false">'Matrice des notes'!D39</f>
        <v>5</v>
      </c>
      <c r="F1211" s="37" t="s">
        <v>797</v>
      </c>
      <c r="G1211" s="39" t="s">
        <v>798</v>
      </c>
    </row>
    <row r="1212" customFormat="false" ht="15" hidden="false" customHeight="false" outlineLevel="0" collapsed="false">
      <c r="A1212" s="37" t="s">
        <v>207</v>
      </c>
      <c r="B1212" s="37" t="s">
        <v>219</v>
      </c>
      <c r="C1212" s="37" t="s">
        <v>178</v>
      </c>
      <c r="D1212" s="37" t="s">
        <v>11</v>
      </c>
      <c r="E1212" s="38" t="n">
        <f aca="false">'Matrice des notes'!E39</f>
        <v>2</v>
      </c>
      <c r="F1212" s="37" t="s">
        <v>799</v>
      </c>
      <c r="G1212" s="39" t="s">
        <v>800</v>
      </c>
    </row>
    <row r="1213" customFormat="false" ht="15" hidden="false" customHeight="false" outlineLevel="0" collapsed="false">
      <c r="A1213" s="37" t="s">
        <v>207</v>
      </c>
      <c r="B1213" s="37" t="s">
        <v>219</v>
      </c>
      <c r="C1213" s="37" t="s">
        <v>178</v>
      </c>
      <c r="D1213" s="37" t="s">
        <v>14</v>
      </c>
      <c r="E1213" s="38" t="n">
        <f aca="false">'Matrice des notes'!F39</f>
        <v>2</v>
      </c>
      <c r="F1213" s="37" t="s">
        <v>801</v>
      </c>
      <c r="G1213" s="39" t="s">
        <v>802</v>
      </c>
    </row>
    <row r="1214" customFormat="false" ht="15" hidden="false" customHeight="false" outlineLevel="0" collapsed="false">
      <c r="A1214" s="37" t="s">
        <v>207</v>
      </c>
      <c r="B1214" s="37" t="s">
        <v>219</v>
      </c>
      <c r="C1214" s="37" t="s">
        <v>178</v>
      </c>
      <c r="D1214" s="37" t="s">
        <v>17</v>
      </c>
      <c r="E1214" s="38" t="n">
        <f aca="false">'Matrice des notes'!G39</f>
        <v>2</v>
      </c>
      <c r="F1214" s="37" t="s">
        <v>803</v>
      </c>
      <c r="G1214" s="39" t="s">
        <v>804</v>
      </c>
    </row>
    <row r="1215" customFormat="false" ht="15" hidden="false" customHeight="false" outlineLevel="0" collapsed="false">
      <c r="A1215" s="37" t="s">
        <v>207</v>
      </c>
      <c r="B1215" s="37" t="s">
        <v>219</v>
      </c>
      <c r="C1215" s="37" t="s">
        <v>178</v>
      </c>
      <c r="D1215" s="37" t="s">
        <v>20</v>
      </c>
      <c r="E1215" s="38" t="n">
        <f aca="false">'Matrice des notes'!H39</f>
        <v>2</v>
      </c>
      <c r="F1215" s="37" t="s">
        <v>799</v>
      </c>
      <c r="G1215" s="39" t="s">
        <v>805</v>
      </c>
    </row>
    <row r="1216" customFormat="false" ht="15" hidden="false" customHeight="false" outlineLevel="0" collapsed="false">
      <c r="A1216" s="37" t="s">
        <v>207</v>
      </c>
      <c r="B1216" s="37" t="s">
        <v>219</v>
      </c>
      <c r="C1216" s="37" t="s">
        <v>178</v>
      </c>
      <c r="D1216" s="37" t="s">
        <v>23</v>
      </c>
      <c r="E1216" s="38" t="n">
        <f aca="false">'Matrice des notes'!I39</f>
        <v>2</v>
      </c>
      <c r="F1216" s="37" t="s">
        <v>799</v>
      </c>
      <c r="G1216" s="39" t="s">
        <v>806</v>
      </c>
    </row>
    <row r="1217" customFormat="false" ht="15" hidden="false" customHeight="false" outlineLevel="0" collapsed="false">
      <c r="A1217" s="37" t="s">
        <v>207</v>
      </c>
      <c r="B1217" s="37" t="s">
        <v>219</v>
      </c>
      <c r="C1217" s="37" t="s">
        <v>178</v>
      </c>
      <c r="D1217" s="37" t="s">
        <v>26</v>
      </c>
      <c r="E1217" s="38" t="n">
        <f aca="false">'Matrice des notes'!J39</f>
        <v>2</v>
      </c>
      <c r="F1217" s="37" t="s">
        <v>807</v>
      </c>
      <c r="G1217" s="39" t="s">
        <v>808</v>
      </c>
    </row>
    <row r="1218" customFormat="false" ht="15" hidden="false" customHeight="false" outlineLevel="0" collapsed="false">
      <c r="A1218" s="37" t="s">
        <v>207</v>
      </c>
      <c r="B1218" s="37" t="s">
        <v>219</v>
      </c>
      <c r="C1218" s="37" t="s">
        <v>178</v>
      </c>
      <c r="D1218" s="37" t="s">
        <v>30</v>
      </c>
      <c r="E1218" s="38" t="n">
        <f aca="false">'Matrice des notes'!K39</f>
        <v>2</v>
      </c>
      <c r="F1218" s="37" t="s">
        <v>801</v>
      </c>
      <c r="G1218" s="39" t="s">
        <v>809</v>
      </c>
    </row>
    <row r="1219" customFormat="false" ht="15" hidden="false" customHeight="false" outlineLevel="0" collapsed="false">
      <c r="A1219" s="37" t="s">
        <v>207</v>
      </c>
      <c r="B1219" s="37" t="s">
        <v>219</v>
      </c>
      <c r="C1219" s="37" t="s">
        <v>178</v>
      </c>
      <c r="D1219" s="37" t="s">
        <v>34</v>
      </c>
      <c r="E1219" s="38" t="n">
        <f aca="false">'Matrice des notes'!L39</f>
        <v>4</v>
      </c>
      <c r="F1219" s="37" t="s">
        <v>810</v>
      </c>
      <c r="G1219" s="39" t="s">
        <v>884</v>
      </c>
    </row>
    <row r="1220" customFormat="false" ht="15" hidden="false" customHeight="false" outlineLevel="0" collapsed="false">
      <c r="A1220" s="37" t="s">
        <v>207</v>
      </c>
      <c r="B1220" s="37" t="s">
        <v>219</v>
      </c>
      <c r="C1220" s="37" t="s">
        <v>178</v>
      </c>
      <c r="D1220" s="37" t="s">
        <v>37</v>
      </c>
      <c r="E1220" s="38" t="n">
        <f aca="false">'Matrice des notes'!M39</f>
        <v>1</v>
      </c>
      <c r="F1220" s="37" t="s">
        <v>812</v>
      </c>
      <c r="G1220" s="39" t="s">
        <v>813</v>
      </c>
    </row>
    <row r="1221" customFormat="false" ht="15" hidden="false" customHeight="false" outlineLevel="0" collapsed="false">
      <c r="A1221" s="37" t="s">
        <v>207</v>
      </c>
      <c r="B1221" s="37" t="s">
        <v>219</v>
      </c>
      <c r="C1221" s="37" t="s">
        <v>178</v>
      </c>
      <c r="D1221" s="37" t="s">
        <v>40</v>
      </c>
      <c r="E1221" s="38" t="n">
        <f aca="false">'Matrice des notes'!N39</f>
        <v>2</v>
      </c>
      <c r="F1221" s="37" t="s">
        <v>814</v>
      </c>
      <c r="G1221" s="39" t="s">
        <v>815</v>
      </c>
    </row>
    <row r="1222" customFormat="false" ht="15" hidden="false" customHeight="false" outlineLevel="0" collapsed="false">
      <c r="A1222" s="37" t="s">
        <v>207</v>
      </c>
      <c r="B1222" s="37" t="s">
        <v>219</v>
      </c>
      <c r="C1222" s="37" t="s">
        <v>178</v>
      </c>
      <c r="D1222" s="37" t="s">
        <v>43</v>
      </c>
      <c r="E1222" s="38" t="n">
        <f aca="false">'Matrice des notes'!O39</f>
        <v>2</v>
      </c>
      <c r="F1222" s="37" t="s">
        <v>816</v>
      </c>
      <c r="G1222" s="39" t="s">
        <v>817</v>
      </c>
    </row>
    <row r="1223" customFormat="false" ht="15" hidden="false" customHeight="false" outlineLevel="0" collapsed="false">
      <c r="A1223" s="37" t="s">
        <v>207</v>
      </c>
      <c r="B1223" s="37" t="s">
        <v>219</v>
      </c>
      <c r="C1223" s="37" t="s">
        <v>178</v>
      </c>
      <c r="D1223" s="37" t="s">
        <v>46</v>
      </c>
      <c r="E1223" s="38" t="n">
        <f aca="false">'Matrice des notes'!P39</f>
        <v>2</v>
      </c>
      <c r="F1223" s="37" t="s">
        <v>799</v>
      </c>
      <c r="G1223" s="39" t="s">
        <v>818</v>
      </c>
    </row>
    <row r="1224" customFormat="false" ht="15" hidden="false" customHeight="false" outlineLevel="0" collapsed="false">
      <c r="A1224" s="37" t="s">
        <v>207</v>
      </c>
      <c r="B1224" s="37" t="s">
        <v>219</v>
      </c>
      <c r="C1224" s="37" t="s">
        <v>179</v>
      </c>
      <c r="D1224" s="37" t="s">
        <v>49</v>
      </c>
      <c r="E1224" s="38" t="n">
        <f aca="false">'Matrice des notes'!Q39</f>
        <v>2</v>
      </c>
      <c r="F1224" s="37" t="s">
        <v>927</v>
      </c>
      <c r="G1224" s="39" t="s">
        <v>928</v>
      </c>
    </row>
    <row r="1225" customFormat="false" ht="15" hidden="false" customHeight="false" outlineLevel="0" collapsed="false">
      <c r="A1225" s="37" t="s">
        <v>207</v>
      </c>
      <c r="B1225" s="37" t="s">
        <v>219</v>
      </c>
      <c r="C1225" s="37" t="s">
        <v>179</v>
      </c>
      <c r="D1225" s="37" t="s">
        <v>53</v>
      </c>
      <c r="E1225" s="38" t="n">
        <f aca="false">'Matrice des notes'!R39</f>
        <v>5</v>
      </c>
      <c r="F1225" s="37" t="s">
        <v>821</v>
      </c>
      <c r="G1225" s="39" t="s">
        <v>822</v>
      </c>
    </row>
    <row r="1226" customFormat="false" ht="15" hidden="false" customHeight="false" outlineLevel="0" collapsed="false">
      <c r="A1226" s="37" t="s">
        <v>207</v>
      </c>
      <c r="B1226" s="37" t="s">
        <v>219</v>
      </c>
      <c r="C1226" s="37" t="s">
        <v>179</v>
      </c>
      <c r="D1226" s="37" t="s">
        <v>56</v>
      </c>
      <c r="E1226" s="38" t="n">
        <f aca="false">'Matrice des notes'!S39</f>
        <v>2</v>
      </c>
      <c r="F1226" s="37" t="s">
        <v>799</v>
      </c>
      <c r="G1226" s="39" t="s">
        <v>823</v>
      </c>
    </row>
    <row r="1227" customFormat="false" ht="15" hidden="false" customHeight="false" outlineLevel="0" collapsed="false">
      <c r="A1227" s="37" t="s">
        <v>207</v>
      </c>
      <c r="B1227" s="37" t="s">
        <v>219</v>
      </c>
      <c r="C1227" s="37" t="s">
        <v>179</v>
      </c>
      <c r="D1227" s="37" t="s">
        <v>59</v>
      </c>
      <c r="E1227" s="38" t="n">
        <f aca="false">'Matrice des notes'!T39</f>
        <v>2</v>
      </c>
      <c r="F1227" s="37" t="s">
        <v>799</v>
      </c>
      <c r="G1227" s="39" t="s">
        <v>824</v>
      </c>
    </row>
    <row r="1228" customFormat="false" ht="15" hidden="false" customHeight="false" outlineLevel="0" collapsed="false">
      <c r="A1228" s="37" t="s">
        <v>207</v>
      </c>
      <c r="B1228" s="37" t="s">
        <v>219</v>
      </c>
      <c r="C1228" s="37" t="s">
        <v>179</v>
      </c>
      <c r="D1228" s="37" t="s">
        <v>62</v>
      </c>
      <c r="E1228" s="38" t="n">
        <f aca="false">'Matrice des notes'!U39</f>
        <v>2</v>
      </c>
      <c r="F1228" s="37" t="s">
        <v>927</v>
      </c>
      <c r="G1228" s="39" t="s">
        <v>929</v>
      </c>
    </row>
    <row r="1229" customFormat="false" ht="15" hidden="false" customHeight="false" outlineLevel="0" collapsed="false">
      <c r="A1229" s="37" t="s">
        <v>207</v>
      </c>
      <c r="B1229" s="37" t="s">
        <v>219</v>
      </c>
      <c r="C1229" s="37" t="s">
        <v>179</v>
      </c>
      <c r="D1229" s="37" t="s">
        <v>65</v>
      </c>
      <c r="E1229" s="38" t="n">
        <f aca="false">'Matrice des notes'!V39</f>
        <v>3</v>
      </c>
      <c r="F1229" s="37" t="s">
        <v>637</v>
      </c>
      <c r="G1229" s="39" t="s">
        <v>638</v>
      </c>
    </row>
    <row r="1230" customFormat="false" ht="15" hidden="false" customHeight="false" outlineLevel="0" collapsed="false">
      <c r="A1230" s="37" t="s">
        <v>207</v>
      </c>
      <c r="B1230" s="37" t="s">
        <v>219</v>
      </c>
      <c r="C1230" s="37" t="s">
        <v>179</v>
      </c>
      <c r="D1230" s="37" t="s">
        <v>68</v>
      </c>
      <c r="E1230" s="38" t="n">
        <f aca="false">'Matrice des notes'!W39</f>
        <v>2</v>
      </c>
      <c r="F1230" s="37" t="s">
        <v>827</v>
      </c>
      <c r="G1230" s="39" t="s">
        <v>828</v>
      </c>
    </row>
    <row r="1231" customFormat="false" ht="15" hidden="false" customHeight="false" outlineLevel="0" collapsed="false">
      <c r="A1231" s="37" t="s">
        <v>207</v>
      </c>
      <c r="B1231" s="37" t="s">
        <v>219</v>
      </c>
      <c r="C1231" s="37" t="s">
        <v>179</v>
      </c>
      <c r="D1231" s="37" t="s">
        <v>71</v>
      </c>
      <c r="E1231" s="38" t="n">
        <f aca="false">'Matrice des notes'!X39</f>
        <v>2</v>
      </c>
      <c r="F1231" s="37" t="s">
        <v>718</v>
      </c>
      <c r="G1231" s="39" t="s">
        <v>829</v>
      </c>
    </row>
    <row r="1232" customFormat="false" ht="15" hidden="false" customHeight="false" outlineLevel="0" collapsed="false">
      <c r="A1232" s="37" t="s">
        <v>207</v>
      </c>
      <c r="B1232" s="37" t="s">
        <v>219</v>
      </c>
      <c r="C1232" s="37" t="s">
        <v>179</v>
      </c>
      <c r="D1232" s="37" t="s">
        <v>74</v>
      </c>
      <c r="E1232" s="38" t="n">
        <f aca="false">'Matrice des notes'!Y39</f>
        <v>3</v>
      </c>
      <c r="F1232" s="37" t="s">
        <v>637</v>
      </c>
      <c r="G1232" s="39" t="s">
        <v>638</v>
      </c>
    </row>
    <row r="1233" customFormat="false" ht="15" hidden="false" customHeight="false" outlineLevel="0" collapsed="false">
      <c r="A1233" s="37" t="s">
        <v>207</v>
      </c>
      <c r="B1233" s="37" t="s">
        <v>219</v>
      </c>
      <c r="C1233" s="37" t="s">
        <v>179</v>
      </c>
      <c r="D1233" s="37" t="s">
        <v>77</v>
      </c>
      <c r="E1233" s="38" t="n">
        <f aca="false">'Matrice des notes'!Z39</f>
        <v>2</v>
      </c>
      <c r="F1233" s="37" t="s">
        <v>803</v>
      </c>
      <c r="G1233" s="39" t="s">
        <v>830</v>
      </c>
    </row>
    <row r="1234" customFormat="false" ht="15" hidden="false" customHeight="false" outlineLevel="0" collapsed="false">
      <c r="A1234" s="37" t="s">
        <v>207</v>
      </c>
      <c r="B1234" s="37" t="s">
        <v>219</v>
      </c>
      <c r="C1234" s="37" t="s">
        <v>179</v>
      </c>
      <c r="D1234" s="37" t="s">
        <v>80</v>
      </c>
      <c r="E1234" s="38" t="n">
        <f aca="false">'Matrice des notes'!AA39</f>
        <v>3</v>
      </c>
      <c r="F1234" s="37" t="s">
        <v>637</v>
      </c>
      <c r="G1234" s="39" t="s">
        <v>638</v>
      </c>
    </row>
    <row r="1235" customFormat="false" ht="15" hidden="false" customHeight="false" outlineLevel="0" collapsed="false">
      <c r="A1235" s="37" t="s">
        <v>207</v>
      </c>
      <c r="B1235" s="37" t="s">
        <v>219</v>
      </c>
      <c r="C1235" s="37" t="s">
        <v>179</v>
      </c>
      <c r="D1235" s="37" t="s">
        <v>83</v>
      </c>
      <c r="E1235" s="38" t="n">
        <f aca="false">'Matrice des notes'!AB39</f>
        <v>4</v>
      </c>
      <c r="F1235" s="37" t="s">
        <v>831</v>
      </c>
      <c r="G1235" s="39" t="s">
        <v>832</v>
      </c>
    </row>
    <row r="1236" customFormat="false" ht="15" hidden="false" customHeight="false" outlineLevel="0" collapsed="false">
      <c r="A1236" s="37" t="s">
        <v>207</v>
      </c>
      <c r="B1236" s="37" t="s">
        <v>219</v>
      </c>
      <c r="C1236" s="37" t="s">
        <v>179</v>
      </c>
      <c r="D1236" s="37" t="s">
        <v>86</v>
      </c>
      <c r="E1236" s="38" t="n">
        <f aca="false">'Matrice des notes'!AC39</f>
        <v>3</v>
      </c>
      <c r="F1236" s="37" t="s">
        <v>637</v>
      </c>
      <c r="G1236" s="39" t="s">
        <v>638</v>
      </c>
    </row>
    <row r="1237" customFormat="false" ht="15" hidden="false" customHeight="false" outlineLevel="0" collapsed="false">
      <c r="A1237" s="37" t="s">
        <v>207</v>
      </c>
      <c r="B1237" s="37" t="s">
        <v>219</v>
      </c>
      <c r="C1237" s="37" t="s">
        <v>179</v>
      </c>
      <c r="D1237" s="37" t="s">
        <v>89</v>
      </c>
      <c r="E1237" s="38" t="n">
        <f aca="false">'Matrice des notes'!AD39</f>
        <v>3</v>
      </c>
      <c r="F1237" s="37" t="s">
        <v>637</v>
      </c>
      <c r="G1237" s="39" t="s">
        <v>638</v>
      </c>
    </row>
    <row r="1238" customFormat="false" ht="22.35" hidden="false" customHeight="false" outlineLevel="0" collapsed="false">
      <c r="A1238" s="37" t="s">
        <v>207</v>
      </c>
      <c r="B1238" s="37" t="s">
        <v>219</v>
      </c>
      <c r="C1238" s="37" t="s">
        <v>179</v>
      </c>
      <c r="D1238" s="37" t="s">
        <v>92</v>
      </c>
      <c r="E1238" s="38" t="n">
        <f aca="false">'Matrice des notes'!AE39</f>
        <v>4</v>
      </c>
      <c r="F1238" s="37" t="s">
        <v>833</v>
      </c>
      <c r="G1238" s="39" t="s">
        <v>834</v>
      </c>
    </row>
    <row r="1239" customFormat="false" ht="15" hidden="false" customHeight="false" outlineLevel="0" collapsed="false">
      <c r="A1239" s="37" t="s">
        <v>207</v>
      </c>
      <c r="B1239" s="37" t="s">
        <v>219</v>
      </c>
      <c r="C1239" s="37" t="s">
        <v>180</v>
      </c>
      <c r="D1239" s="37" t="s">
        <v>95</v>
      </c>
      <c r="E1239" s="38" t="n">
        <f aca="false">'Matrice des notes'!AF39</f>
        <v>1</v>
      </c>
      <c r="F1239" s="37" t="s">
        <v>631</v>
      </c>
      <c r="G1239" s="39" t="s">
        <v>654</v>
      </c>
    </row>
    <row r="1240" customFormat="false" ht="15" hidden="false" customHeight="false" outlineLevel="0" collapsed="false">
      <c r="A1240" s="37" t="s">
        <v>207</v>
      </c>
      <c r="B1240" s="37" t="s">
        <v>219</v>
      </c>
      <c r="C1240" s="37" t="s">
        <v>180</v>
      </c>
      <c r="D1240" s="37" t="s">
        <v>99</v>
      </c>
      <c r="E1240" s="38" t="n">
        <f aca="false">'Matrice des notes'!AG39</f>
        <v>1</v>
      </c>
      <c r="F1240" s="37" t="s">
        <v>655</v>
      </c>
      <c r="G1240" s="39" t="s">
        <v>656</v>
      </c>
    </row>
    <row r="1241" customFormat="false" ht="15" hidden="false" customHeight="false" outlineLevel="0" collapsed="false">
      <c r="A1241" s="37" t="s">
        <v>207</v>
      </c>
      <c r="B1241" s="37" t="s">
        <v>219</v>
      </c>
      <c r="C1241" s="37" t="s">
        <v>180</v>
      </c>
      <c r="D1241" s="37" t="s">
        <v>102</v>
      </c>
      <c r="E1241" s="38" t="n">
        <f aca="false">'Matrice des notes'!AH39</f>
        <v>1</v>
      </c>
      <c r="F1241" s="37" t="s">
        <v>655</v>
      </c>
      <c r="G1241" s="39" t="s">
        <v>656</v>
      </c>
    </row>
    <row r="1242" customFormat="false" ht="15" hidden="false" customHeight="false" outlineLevel="0" collapsed="false">
      <c r="A1242" s="37" t="s">
        <v>207</v>
      </c>
      <c r="B1242" s="37" t="s">
        <v>219</v>
      </c>
      <c r="C1242" s="37" t="s">
        <v>180</v>
      </c>
      <c r="D1242" s="37" t="s">
        <v>104</v>
      </c>
      <c r="E1242" s="38" t="n">
        <f aca="false">'Matrice des notes'!AI39</f>
        <v>1</v>
      </c>
      <c r="F1242" s="37" t="s">
        <v>631</v>
      </c>
      <c r="G1242" s="39" t="s">
        <v>654</v>
      </c>
    </row>
    <row r="1243" customFormat="false" ht="15" hidden="false" customHeight="false" outlineLevel="0" collapsed="false">
      <c r="A1243" s="37" t="s">
        <v>207</v>
      </c>
      <c r="B1243" s="37" t="s">
        <v>219</v>
      </c>
      <c r="C1243" s="37" t="s">
        <v>180</v>
      </c>
      <c r="D1243" s="37" t="s">
        <v>107</v>
      </c>
      <c r="E1243" s="38" t="n">
        <f aca="false">'Matrice des notes'!AJ39</f>
        <v>1</v>
      </c>
      <c r="F1243" s="37" t="s">
        <v>631</v>
      </c>
      <c r="G1243" s="39" t="s">
        <v>654</v>
      </c>
    </row>
    <row r="1244" customFormat="false" ht="15" hidden="false" customHeight="false" outlineLevel="0" collapsed="false">
      <c r="A1244" s="37" t="s">
        <v>207</v>
      </c>
      <c r="B1244" s="37" t="s">
        <v>219</v>
      </c>
      <c r="C1244" s="37" t="s">
        <v>180</v>
      </c>
      <c r="D1244" s="37" t="s">
        <v>110</v>
      </c>
      <c r="E1244" s="38" t="n">
        <f aca="false">'Matrice des notes'!AK39</f>
        <v>1</v>
      </c>
      <c r="F1244" s="37" t="s">
        <v>631</v>
      </c>
      <c r="G1244" s="39" t="s">
        <v>654</v>
      </c>
    </row>
    <row r="1245" customFormat="false" ht="15" hidden="false" customHeight="false" outlineLevel="0" collapsed="false">
      <c r="A1245" s="37" t="s">
        <v>207</v>
      </c>
      <c r="B1245" s="37" t="s">
        <v>219</v>
      </c>
      <c r="C1245" s="37" t="s">
        <v>180</v>
      </c>
      <c r="D1245" s="37" t="s">
        <v>113</v>
      </c>
      <c r="E1245" s="38" t="n">
        <f aca="false">'Matrice des notes'!AL39</f>
        <v>1</v>
      </c>
      <c r="F1245" s="37" t="s">
        <v>631</v>
      </c>
      <c r="G1245" s="39" t="s">
        <v>654</v>
      </c>
    </row>
    <row r="1246" customFormat="false" ht="15" hidden="false" customHeight="false" outlineLevel="0" collapsed="false">
      <c r="A1246" s="37" t="s">
        <v>207</v>
      </c>
      <c r="B1246" s="37" t="s">
        <v>219</v>
      </c>
      <c r="C1246" s="37" t="s">
        <v>180</v>
      </c>
      <c r="D1246" s="37" t="s">
        <v>116</v>
      </c>
      <c r="E1246" s="38" t="n">
        <f aca="false">'Matrice des notes'!AM39</f>
        <v>1</v>
      </c>
      <c r="F1246" s="37" t="s">
        <v>655</v>
      </c>
      <c r="G1246" s="39" t="s">
        <v>656</v>
      </c>
    </row>
    <row r="1247" customFormat="false" ht="15" hidden="false" customHeight="false" outlineLevel="0" collapsed="false">
      <c r="A1247" s="37" t="s">
        <v>207</v>
      </c>
      <c r="B1247" s="37" t="s">
        <v>219</v>
      </c>
      <c r="C1247" s="37" t="s">
        <v>180</v>
      </c>
      <c r="D1247" s="37" t="s">
        <v>119</v>
      </c>
      <c r="E1247" s="38" t="n">
        <f aca="false">'Matrice des notes'!AN39</f>
        <v>1</v>
      </c>
      <c r="F1247" s="37" t="s">
        <v>631</v>
      </c>
      <c r="G1247" s="39" t="s">
        <v>654</v>
      </c>
    </row>
    <row r="1248" customFormat="false" ht="15" hidden="false" customHeight="false" outlineLevel="0" collapsed="false">
      <c r="A1248" s="37" t="s">
        <v>207</v>
      </c>
      <c r="B1248" s="37" t="s">
        <v>219</v>
      </c>
      <c r="C1248" s="37" t="s">
        <v>180</v>
      </c>
      <c r="D1248" s="37" t="s">
        <v>121</v>
      </c>
      <c r="E1248" s="38" t="n">
        <f aca="false">'Matrice des notes'!AO39</f>
        <v>1</v>
      </c>
      <c r="F1248" s="37" t="s">
        <v>657</v>
      </c>
      <c r="G1248" s="39" t="s">
        <v>658</v>
      </c>
    </row>
    <row r="1249" customFormat="false" ht="15" hidden="false" customHeight="false" outlineLevel="0" collapsed="false">
      <c r="A1249" s="37" t="s">
        <v>207</v>
      </c>
      <c r="B1249" s="37" t="s">
        <v>219</v>
      </c>
      <c r="C1249" s="37" t="s">
        <v>180</v>
      </c>
      <c r="D1249" s="37" t="s">
        <v>124</v>
      </c>
      <c r="E1249" s="38" t="n">
        <f aca="false">'Matrice des notes'!AP39</f>
        <v>1</v>
      </c>
      <c r="F1249" s="37" t="s">
        <v>863</v>
      </c>
      <c r="G1249" s="39" t="s">
        <v>864</v>
      </c>
    </row>
    <row r="1250" customFormat="false" ht="15" hidden="false" customHeight="false" outlineLevel="0" collapsed="false">
      <c r="A1250" s="37" t="s">
        <v>207</v>
      </c>
      <c r="B1250" s="37" t="s">
        <v>220</v>
      </c>
      <c r="C1250" s="37" t="s">
        <v>178</v>
      </c>
      <c r="D1250" s="37" t="s">
        <v>7</v>
      </c>
      <c r="E1250" s="38" t="n">
        <f aca="false">'Matrice des notes'!D40</f>
        <v>2</v>
      </c>
      <c r="F1250" s="37" t="s">
        <v>673</v>
      </c>
      <c r="G1250" s="39" t="s">
        <v>930</v>
      </c>
    </row>
    <row r="1251" customFormat="false" ht="15" hidden="false" customHeight="false" outlineLevel="0" collapsed="false">
      <c r="A1251" s="37" t="s">
        <v>207</v>
      </c>
      <c r="B1251" s="37" t="s">
        <v>220</v>
      </c>
      <c r="C1251" s="37" t="s">
        <v>178</v>
      </c>
      <c r="D1251" s="37" t="s">
        <v>11</v>
      </c>
      <c r="E1251" s="38" t="n">
        <f aca="false">'Matrice des notes'!E40</f>
        <v>1</v>
      </c>
      <c r="F1251" s="37" t="s">
        <v>839</v>
      </c>
      <c r="G1251" s="39" t="s">
        <v>840</v>
      </c>
    </row>
    <row r="1252" customFormat="false" ht="15" hidden="false" customHeight="false" outlineLevel="0" collapsed="false">
      <c r="A1252" s="37" t="s">
        <v>207</v>
      </c>
      <c r="B1252" s="37" t="s">
        <v>220</v>
      </c>
      <c r="C1252" s="37" t="s">
        <v>178</v>
      </c>
      <c r="D1252" s="37" t="s">
        <v>14</v>
      </c>
      <c r="E1252" s="38" t="n">
        <f aca="false">'Matrice des notes'!F40</f>
        <v>1</v>
      </c>
      <c r="F1252" s="37" t="s">
        <v>677</v>
      </c>
      <c r="G1252" s="39" t="s">
        <v>841</v>
      </c>
    </row>
    <row r="1253" customFormat="false" ht="15" hidden="false" customHeight="false" outlineLevel="0" collapsed="false">
      <c r="A1253" s="37" t="s">
        <v>207</v>
      </c>
      <c r="B1253" s="37" t="s">
        <v>220</v>
      </c>
      <c r="C1253" s="37" t="s">
        <v>178</v>
      </c>
      <c r="D1253" s="37" t="s">
        <v>17</v>
      </c>
      <c r="E1253" s="38" t="n">
        <f aca="false">'Matrice des notes'!G40</f>
        <v>1</v>
      </c>
      <c r="F1253" s="37" t="s">
        <v>842</v>
      </c>
      <c r="G1253" s="39" t="s">
        <v>843</v>
      </c>
    </row>
    <row r="1254" customFormat="false" ht="15" hidden="false" customHeight="false" outlineLevel="0" collapsed="false">
      <c r="A1254" s="37" t="s">
        <v>207</v>
      </c>
      <c r="B1254" s="37" t="s">
        <v>220</v>
      </c>
      <c r="C1254" s="37" t="s">
        <v>178</v>
      </c>
      <c r="D1254" s="37" t="s">
        <v>20</v>
      </c>
      <c r="E1254" s="38" t="n">
        <f aca="false">'Matrice des notes'!H40</f>
        <v>1</v>
      </c>
      <c r="F1254" s="37" t="s">
        <v>839</v>
      </c>
      <c r="G1254" s="39" t="s">
        <v>844</v>
      </c>
    </row>
    <row r="1255" customFormat="false" ht="15" hidden="false" customHeight="false" outlineLevel="0" collapsed="false">
      <c r="A1255" s="37" t="s">
        <v>207</v>
      </c>
      <c r="B1255" s="37" t="s">
        <v>220</v>
      </c>
      <c r="C1255" s="37" t="s">
        <v>178</v>
      </c>
      <c r="D1255" s="37" t="s">
        <v>23</v>
      </c>
      <c r="E1255" s="38" t="n">
        <f aca="false">'Matrice des notes'!I40</f>
        <v>1</v>
      </c>
      <c r="F1255" s="37" t="s">
        <v>839</v>
      </c>
      <c r="G1255" s="39" t="s">
        <v>845</v>
      </c>
    </row>
    <row r="1256" customFormat="false" ht="15" hidden="false" customHeight="false" outlineLevel="0" collapsed="false">
      <c r="A1256" s="37" t="s">
        <v>207</v>
      </c>
      <c r="B1256" s="37" t="s">
        <v>220</v>
      </c>
      <c r="C1256" s="37" t="s">
        <v>178</v>
      </c>
      <c r="D1256" s="37" t="s">
        <v>26</v>
      </c>
      <c r="E1256" s="38" t="n">
        <f aca="false">'Matrice des notes'!J40</f>
        <v>1</v>
      </c>
      <c r="F1256" s="37" t="s">
        <v>835</v>
      </c>
      <c r="G1256" s="39" t="s">
        <v>846</v>
      </c>
    </row>
    <row r="1257" customFormat="false" ht="15" hidden="false" customHeight="false" outlineLevel="0" collapsed="false">
      <c r="A1257" s="37" t="s">
        <v>207</v>
      </c>
      <c r="B1257" s="37" t="s">
        <v>220</v>
      </c>
      <c r="C1257" s="37" t="s">
        <v>178</v>
      </c>
      <c r="D1257" s="37" t="s">
        <v>30</v>
      </c>
      <c r="E1257" s="38" t="n">
        <f aca="false">'Matrice des notes'!K40</f>
        <v>1</v>
      </c>
      <c r="F1257" s="37" t="s">
        <v>677</v>
      </c>
      <c r="G1257" s="39" t="s">
        <v>847</v>
      </c>
    </row>
    <row r="1258" customFormat="false" ht="15" hidden="false" customHeight="false" outlineLevel="0" collapsed="false">
      <c r="A1258" s="37" t="s">
        <v>207</v>
      </c>
      <c r="B1258" s="37" t="s">
        <v>220</v>
      </c>
      <c r="C1258" s="37" t="s">
        <v>178</v>
      </c>
      <c r="D1258" s="37" t="s">
        <v>34</v>
      </c>
      <c r="E1258" s="38" t="n">
        <f aca="false">'Matrice des notes'!L40</f>
        <v>3</v>
      </c>
      <c r="F1258" s="37" t="s">
        <v>903</v>
      </c>
      <c r="G1258" s="39" t="s">
        <v>931</v>
      </c>
    </row>
    <row r="1259" customFormat="false" ht="15" hidden="false" customHeight="false" outlineLevel="0" collapsed="false">
      <c r="A1259" s="37" t="s">
        <v>207</v>
      </c>
      <c r="B1259" s="37" t="s">
        <v>220</v>
      </c>
      <c r="C1259" s="37" t="s">
        <v>178</v>
      </c>
      <c r="D1259" s="37" t="s">
        <v>37</v>
      </c>
      <c r="E1259" s="38" t="n">
        <f aca="false">'Matrice des notes'!M40</f>
        <v>1</v>
      </c>
      <c r="F1259" s="37" t="s">
        <v>812</v>
      </c>
      <c r="G1259" s="39" t="s">
        <v>813</v>
      </c>
    </row>
    <row r="1260" customFormat="false" ht="15" hidden="false" customHeight="false" outlineLevel="0" collapsed="false">
      <c r="A1260" s="37" t="s">
        <v>207</v>
      </c>
      <c r="B1260" s="37" t="s">
        <v>220</v>
      </c>
      <c r="C1260" s="37" t="s">
        <v>178</v>
      </c>
      <c r="D1260" s="37" t="s">
        <v>40</v>
      </c>
      <c r="E1260" s="38" t="n">
        <f aca="false">'Matrice des notes'!N40</f>
        <v>1</v>
      </c>
      <c r="F1260" s="37" t="s">
        <v>849</v>
      </c>
      <c r="G1260" s="39" t="s">
        <v>850</v>
      </c>
    </row>
    <row r="1261" customFormat="false" ht="15" hidden="false" customHeight="false" outlineLevel="0" collapsed="false">
      <c r="A1261" s="37" t="s">
        <v>207</v>
      </c>
      <c r="B1261" s="37" t="s">
        <v>220</v>
      </c>
      <c r="C1261" s="37" t="s">
        <v>178</v>
      </c>
      <c r="D1261" s="37" t="s">
        <v>43</v>
      </c>
      <c r="E1261" s="38" t="n">
        <f aca="false">'Matrice des notes'!O40</f>
        <v>1</v>
      </c>
      <c r="F1261" s="37" t="s">
        <v>816</v>
      </c>
      <c r="G1261" s="39" t="s">
        <v>866</v>
      </c>
    </row>
    <row r="1262" customFormat="false" ht="15" hidden="false" customHeight="false" outlineLevel="0" collapsed="false">
      <c r="A1262" s="37" t="s">
        <v>207</v>
      </c>
      <c r="B1262" s="37" t="s">
        <v>220</v>
      </c>
      <c r="C1262" s="37" t="s">
        <v>178</v>
      </c>
      <c r="D1262" s="37" t="s">
        <v>46</v>
      </c>
      <c r="E1262" s="38" t="n">
        <f aca="false">'Matrice des notes'!P40</f>
        <v>1</v>
      </c>
      <c r="F1262" s="37" t="s">
        <v>839</v>
      </c>
      <c r="G1262" s="39" t="s">
        <v>851</v>
      </c>
    </row>
    <row r="1263" customFormat="false" ht="22.35" hidden="false" customHeight="false" outlineLevel="0" collapsed="false">
      <c r="A1263" s="37" t="s">
        <v>207</v>
      </c>
      <c r="B1263" s="37" t="s">
        <v>220</v>
      </c>
      <c r="C1263" s="37" t="s">
        <v>179</v>
      </c>
      <c r="D1263" s="37" t="s">
        <v>49</v>
      </c>
      <c r="E1263" s="38" t="n">
        <f aca="false">'Matrice des notes'!Q40</f>
        <v>1</v>
      </c>
      <c r="F1263" s="37" t="s">
        <v>867</v>
      </c>
      <c r="G1263" s="39" t="s">
        <v>868</v>
      </c>
    </row>
    <row r="1264" customFormat="false" ht="15" hidden="false" customHeight="false" outlineLevel="0" collapsed="false">
      <c r="A1264" s="37" t="s">
        <v>207</v>
      </c>
      <c r="B1264" s="37" t="s">
        <v>220</v>
      </c>
      <c r="C1264" s="37" t="s">
        <v>179</v>
      </c>
      <c r="D1264" s="37" t="s">
        <v>53</v>
      </c>
      <c r="E1264" s="38" t="n">
        <f aca="false">'Matrice des notes'!R40</f>
        <v>3</v>
      </c>
      <c r="F1264" s="37" t="s">
        <v>903</v>
      </c>
      <c r="G1264" s="39" t="s">
        <v>932</v>
      </c>
    </row>
    <row r="1265" customFormat="false" ht="15" hidden="false" customHeight="false" outlineLevel="0" collapsed="false">
      <c r="A1265" s="37" t="s">
        <v>207</v>
      </c>
      <c r="B1265" s="37" t="s">
        <v>220</v>
      </c>
      <c r="C1265" s="37" t="s">
        <v>179</v>
      </c>
      <c r="D1265" s="37" t="s">
        <v>56</v>
      </c>
      <c r="E1265" s="38" t="n">
        <f aca="false">'Matrice des notes'!S40</f>
        <v>1</v>
      </c>
      <c r="F1265" s="37" t="s">
        <v>839</v>
      </c>
      <c r="G1265" s="39" t="s">
        <v>854</v>
      </c>
    </row>
    <row r="1266" customFormat="false" ht="15" hidden="false" customHeight="false" outlineLevel="0" collapsed="false">
      <c r="A1266" s="37" t="s">
        <v>207</v>
      </c>
      <c r="B1266" s="37" t="s">
        <v>220</v>
      </c>
      <c r="C1266" s="37" t="s">
        <v>179</v>
      </c>
      <c r="D1266" s="37" t="s">
        <v>59</v>
      </c>
      <c r="E1266" s="38" t="n">
        <f aca="false">'Matrice des notes'!T40</f>
        <v>1</v>
      </c>
      <c r="F1266" s="37" t="s">
        <v>839</v>
      </c>
      <c r="G1266" s="39" t="s">
        <v>855</v>
      </c>
    </row>
    <row r="1267" customFormat="false" ht="22.35" hidden="false" customHeight="false" outlineLevel="0" collapsed="false">
      <c r="A1267" s="37" t="s">
        <v>207</v>
      </c>
      <c r="B1267" s="37" t="s">
        <v>220</v>
      </c>
      <c r="C1267" s="37" t="s">
        <v>179</v>
      </c>
      <c r="D1267" s="37" t="s">
        <v>62</v>
      </c>
      <c r="E1267" s="38" t="n">
        <f aca="false">'Matrice des notes'!U40</f>
        <v>1</v>
      </c>
      <c r="F1267" s="37" t="s">
        <v>867</v>
      </c>
      <c r="G1267" s="39" t="s">
        <v>869</v>
      </c>
    </row>
    <row r="1268" customFormat="false" ht="15" hidden="false" customHeight="false" outlineLevel="0" collapsed="false">
      <c r="A1268" s="37" t="s">
        <v>207</v>
      </c>
      <c r="B1268" s="37" t="s">
        <v>220</v>
      </c>
      <c r="C1268" s="37" t="s">
        <v>179</v>
      </c>
      <c r="D1268" s="37" t="s">
        <v>65</v>
      </c>
      <c r="E1268" s="38" t="n">
        <f aca="false">'Matrice des notes'!V40</f>
        <v>3</v>
      </c>
      <c r="F1268" s="37" t="s">
        <v>903</v>
      </c>
      <c r="G1268" s="39" t="s">
        <v>904</v>
      </c>
    </row>
    <row r="1269" customFormat="false" ht="15" hidden="false" customHeight="false" outlineLevel="0" collapsed="false">
      <c r="A1269" s="37" t="s">
        <v>207</v>
      </c>
      <c r="B1269" s="37" t="s">
        <v>220</v>
      </c>
      <c r="C1269" s="37" t="s">
        <v>179</v>
      </c>
      <c r="D1269" s="37" t="s">
        <v>68</v>
      </c>
      <c r="E1269" s="38" t="n">
        <f aca="false">'Matrice des notes'!W40</f>
        <v>1</v>
      </c>
      <c r="F1269" s="37" t="s">
        <v>827</v>
      </c>
      <c r="G1269" s="39" t="s">
        <v>872</v>
      </c>
    </row>
    <row r="1270" customFormat="false" ht="15" hidden="false" customHeight="false" outlineLevel="0" collapsed="false">
      <c r="A1270" s="37" t="s">
        <v>207</v>
      </c>
      <c r="B1270" s="37" t="s">
        <v>220</v>
      </c>
      <c r="C1270" s="37" t="s">
        <v>179</v>
      </c>
      <c r="D1270" s="37" t="s">
        <v>71</v>
      </c>
      <c r="E1270" s="38" t="n">
        <f aca="false">'Matrice des notes'!X40</f>
        <v>1</v>
      </c>
      <c r="F1270" s="37" t="s">
        <v>708</v>
      </c>
      <c r="G1270" s="39" t="s">
        <v>857</v>
      </c>
    </row>
    <row r="1271" customFormat="false" ht="15" hidden="false" customHeight="false" outlineLevel="0" collapsed="false">
      <c r="A1271" s="37" t="s">
        <v>207</v>
      </c>
      <c r="B1271" s="37" t="s">
        <v>220</v>
      </c>
      <c r="C1271" s="37" t="s">
        <v>179</v>
      </c>
      <c r="D1271" s="37" t="s">
        <v>74</v>
      </c>
      <c r="E1271" s="38" t="n">
        <f aca="false">'Matrice des notes'!Y40</f>
        <v>3</v>
      </c>
      <c r="F1271" s="37" t="s">
        <v>673</v>
      </c>
      <c r="G1271" s="39" t="s">
        <v>896</v>
      </c>
    </row>
    <row r="1272" customFormat="false" ht="15" hidden="false" customHeight="false" outlineLevel="0" collapsed="false">
      <c r="A1272" s="37" t="s">
        <v>207</v>
      </c>
      <c r="B1272" s="37" t="s">
        <v>220</v>
      </c>
      <c r="C1272" s="37" t="s">
        <v>179</v>
      </c>
      <c r="D1272" s="37" t="s">
        <v>77</v>
      </c>
      <c r="E1272" s="38" t="n">
        <f aca="false">'Matrice des notes'!Z40</f>
        <v>1</v>
      </c>
      <c r="F1272" s="37" t="s">
        <v>842</v>
      </c>
      <c r="G1272" s="39" t="s">
        <v>858</v>
      </c>
    </row>
    <row r="1273" customFormat="false" ht="15" hidden="false" customHeight="false" outlineLevel="0" collapsed="false">
      <c r="A1273" s="37" t="s">
        <v>207</v>
      </c>
      <c r="B1273" s="37" t="s">
        <v>220</v>
      </c>
      <c r="C1273" s="37" t="s">
        <v>179</v>
      </c>
      <c r="D1273" s="37" t="s">
        <v>80</v>
      </c>
      <c r="E1273" s="38" t="n">
        <f aca="false">'Matrice des notes'!AA40</f>
        <v>3</v>
      </c>
      <c r="F1273" s="37" t="s">
        <v>907</v>
      </c>
      <c r="G1273" s="39" t="s">
        <v>908</v>
      </c>
    </row>
    <row r="1274" customFormat="false" ht="15" hidden="false" customHeight="false" outlineLevel="0" collapsed="false">
      <c r="A1274" s="37" t="s">
        <v>207</v>
      </c>
      <c r="B1274" s="37" t="s">
        <v>220</v>
      </c>
      <c r="C1274" s="37" t="s">
        <v>179</v>
      </c>
      <c r="D1274" s="37" t="s">
        <v>83</v>
      </c>
      <c r="E1274" s="38" t="n">
        <f aca="false">'Matrice des notes'!AB40</f>
        <v>2</v>
      </c>
      <c r="F1274" s="37" t="s">
        <v>933</v>
      </c>
      <c r="G1274" s="39" t="s">
        <v>934</v>
      </c>
    </row>
    <row r="1275" customFormat="false" ht="15" hidden="false" customHeight="false" outlineLevel="0" collapsed="false">
      <c r="A1275" s="37" t="s">
        <v>207</v>
      </c>
      <c r="B1275" s="37" t="s">
        <v>220</v>
      </c>
      <c r="C1275" s="37" t="s">
        <v>179</v>
      </c>
      <c r="D1275" s="37" t="s">
        <v>86</v>
      </c>
      <c r="E1275" s="38" t="n">
        <f aca="false">'Matrice des notes'!AC40</f>
        <v>3</v>
      </c>
      <c r="F1275" s="37" t="s">
        <v>935</v>
      </c>
      <c r="G1275" s="39" t="s">
        <v>936</v>
      </c>
    </row>
    <row r="1276" customFormat="false" ht="15" hidden="false" customHeight="false" outlineLevel="0" collapsed="false">
      <c r="A1276" s="37" t="s">
        <v>207</v>
      </c>
      <c r="B1276" s="37" t="s">
        <v>220</v>
      </c>
      <c r="C1276" s="37" t="s">
        <v>179</v>
      </c>
      <c r="D1276" s="37" t="s">
        <v>89</v>
      </c>
      <c r="E1276" s="38" t="n">
        <f aca="false">'Matrice des notes'!AD40</f>
        <v>3</v>
      </c>
      <c r="F1276" s="37" t="s">
        <v>937</v>
      </c>
      <c r="G1276" s="39" t="s">
        <v>938</v>
      </c>
    </row>
    <row r="1277" customFormat="false" ht="15" hidden="false" customHeight="false" outlineLevel="0" collapsed="false">
      <c r="A1277" s="37" t="s">
        <v>207</v>
      </c>
      <c r="B1277" s="37" t="s">
        <v>220</v>
      </c>
      <c r="C1277" s="37" t="s">
        <v>179</v>
      </c>
      <c r="D1277" s="37" t="s">
        <v>92</v>
      </c>
      <c r="E1277" s="38" t="n">
        <f aca="false">'Matrice des notes'!AE40</f>
        <v>2</v>
      </c>
      <c r="F1277" s="37" t="s">
        <v>900</v>
      </c>
      <c r="G1277" s="39" t="s">
        <v>901</v>
      </c>
    </row>
    <row r="1278" customFormat="false" ht="15" hidden="false" customHeight="false" outlineLevel="0" collapsed="false">
      <c r="A1278" s="37" t="s">
        <v>207</v>
      </c>
      <c r="B1278" s="37" t="s">
        <v>220</v>
      </c>
      <c r="C1278" s="37" t="s">
        <v>180</v>
      </c>
      <c r="D1278" s="37" t="s">
        <v>95</v>
      </c>
      <c r="E1278" s="38" t="n">
        <f aca="false">'Matrice des notes'!AF40</f>
        <v>1</v>
      </c>
      <c r="F1278" s="37" t="s">
        <v>631</v>
      </c>
      <c r="G1278" s="39" t="s">
        <v>654</v>
      </c>
    </row>
    <row r="1279" customFormat="false" ht="15" hidden="false" customHeight="false" outlineLevel="0" collapsed="false">
      <c r="A1279" s="37" t="s">
        <v>207</v>
      </c>
      <c r="B1279" s="37" t="s">
        <v>220</v>
      </c>
      <c r="C1279" s="37" t="s">
        <v>180</v>
      </c>
      <c r="D1279" s="37" t="s">
        <v>99</v>
      </c>
      <c r="E1279" s="38" t="n">
        <f aca="false">'Matrice des notes'!AG40</f>
        <v>1</v>
      </c>
      <c r="F1279" s="37" t="s">
        <v>655</v>
      </c>
      <c r="G1279" s="39" t="s">
        <v>656</v>
      </c>
    </row>
    <row r="1280" customFormat="false" ht="15" hidden="false" customHeight="false" outlineLevel="0" collapsed="false">
      <c r="A1280" s="37" t="s">
        <v>207</v>
      </c>
      <c r="B1280" s="37" t="s">
        <v>220</v>
      </c>
      <c r="C1280" s="37" t="s">
        <v>180</v>
      </c>
      <c r="D1280" s="37" t="s">
        <v>102</v>
      </c>
      <c r="E1280" s="38" t="n">
        <f aca="false">'Matrice des notes'!AH40</f>
        <v>1</v>
      </c>
      <c r="F1280" s="37" t="s">
        <v>655</v>
      </c>
      <c r="G1280" s="39" t="s">
        <v>656</v>
      </c>
    </row>
    <row r="1281" customFormat="false" ht="15" hidden="false" customHeight="false" outlineLevel="0" collapsed="false">
      <c r="A1281" s="37" t="s">
        <v>207</v>
      </c>
      <c r="B1281" s="37" t="s">
        <v>220</v>
      </c>
      <c r="C1281" s="37" t="s">
        <v>180</v>
      </c>
      <c r="D1281" s="37" t="s">
        <v>104</v>
      </c>
      <c r="E1281" s="38" t="n">
        <f aca="false">'Matrice des notes'!AI40</f>
        <v>1</v>
      </c>
      <c r="F1281" s="37" t="s">
        <v>631</v>
      </c>
      <c r="G1281" s="39" t="s">
        <v>654</v>
      </c>
    </row>
    <row r="1282" customFormat="false" ht="15" hidden="false" customHeight="false" outlineLevel="0" collapsed="false">
      <c r="A1282" s="37" t="s">
        <v>207</v>
      </c>
      <c r="B1282" s="37" t="s">
        <v>220</v>
      </c>
      <c r="C1282" s="37" t="s">
        <v>180</v>
      </c>
      <c r="D1282" s="37" t="s">
        <v>107</v>
      </c>
      <c r="E1282" s="38" t="n">
        <f aca="false">'Matrice des notes'!AJ40</f>
        <v>1</v>
      </c>
      <c r="F1282" s="37" t="s">
        <v>631</v>
      </c>
      <c r="G1282" s="39" t="s">
        <v>654</v>
      </c>
    </row>
    <row r="1283" customFormat="false" ht="15" hidden="false" customHeight="false" outlineLevel="0" collapsed="false">
      <c r="A1283" s="37" t="s">
        <v>207</v>
      </c>
      <c r="B1283" s="37" t="s">
        <v>220</v>
      </c>
      <c r="C1283" s="37" t="s">
        <v>180</v>
      </c>
      <c r="D1283" s="37" t="s">
        <v>110</v>
      </c>
      <c r="E1283" s="38" t="n">
        <f aca="false">'Matrice des notes'!AK40</f>
        <v>1</v>
      </c>
      <c r="F1283" s="37" t="s">
        <v>631</v>
      </c>
      <c r="G1283" s="39" t="s">
        <v>654</v>
      </c>
    </row>
    <row r="1284" customFormat="false" ht="15" hidden="false" customHeight="false" outlineLevel="0" collapsed="false">
      <c r="A1284" s="37" t="s">
        <v>207</v>
      </c>
      <c r="B1284" s="37" t="s">
        <v>220</v>
      </c>
      <c r="C1284" s="37" t="s">
        <v>180</v>
      </c>
      <c r="D1284" s="37" t="s">
        <v>113</v>
      </c>
      <c r="E1284" s="38" t="n">
        <f aca="false">'Matrice des notes'!AL40</f>
        <v>1</v>
      </c>
      <c r="F1284" s="37" t="s">
        <v>631</v>
      </c>
      <c r="G1284" s="39" t="s">
        <v>654</v>
      </c>
    </row>
    <row r="1285" customFormat="false" ht="15" hidden="false" customHeight="false" outlineLevel="0" collapsed="false">
      <c r="A1285" s="37" t="s">
        <v>207</v>
      </c>
      <c r="B1285" s="37" t="s">
        <v>220</v>
      </c>
      <c r="C1285" s="37" t="s">
        <v>180</v>
      </c>
      <c r="D1285" s="37" t="s">
        <v>116</v>
      </c>
      <c r="E1285" s="38" t="n">
        <f aca="false">'Matrice des notes'!AM40</f>
        <v>1</v>
      </c>
      <c r="F1285" s="37" t="s">
        <v>655</v>
      </c>
      <c r="G1285" s="39" t="s">
        <v>656</v>
      </c>
    </row>
    <row r="1286" customFormat="false" ht="15" hidden="false" customHeight="false" outlineLevel="0" collapsed="false">
      <c r="A1286" s="37" t="s">
        <v>207</v>
      </c>
      <c r="B1286" s="37" t="s">
        <v>220</v>
      </c>
      <c r="C1286" s="37" t="s">
        <v>180</v>
      </c>
      <c r="D1286" s="37" t="s">
        <v>119</v>
      </c>
      <c r="E1286" s="38" t="n">
        <f aca="false">'Matrice des notes'!AN40</f>
        <v>1</v>
      </c>
      <c r="F1286" s="37" t="s">
        <v>631</v>
      </c>
      <c r="G1286" s="39" t="s">
        <v>654</v>
      </c>
    </row>
    <row r="1287" customFormat="false" ht="15" hidden="false" customHeight="false" outlineLevel="0" collapsed="false">
      <c r="A1287" s="37" t="s">
        <v>207</v>
      </c>
      <c r="B1287" s="37" t="s">
        <v>220</v>
      </c>
      <c r="C1287" s="37" t="s">
        <v>180</v>
      </c>
      <c r="D1287" s="37" t="s">
        <v>121</v>
      </c>
      <c r="E1287" s="38" t="n">
        <f aca="false">'Matrice des notes'!AO40</f>
        <v>1</v>
      </c>
      <c r="F1287" s="37" t="s">
        <v>657</v>
      </c>
      <c r="G1287" s="39" t="s">
        <v>658</v>
      </c>
    </row>
    <row r="1288" customFormat="false" ht="15" hidden="false" customHeight="false" outlineLevel="0" collapsed="false">
      <c r="A1288" s="37" t="s">
        <v>207</v>
      </c>
      <c r="B1288" s="37" t="s">
        <v>220</v>
      </c>
      <c r="C1288" s="37" t="s">
        <v>180</v>
      </c>
      <c r="D1288" s="37" t="s">
        <v>124</v>
      </c>
      <c r="E1288" s="38" t="n">
        <f aca="false">'Matrice des notes'!AP40</f>
        <v>1</v>
      </c>
      <c r="F1288" s="37" t="s">
        <v>863</v>
      </c>
      <c r="G1288" s="39" t="s">
        <v>864</v>
      </c>
    </row>
    <row r="1289" customFormat="false" ht="15" hidden="false" customHeight="false" outlineLevel="0" collapsed="false">
      <c r="A1289" s="37" t="s">
        <v>207</v>
      </c>
      <c r="B1289" s="37" t="s">
        <v>221</v>
      </c>
      <c r="C1289" s="37" t="s">
        <v>178</v>
      </c>
      <c r="D1289" s="37" t="s">
        <v>7</v>
      </c>
      <c r="E1289" s="38" t="n">
        <f aca="false">'Matrice des notes'!D41</f>
        <v>2</v>
      </c>
      <c r="F1289" s="37" t="s">
        <v>673</v>
      </c>
      <c r="G1289" s="39" t="s">
        <v>930</v>
      </c>
    </row>
    <row r="1290" customFormat="false" ht="15" hidden="false" customHeight="false" outlineLevel="0" collapsed="false">
      <c r="A1290" s="37" t="s">
        <v>207</v>
      </c>
      <c r="B1290" s="37" t="s">
        <v>221</v>
      </c>
      <c r="C1290" s="37" t="s">
        <v>178</v>
      </c>
      <c r="D1290" s="37" t="s">
        <v>11</v>
      </c>
      <c r="E1290" s="38" t="n">
        <f aca="false">'Matrice des notes'!E41</f>
        <v>1</v>
      </c>
      <c r="F1290" s="37" t="s">
        <v>839</v>
      </c>
      <c r="G1290" s="39" t="s">
        <v>840</v>
      </c>
    </row>
    <row r="1291" customFormat="false" ht="15" hidden="false" customHeight="false" outlineLevel="0" collapsed="false">
      <c r="A1291" s="37" t="s">
        <v>207</v>
      </c>
      <c r="B1291" s="37" t="s">
        <v>221</v>
      </c>
      <c r="C1291" s="37" t="s">
        <v>178</v>
      </c>
      <c r="D1291" s="37" t="s">
        <v>14</v>
      </c>
      <c r="E1291" s="38" t="n">
        <f aca="false">'Matrice des notes'!F41</f>
        <v>1</v>
      </c>
      <c r="F1291" s="37" t="s">
        <v>677</v>
      </c>
      <c r="G1291" s="39" t="s">
        <v>841</v>
      </c>
    </row>
    <row r="1292" customFormat="false" ht="15" hidden="false" customHeight="false" outlineLevel="0" collapsed="false">
      <c r="A1292" s="37" t="s">
        <v>207</v>
      </c>
      <c r="B1292" s="37" t="s">
        <v>221</v>
      </c>
      <c r="C1292" s="37" t="s">
        <v>178</v>
      </c>
      <c r="D1292" s="37" t="s">
        <v>17</v>
      </c>
      <c r="E1292" s="38" t="n">
        <f aca="false">'Matrice des notes'!G41</f>
        <v>1</v>
      </c>
      <c r="F1292" s="37" t="s">
        <v>842</v>
      </c>
      <c r="G1292" s="39" t="s">
        <v>843</v>
      </c>
    </row>
    <row r="1293" customFormat="false" ht="15" hidden="false" customHeight="false" outlineLevel="0" collapsed="false">
      <c r="A1293" s="37" t="s">
        <v>207</v>
      </c>
      <c r="B1293" s="37" t="s">
        <v>221</v>
      </c>
      <c r="C1293" s="37" t="s">
        <v>178</v>
      </c>
      <c r="D1293" s="37" t="s">
        <v>20</v>
      </c>
      <c r="E1293" s="38" t="n">
        <f aca="false">'Matrice des notes'!H41</f>
        <v>1</v>
      </c>
      <c r="F1293" s="37" t="s">
        <v>839</v>
      </c>
      <c r="G1293" s="39" t="s">
        <v>844</v>
      </c>
    </row>
    <row r="1294" customFormat="false" ht="15" hidden="false" customHeight="false" outlineLevel="0" collapsed="false">
      <c r="A1294" s="37" t="s">
        <v>207</v>
      </c>
      <c r="B1294" s="37" t="s">
        <v>221</v>
      </c>
      <c r="C1294" s="37" t="s">
        <v>178</v>
      </c>
      <c r="D1294" s="37" t="s">
        <v>23</v>
      </c>
      <c r="E1294" s="38" t="n">
        <f aca="false">'Matrice des notes'!I41</f>
        <v>1</v>
      </c>
      <c r="F1294" s="37" t="s">
        <v>839</v>
      </c>
      <c r="G1294" s="39" t="s">
        <v>845</v>
      </c>
    </row>
    <row r="1295" customFormat="false" ht="15" hidden="false" customHeight="false" outlineLevel="0" collapsed="false">
      <c r="A1295" s="37" t="s">
        <v>207</v>
      </c>
      <c r="B1295" s="37" t="s">
        <v>221</v>
      </c>
      <c r="C1295" s="37" t="s">
        <v>178</v>
      </c>
      <c r="D1295" s="37" t="s">
        <v>26</v>
      </c>
      <c r="E1295" s="38" t="n">
        <f aca="false">'Matrice des notes'!J41</f>
        <v>1</v>
      </c>
      <c r="F1295" s="37" t="s">
        <v>835</v>
      </c>
      <c r="G1295" s="39" t="s">
        <v>846</v>
      </c>
    </row>
    <row r="1296" customFormat="false" ht="15" hidden="false" customHeight="false" outlineLevel="0" collapsed="false">
      <c r="A1296" s="37" t="s">
        <v>207</v>
      </c>
      <c r="B1296" s="37" t="s">
        <v>221</v>
      </c>
      <c r="C1296" s="37" t="s">
        <v>178</v>
      </c>
      <c r="D1296" s="37" t="s">
        <v>30</v>
      </c>
      <c r="E1296" s="38" t="n">
        <f aca="false">'Matrice des notes'!K41</f>
        <v>1</v>
      </c>
      <c r="F1296" s="37" t="s">
        <v>677</v>
      </c>
      <c r="G1296" s="39" t="s">
        <v>847</v>
      </c>
    </row>
    <row r="1297" customFormat="false" ht="15" hidden="false" customHeight="false" outlineLevel="0" collapsed="false">
      <c r="A1297" s="37" t="s">
        <v>207</v>
      </c>
      <c r="B1297" s="37" t="s">
        <v>221</v>
      </c>
      <c r="C1297" s="37" t="s">
        <v>178</v>
      </c>
      <c r="D1297" s="37" t="s">
        <v>34</v>
      </c>
      <c r="E1297" s="38" t="n">
        <f aca="false">'Matrice des notes'!L41</f>
        <v>3</v>
      </c>
      <c r="F1297" s="37" t="s">
        <v>903</v>
      </c>
      <c r="G1297" s="39" t="s">
        <v>931</v>
      </c>
    </row>
    <row r="1298" customFormat="false" ht="15" hidden="false" customHeight="false" outlineLevel="0" collapsed="false">
      <c r="A1298" s="37" t="s">
        <v>207</v>
      </c>
      <c r="B1298" s="37" t="s">
        <v>221</v>
      </c>
      <c r="C1298" s="37" t="s">
        <v>178</v>
      </c>
      <c r="D1298" s="37" t="s">
        <v>37</v>
      </c>
      <c r="E1298" s="38" t="n">
        <f aca="false">'Matrice des notes'!M41</f>
        <v>1</v>
      </c>
      <c r="F1298" s="37" t="s">
        <v>812</v>
      </c>
      <c r="G1298" s="39" t="s">
        <v>813</v>
      </c>
    </row>
    <row r="1299" customFormat="false" ht="15" hidden="false" customHeight="false" outlineLevel="0" collapsed="false">
      <c r="A1299" s="37" t="s">
        <v>207</v>
      </c>
      <c r="B1299" s="37" t="s">
        <v>221</v>
      </c>
      <c r="C1299" s="37" t="s">
        <v>178</v>
      </c>
      <c r="D1299" s="37" t="s">
        <v>40</v>
      </c>
      <c r="E1299" s="38" t="n">
        <f aca="false">'Matrice des notes'!N41</f>
        <v>1</v>
      </c>
      <c r="F1299" s="37" t="s">
        <v>849</v>
      </c>
      <c r="G1299" s="39" t="s">
        <v>850</v>
      </c>
    </row>
    <row r="1300" customFormat="false" ht="15" hidden="false" customHeight="false" outlineLevel="0" collapsed="false">
      <c r="A1300" s="37" t="s">
        <v>207</v>
      </c>
      <c r="B1300" s="37" t="s">
        <v>221</v>
      </c>
      <c r="C1300" s="37" t="s">
        <v>178</v>
      </c>
      <c r="D1300" s="37" t="s">
        <v>43</v>
      </c>
      <c r="E1300" s="38" t="n">
        <f aca="false">'Matrice des notes'!O41</f>
        <v>1</v>
      </c>
      <c r="F1300" s="37" t="s">
        <v>816</v>
      </c>
      <c r="G1300" s="39" t="s">
        <v>866</v>
      </c>
    </row>
    <row r="1301" customFormat="false" ht="15" hidden="false" customHeight="false" outlineLevel="0" collapsed="false">
      <c r="A1301" s="37" t="s">
        <v>207</v>
      </c>
      <c r="B1301" s="37" t="s">
        <v>221</v>
      </c>
      <c r="C1301" s="37" t="s">
        <v>178</v>
      </c>
      <c r="D1301" s="37" t="s">
        <v>46</v>
      </c>
      <c r="E1301" s="38" t="n">
        <f aca="false">'Matrice des notes'!P41</f>
        <v>1</v>
      </c>
      <c r="F1301" s="37" t="s">
        <v>839</v>
      </c>
      <c r="G1301" s="39" t="s">
        <v>851</v>
      </c>
    </row>
    <row r="1302" customFormat="false" ht="22.35" hidden="false" customHeight="false" outlineLevel="0" collapsed="false">
      <c r="A1302" s="37" t="s">
        <v>207</v>
      </c>
      <c r="B1302" s="37" t="s">
        <v>221</v>
      </c>
      <c r="C1302" s="37" t="s">
        <v>179</v>
      </c>
      <c r="D1302" s="37" t="s">
        <v>49</v>
      </c>
      <c r="E1302" s="38" t="n">
        <f aca="false">'Matrice des notes'!Q41</f>
        <v>1</v>
      </c>
      <c r="F1302" s="37" t="s">
        <v>867</v>
      </c>
      <c r="G1302" s="39" t="s">
        <v>868</v>
      </c>
    </row>
    <row r="1303" customFormat="false" ht="15" hidden="false" customHeight="false" outlineLevel="0" collapsed="false">
      <c r="A1303" s="37" t="s">
        <v>207</v>
      </c>
      <c r="B1303" s="37" t="s">
        <v>221</v>
      </c>
      <c r="C1303" s="37" t="s">
        <v>179</v>
      </c>
      <c r="D1303" s="37" t="s">
        <v>53</v>
      </c>
      <c r="E1303" s="38" t="n">
        <f aca="false">'Matrice des notes'!R41</f>
        <v>3</v>
      </c>
      <c r="F1303" s="37" t="s">
        <v>903</v>
      </c>
      <c r="G1303" s="39" t="s">
        <v>932</v>
      </c>
    </row>
    <row r="1304" customFormat="false" ht="15" hidden="false" customHeight="false" outlineLevel="0" collapsed="false">
      <c r="A1304" s="37" t="s">
        <v>207</v>
      </c>
      <c r="B1304" s="37" t="s">
        <v>221</v>
      </c>
      <c r="C1304" s="37" t="s">
        <v>179</v>
      </c>
      <c r="D1304" s="37" t="s">
        <v>56</v>
      </c>
      <c r="E1304" s="38" t="n">
        <f aca="false">'Matrice des notes'!S41</f>
        <v>1</v>
      </c>
      <c r="F1304" s="37" t="s">
        <v>839</v>
      </c>
      <c r="G1304" s="39" t="s">
        <v>854</v>
      </c>
    </row>
    <row r="1305" customFormat="false" ht="15" hidden="false" customHeight="false" outlineLevel="0" collapsed="false">
      <c r="A1305" s="37" t="s">
        <v>207</v>
      </c>
      <c r="B1305" s="37" t="s">
        <v>221</v>
      </c>
      <c r="C1305" s="37" t="s">
        <v>179</v>
      </c>
      <c r="D1305" s="37" t="s">
        <v>59</v>
      </c>
      <c r="E1305" s="38" t="n">
        <f aca="false">'Matrice des notes'!T41</f>
        <v>1</v>
      </c>
      <c r="F1305" s="37" t="s">
        <v>839</v>
      </c>
      <c r="G1305" s="39" t="s">
        <v>855</v>
      </c>
    </row>
    <row r="1306" customFormat="false" ht="22.35" hidden="false" customHeight="false" outlineLevel="0" collapsed="false">
      <c r="A1306" s="37" t="s">
        <v>207</v>
      </c>
      <c r="B1306" s="37" t="s">
        <v>221</v>
      </c>
      <c r="C1306" s="37" t="s">
        <v>179</v>
      </c>
      <c r="D1306" s="37" t="s">
        <v>62</v>
      </c>
      <c r="E1306" s="38" t="n">
        <f aca="false">'Matrice des notes'!U41</f>
        <v>1</v>
      </c>
      <c r="F1306" s="37" t="s">
        <v>867</v>
      </c>
      <c r="G1306" s="39" t="s">
        <v>869</v>
      </c>
    </row>
    <row r="1307" customFormat="false" ht="15" hidden="false" customHeight="false" outlineLevel="0" collapsed="false">
      <c r="A1307" s="37" t="s">
        <v>207</v>
      </c>
      <c r="B1307" s="37" t="s">
        <v>221</v>
      </c>
      <c r="C1307" s="37" t="s">
        <v>179</v>
      </c>
      <c r="D1307" s="37" t="s">
        <v>65</v>
      </c>
      <c r="E1307" s="38" t="n">
        <f aca="false">'Matrice des notes'!V41</f>
        <v>3</v>
      </c>
      <c r="F1307" s="37" t="s">
        <v>903</v>
      </c>
      <c r="G1307" s="39" t="s">
        <v>904</v>
      </c>
    </row>
    <row r="1308" customFormat="false" ht="15" hidden="false" customHeight="false" outlineLevel="0" collapsed="false">
      <c r="A1308" s="37" t="s">
        <v>207</v>
      </c>
      <c r="B1308" s="37" t="s">
        <v>221</v>
      </c>
      <c r="C1308" s="37" t="s">
        <v>179</v>
      </c>
      <c r="D1308" s="37" t="s">
        <v>68</v>
      </c>
      <c r="E1308" s="38" t="n">
        <f aca="false">'Matrice des notes'!W41</f>
        <v>1</v>
      </c>
      <c r="F1308" s="37" t="s">
        <v>827</v>
      </c>
      <c r="G1308" s="39" t="s">
        <v>872</v>
      </c>
    </row>
    <row r="1309" customFormat="false" ht="15" hidden="false" customHeight="false" outlineLevel="0" collapsed="false">
      <c r="A1309" s="37" t="s">
        <v>207</v>
      </c>
      <c r="B1309" s="37" t="s">
        <v>221</v>
      </c>
      <c r="C1309" s="37" t="s">
        <v>179</v>
      </c>
      <c r="D1309" s="37" t="s">
        <v>71</v>
      </c>
      <c r="E1309" s="38" t="n">
        <f aca="false">'Matrice des notes'!X41</f>
        <v>1</v>
      </c>
      <c r="F1309" s="37" t="s">
        <v>708</v>
      </c>
      <c r="G1309" s="39" t="s">
        <v>857</v>
      </c>
    </row>
    <row r="1310" customFormat="false" ht="15" hidden="false" customHeight="false" outlineLevel="0" collapsed="false">
      <c r="A1310" s="37" t="s">
        <v>207</v>
      </c>
      <c r="B1310" s="37" t="s">
        <v>221</v>
      </c>
      <c r="C1310" s="37" t="s">
        <v>179</v>
      </c>
      <c r="D1310" s="37" t="s">
        <v>74</v>
      </c>
      <c r="E1310" s="38" t="n">
        <f aca="false">'Matrice des notes'!Y41</f>
        <v>3</v>
      </c>
      <c r="F1310" s="37" t="s">
        <v>673</v>
      </c>
      <c r="G1310" s="39" t="s">
        <v>896</v>
      </c>
    </row>
    <row r="1311" customFormat="false" ht="15" hidden="false" customHeight="false" outlineLevel="0" collapsed="false">
      <c r="A1311" s="37" t="s">
        <v>207</v>
      </c>
      <c r="B1311" s="37" t="s">
        <v>221</v>
      </c>
      <c r="C1311" s="37" t="s">
        <v>179</v>
      </c>
      <c r="D1311" s="37" t="s">
        <v>77</v>
      </c>
      <c r="E1311" s="38" t="n">
        <f aca="false">'Matrice des notes'!Z41</f>
        <v>1</v>
      </c>
      <c r="F1311" s="37" t="s">
        <v>842</v>
      </c>
      <c r="G1311" s="39" t="s">
        <v>858</v>
      </c>
    </row>
    <row r="1312" customFormat="false" ht="15" hidden="false" customHeight="false" outlineLevel="0" collapsed="false">
      <c r="A1312" s="37" t="s">
        <v>207</v>
      </c>
      <c r="B1312" s="37" t="s">
        <v>221</v>
      </c>
      <c r="C1312" s="37" t="s">
        <v>179</v>
      </c>
      <c r="D1312" s="37" t="s">
        <v>80</v>
      </c>
      <c r="E1312" s="38" t="n">
        <f aca="false">'Matrice des notes'!AA41</f>
        <v>3</v>
      </c>
      <c r="F1312" s="37" t="s">
        <v>907</v>
      </c>
      <c r="G1312" s="39" t="s">
        <v>908</v>
      </c>
    </row>
    <row r="1313" customFormat="false" ht="15" hidden="false" customHeight="false" outlineLevel="0" collapsed="false">
      <c r="A1313" s="37" t="s">
        <v>207</v>
      </c>
      <c r="B1313" s="37" t="s">
        <v>221</v>
      </c>
      <c r="C1313" s="37" t="s">
        <v>179</v>
      </c>
      <c r="D1313" s="37" t="s">
        <v>83</v>
      </c>
      <c r="E1313" s="38" t="n">
        <f aca="false">'Matrice des notes'!AB41</f>
        <v>2</v>
      </c>
      <c r="F1313" s="37" t="s">
        <v>933</v>
      </c>
      <c r="G1313" s="39" t="s">
        <v>934</v>
      </c>
    </row>
    <row r="1314" customFormat="false" ht="15" hidden="false" customHeight="false" outlineLevel="0" collapsed="false">
      <c r="A1314" s="37" t="s">
        <v>207</v>
      </c>
      <c r="B1314" s="37" t="s">
        <v>221</v>
      </c>
      <c r="C1314" s="37" t="s">
        <v>179</v>
      </c>
      <c r="D1314" s="37" t="s">
        <v>86</v>
      </c>
      <c r="E1314" s="38" t="n">
        <f aca="false">'Matrice des notes'!AC41</f>
        <v>4</v>
      </c>
      <c r="F1314" s="37" t="s">
        <v>939</v>
      </c>
      <c r="G1314" s="39" t="s">
        <v>940</v>
      </c>
    </row>
    <row r="1315" customFormat="false" ht="15" hidden="false" customHeight="false" outlineLevel="0" collapsed="false">
      <c r="A1315" s="37" t="s">
        <v>207</v>
      </c>
      <c r="B1315" s="37" t="s">
        <v>221</v>
      </c>
      <c r="C1315" s="37" t="s">
        <v>179</v>
      </c>
      <c r="D1315" s="37" t="s">
        <v>89</v>
      </c>
      <c r="E1315" s="38" t="n">
        <f aca="false">'Matrice des notes'!AD41</f>
        <v>3</v>
      </c>
      <c r="F1315" s="37" t="s">
        <v>937</v>
      </c>
      <c r="G1315" s="39" t="s">
        <v>938</v>
      </c>
    </row>
    <row r="1316" customFormat="false" ht="15" hidden="false" customHeight="false" outlineLevel="0" collapsed="false">
      <c r="A1316" s="37" t="s">
        <v>207</v>
      </c>
      <c r="B1316" s="37" t="s">
        <v>221</v>
      </c>
      <c r="C1316" s="37" t="s">
        <v>179</v>
      </c>
      <c r="D1316" s="37" t="s">
        <v>92</v>
      </c>
      <c r="E1316" s="38" t="n">
        <f aca="false">'Matrice des notes'!AE41</f>
        <v>2</v>
      </c>
      <c r="F1316" s="37" t="s">
        <v>900</v>
      </c>
      <c r="G1316" s="39" t="s">
        <v>901</v>
      </c>
    </row>
    <row r="1317" customFormat="false" ht="15" hidden="false" customHeight="false" outlineLevel="0" collapsed="false">
      <c r="A1317" s="37" t="s">
        <v>207</v>
      </c>
      <c r="B1317" s="37" t="s">
        <v>221</v>
      </c>
      <c r="C1317" s="37" t="s">
        <v>180</v>
      </c>
      <c r="D1317" s="37" t="s">
        <v>95</v>
      </c>
      <c r="E1317" s="38" t="n">
        <f aca="false">'Matrice des notes'!AF41</f>
        <v>1</v>
      </c>
      <c r="F1317" s="37" t="s">
        <v>631</v>
      </c>
      <c r="G1317" s="39" t="s">
        <v>654</v>
      </c>
    </row>
    <row r="1318" customFormat="false" ht="15" hidden="false" customHeight="false" outlineLevel="0" collapsed="false">
      <c r="A1318" s="37" t="s">
        <v>207</v>
      </c>
      <c r="B1318" s="37" t="s">
        <v>221</v>
      </c>
      <c r="C1318" s="37" t="s">
        <v>180</v>
      </c>
      <c r="D1318" s="37" t="s">
        <v>99</v>
      </c>
      <c r="E1318" s="38" t="n">
        <f aca="false">'Matrice des notes'!AG41</f>
        <v>1</v>
      </c>
      <c r="F1318" s="37" t="s">
        <v>655</v>
      </c>
      <c r="G1318" s="39" t="s">
        <v>656</v>
      </c>
    </row>
    <row r="1319" customFormat="false" ht="15" hidden="false" customHeight="false" outlineLevel="0" collapsed="false">
      <c r="A1319" s="37" t="s">
        <v>207</v>
      </c>
      <c r="B1319" s="37" t="s">
        <v>221</v>
      </c>
      <c r="C1319" s="37" t="s">
        <v>180</v>
      </c>
      <c r="D1319" s="37" t="s">
        <v>102</v>
      </c>
      <c r="E1319" s="38" t="n">
        <f aca="false">'Matrice des notes'!AH41</f>
        <v>1</v>
      </c>
      <c r="F1319" s="37" t="s">
        <v>655</v>
      </c>
      <c r="G1319" s="39" t="s">
        <v>656</v>
      </c>
    </row>
    <row r="1320" customFormat="false" ht="15" hidden="false" customHeight="false" outlineLevel="0" collapsed="false">
      <c r="A1320" s="37" t="s">
        <v>207</v>
      </c>
      <c r="B1320" s="37" t="s">
        <v>221</v>
      </c>
      <c r="C1320" s="37" t="s">
        <v>180</v>
      </c>
      <c r="D1320" s="37" t="s">
        <v>104</v>
      </c>
      <c r="E1320" s="38" t="n">
        <f aca="false">'Matrice des notes'!AI41</f>
        <v>1</v>
      </c>
      <c r="F1320" s="37" t="s">
        <v>631</v>
      </c>
      <c r="G1320" s="39" t="s">
        <v>654</v>
      </c>
    </row>
    <row r="1321" customFormat="false" ht="15" hidden="false" customHeight="false" outlineLevel="0" collapsed="false">
      <c r="A1321" s="37" t="s">
        <v>207</v>
      </c>
      <c r="B1321" s="37" t="s">
        <v>221</v>
      </c>
      <c r="C1321" s="37" t="s">
        <v>180</v>
      </c>
      <c r="D1321" s="37" t="s">
        <v>107</v>
      </c>
      <c r="E1321" s="38" t="n">
        <f aca="false">'Matrice des notes'!AJ41</f>
        <v>1</v>
      </c>
      <c r="F1321" s="37" t="s">
        <v>631</v>
      </c>
      <c r="G1321" s="39" t="s">
        <v>654</v>
      </c>
    </row>
    <row r="1322" customFormat="false" ht="15" hidden="false" customHeight="false" outlineLevel="0" collapsed="false">
      <c r="A1322" s="37" t="s">
        <v>207</v>
      </c>
      <c r="B1322" s="37" t="s">
        <v>221</v>
      </c>
      <c r="C1322" s="37" t="s">
        <v>180</v>
      </c>
      <c r="D1322" s="37" t="s">
        <v>110</v>
      </c>
      <c r="E1322" s="38" t="n">
        <f aca="false">'Matrice des notes'!AK41</f>
        <v>1</v>
      </c>
      <c r="F1322" s="37" t="s">
        <v>631</v>
      </c>
      <c r="G1322" s="39" t="s">
        <v>654</v>
      </c>
    </row>
    <row r="1323" customFormat="false" ht="15" hidden="false" customHeight="false" outlineLevel="0" collapsed="false">
      <c r="A1323" s="37" t="s">
        <v>207</v>
      </c>
      <c r="B1323" s="37" t="s">
        <v>221</v>
      </c>
      <c r="C1323" s="37" t="s">
        <v>180</v>
      </c>
      <c r="D1323" s="37" t="s">
        <v>113</v>
      </c>
      <c r="E1323" s="38" t="n">
        <f aca="false">'Matrice des notes'!AL41</f>
        <v>1</v>
      </c>
      <c r="F1323" s="37" t="s">
        <v>631</v>
      </c>
      <c r="G1323" s="39" t="s">
        <v>654</v>
      </c>
    </row>
    <row r="1324" customFormat="false" ht="15" hidden="false" customHeight="false" outlineLevel="0" collapsed="false">
      <c r="A1324" s="37" t="s">
        <v>207</v>
      </c>
      <c r="B1324" s="37" t="s">
        <v>221</v>
      </c>
      <c r="C1324" s="37" t="s">
        <v>180</v>
      </c>
      <c r="D1324" s="37" t="s">
        <v>116</v>
      </c>
      <c r="E1324" s="38" t="n">
        <f aca="false">'Matrice des notes'!AM41</f>
        <v>1</v>
      </c>
      <c r="F1324" s="37" t="s">
        <v>655</v>
      </c>
      <c r="G1324" s="39" t="s">
        <v>656</v>
      </c>
    </row>
    <row r="1325" customFormat="false" ht="15" hidden="false" customHeight="false" outlineLevel="0" collapsed="false">
      <c r="A1325" s="37" t="s">
        <v>207</v>
      </c>
      <c r="B1325" s="37" t="s">
        <v>221</v>
      </c>
      <c r="C1325" s="37" t="s">
        <v>180</v>
      </c>
      <c r="D1325" s="37" t="s">
        <v>119</v>
      </c>
      <c r="E1325" s="38" t="n">
        <f aca="false">'Matrice des notes'!AN41</f>
        <v>1</v>
      </c>
      <c r="F1325" s="37" t="s">
        <v>631</v>
      </c>
      <c r="G1325" s="39" t="s">
        <v>654</v>
      </c>
    </row>
    <row r="1326" customFormat="false" ht="15" hidden="false" customHeight="false" outlineLevel="0" collapsed="false">
      <c r="A1326" s="37" t="s">
        <v>207</v>
      </c>
      <c r="B1326" s="37" t="s">
        <v>221</v>
      </c>
      <c r="C1326" s="37" t="s">
        <v>180</v>
      </c>
      <c r="D1326" s="37" t="s">
        <v>121</v>
      </c>
      <c r="E1326" s="38" t="n">
        <f aca="false">'Matrice des notes'!AO41</f>
        <v>1</v>
      </c>
      <c r="F1326" s="37" t="s">
        <v>657</v>
      </c>
      <c r="G1326" s="39" t="s">
        <v>658</v>
      </c>
    </row>
    <row r="1327" customFormat="false" ht="15" hidden="false" customHeight="false" outlineLevel="0" collapsed="false">
      <c r="A1327" s="37" t="s">
        <v>207</v>
      </c>
      <c r="B1327" s="37" t="s">
        <v>221</v>
      </c>
      <c r="C1327" s="37" t="s">
        <v>180</v>
      </c>
      <c r="D1327" s="37" t="s">
        <v>124</v>
      </c>
      <c r="E1327" s="38" t="n">
        <f aca="false">'Matrice des notes'!AP41</f>
        <v>1</v>
      </c>
      <c r="F1327" s="37" t="s">
        <v>863</v>
      </c>
      <c r="G1327" s="39" t="s">
        <v>864</v>
      </c>
    </row>
    <row r="1328" customFormat="false" ht="22.35" hidden="false" customHeight="false" outlineLevel="0" collapsed="false">
      <c r="A1328" s="37" t="s">
        <v>207</v>
      </c>
      <c r="B1328" s="37" t="s">
        <v>222</v>
      </c>
      <c r="C1328" s="37" t="s">
        <v>178</v>
      </c>
      <c r="D1328" s="37" t="s">
        <v>7</v>
      </c>
      <c r="E1328" s="38" t="n">
        <f aca="false">'Matrice des notes'!D42</f>
        <v>1</v>
      </c>
      <c r="F1328" s="37" t="s">
        <v>720</v>
      </c>
      <c r="G1328" s="39" t="s">
        <v>906</v>
      </c>
    </row>
    <row r="1329" customFormat="false" ht="15" hidden="false" customHeight="false" outlineLevel="0" collapsed="false">
      <c r="A1329" s="37" t="s">
        <v>207</v>
      </c>
      <c r="B1329" s="37" t="s">
        <v>222</v>
      </c>
      <c r="C1329" s="37" t="s">
        <v>178</v>
      </c>
      <c r="D1329" s="37" t="s">
        <v>11</v>
      </c>
      <c r="E1329" s="38" t="n">
        <f aca="false">'Matrice des notes'!E42</f>
        <v>1</v>
      </c>
      <c r="F1329" s="37" t="s">
        <v>839</v>
      </c>
      <c r="G1329" s="39" t="s">
        <v>840</v>
      </c>
    </row>
    <row r="1330" customFormat="false" ht="15" hidden="false" customHeight="false" outlineLevel="0" collapsed="false">
      <c r="A1330" s="37" t="s">
        <v>207</v>
      </c>
      <c r="B1330" s="37" t="s">
        <v>222</v>
      </c>
      <c r="C1330" s="37" t="s">
        <v>178</v>
      </c>
      <c r="D1330" s="37" t="s">
        <v>14</v>
      </c>
      <c r="E1330" s="38" t="n">
        <f aca="false">'Matrice des notes'!F42</f>
        <v>1</v>
      </c>
      <c r="F1330" s="37" t="s">
        <v>677</v>
      </c>
      <c r="G1330" s="39" t="s">
        <v>841</v>
      </c>
    </row>
    <row r="1331" customFormat="false" ht="15" hidden="false" customHeight="false" outlineLevel="0" collapsed="false">
      <c r="A1331" s="37" t="s">
        <v>207</v>
      </c>
      <c r="B1331" s="37" t="s">
        <v>222</v>
      </c>
      <c r="C1331" s="37" t="s">
        <v>178</v>
      </c>
      <c r="D1331" s="37" t="s">
        <v>17</v>
      </c>
      <c r="E1331" s="38" t="n">
        <f aca="false">'Matrice des notes'!G42</f>
        <v>1</v>
      </c>
      <c r="F1331" s="37" t="s">
        <v>842</v>
      </c>
      <c r="G1331" s="39" t="s">
        <v>843</v>
      </c>
    </row>
    <row r="1332" customFormat="false" ht="15" hidden="false" customHeight="false" outlineLevel="0" collapsed="false">
      <c r="A1332" s="37" t="s">
        <v>207</v>
      </c>
      <c r="B1332" s="37" t="s">
        <v>222</v>
      </c>
      <c r="C1332" s="37" t="s">
        <v>178</v>
      </c>
      <c r="D1332" s="37" t="s">
        <v>20</v>
      </c>
      <c r="E1332" s="38" t="n">
        <f aca="false">'Matrice des notes'!H42</f>
        <v>1</v>
      </c>
      <c r="F1332" s="37" t="s">
        <v>839</v>
      </c>
      <c r="G1332" s="39" t="s">
        <v>844</v>
      </c>
    </row>
    <row r="1333" customFormat="false" ht="15" hidden="false" customHeight="false" outlineLevel="0" collapsed="false">
      <c r="A1333" s="37" t="s">
        <v>207</v>
      </c>
      <c r="B1333" s="37" t="s">
        <v>222</v>
      </c>
      <c r="C1333" s="37" t="s">
        <v>178</v>
      </c>
      <c r="D1333" s="37" t="s">
        <v>23</v>
      </c>
      <c r="E1333" s="38" t="n">
        <f aca="false">'Matrice des notes'!I42</f>
        <v>1</v>
      </c>
      <c r="F1333" s="37" t="s">
        <v>839</v>
      </c>
      <c r="G1333" s="39" t="s">
        <v>845</v>
      </c>
    </row>
    <row r="1334" customFormat="false" ht="15" hidden="false" customHeight="false" outlineLevel="0" collapsed="false">
      <c r="A1334" s="37" t="s">
        <v>207</v>
      </c>
      <c r="B1334" s="37" t="s">
        <v>222</v>
      </c>
      <c r="C1334" s="37" t="s">
        <v>178</v>
      </c>
      <c r="D1334" s="37" t="s">
        <v>26</v>
      </c>
      <c r="E1334" s="38" t="n">
        <f aca="false">'Matrice des notes'!J42</f>
        <v>1</v>
      </c>
      <c r="F1334" s="37" t="s">
        <v>835</v>
      </c>
      <c r="G1334" s="39" t="s">
        <v>846</v>
      </c>
    </row>
    <row r="1335" customFormat="false" ht="15" hidden="false" customHeight="false" outlineLevel="0" collapsed="false">
      <c r="A1335" s="37" t="s">
        <v>207</v>
      </c>
      <c r="B1335" s="37" t="s">
        <v>222</v>
      </c>
      <c r="C1335" s="37" t="s">
        <v>178</v>
      </c>
      <c r="D1335" s="37" t="s">
        <v>30</v>
      </c>
      <c r="E1335" s="38" t="n">
        <f aca="false">'Matrice des notes'!K42</f>
        <v>1</v>
      </c>
      <c r="F1335" s="37" t="s">
        <v>677</v>
      </c>
      <c r="G1335" s="39" t="s">
        <v>847</v>
      </c>
    </row>
    <row r="1336" customFormat="false" ht="15" hidden="false" customHeight="false" outlineLevel="0" collapsed="false">
      <c r="A1336" s="37" t="s">
        <v>207</v>
      </c>
      <c r="B1336" s="37" t="s">
        <v>222</v>
      </c>
      <c r="C1336" s="37" t="s">
        <v>178</v>
      </c>
      <c r="D1336" s="37" t="s">
        <v>34</v>
      </c>
      <c r="E1336" s="38" t="n">
        <f aca="false">'Matrice des notes'!L42</f>
        <v>3</v>
      </c>
      <c r="F1336" s="37" t="s">
        <v>903</v>
      </c>
      <c r="G1336" s="39" t="s">
        <v>931</v>
      </c>
    </row>
    <row r="1337" customFormat="false" ht="15" hidden="false" customHeight="false" outlineLevel="0" collapsed="false">
      <c r="A1337" s="37" t="s">
        <v>207</v>
      </c>
      <c r="B1337" s="37" t="s">
        <v>222</v>
      </c>
      <c r="C1337" s="37" t="s">
        <v>178</v>
      </c>
      <c r="D1337" s="37" t="s">
        <v>37</v>
      </c>
      <c r="E1337" s="38" t="n">
        <f aca="false">'Matrice des notes'!M42</f>
        <v>1</v>
      </c>
      <c r="F1337" s="37" t="s">
        <v>812</v>
      </c>
      <c r="G1337" s="39" t="s">
        <v>813</v>
      </c>
    </row>
    <row r="1338" customFormat="false" ht="15" hidden="false" customHeight="false" outlineLevel="0" collapsed="false">
      <c r="A1338" s="37" t="s">
        <v>207</v>
      </c>
      <c r="B1338" s="37" t="s">
        <v>222</v>
      </c>
      <c r="C1338" s="37" t="s">
        <v>178</v>
      </c>
      <c r="D1338" s="37" t="s">
        <v>40</v>
      </c>
      <c r="E1338" s="38" t="n">
        <f aca="false">'Matrice des notes'!N42</f>
        <v>1</v>
      </c>
      <c r="F1338" s="37" t="s">
        <v>849</v>
      </c>
      <c r="G1338" s="39" t="s">
        <v>850</v>
      </c>
    </row>
    <row r="1339" customFormat="false" ht="15" hidden="false" customHeight="false" outlineLevel="0" collapsed="false">
      <c r="A1339" s="37" t="s">
        <v>207</v>
      </c>
      <c r="B1339" s="37" t="s">
        <v>222</v>
      </c>
      <c r="C1339" s="37" t="s">
        <v>178</v>
      </c>
      <c r="D1339" s="37" t="s">
        <v>43</v>
      </c>
      <c r="E1339" s="38" t="n">
        <f aca="false">'Matrice des notes'!O42</f>
        <v>1</v>
      </c>
      <c r="F1339" s="37" t="s">
        <v>816</v>
      </c>
      <c r="G1339" s="39" t="s">
        <v>866</v>
      </c>
    </row>
    <row r="1340" customFormat="false" ht="15" hidden="false" customHeight="false" outlineLevel="0" collapsed="false">
      <c r="A1340" s="37" t="s">
        <v>207</v>
      </c>
      <c r="B1340" s="37" t="s">
        <v>222</v>
      </c>
      <c r="C1340" s="37" t="s">
        <v>178</v>
      </c>
      <c r="D1340" s="37" t="s">
        <v>46</v>
      </c>
      <c r="E1340" s="38" t="n">
        <f aca="false">'Matrice des notes'!P42</f>
        <v>1</v>
      </c>
      <c r="F1340" s="37" t="s">
        <v>839</v>
      </c>
      <c r="G1340" s="39" t="s">
        <v>851</v>
      </c>
    </row>
    <row r="1341" customFormat="false" ht="22.35" hidden="false" customHeight="false" outlineLevel="0" collapsed="false">
      <c r="A1341" s="37" t="s">
        <v>207</v>
      </c>
      <c r="B1341" s="37" t="s">
        <v>222</v>
      </c>
      <c r="C1341" s="37" t="s">
        <v>179</v>
      </c>
      <c r="D1341" s="37" t="s">
        <v>49</v>
      </c>
      <c r="E1341" s="38" t="n">
        <f aca="false">'Matrice des notes'!Q42</f>
        <v>1</v>
      </c>
      <c r="F1341" s="37" t="s">
        <v>867</v>
      </c>
      <c r="G1341" s="39" t="s">
        <v>868</v>
      </c>
    </row>
    <row r="1342" customFormat="false" ht="15" hidden="false" customHeight="false" outlineLevel="0" collapsed="false">
      <c r="A1342" s="37" t="s">
        <v>207</v>
      </c>
      <c r="B1342" s="37" t="s">
        <v>222</v>
      </c>
      <c r="C1342" s="37" t="s">
        <v>179</v>
      </c>
      <c r="D1342" s="37" t="s">
        <v>53</v>
      </c>
      <c r="E1342" s="38" t="n">
        <f aca="false">'Matrice des notes'!R42</f>
        <v>3</v>
      </c>
      <c r="F1342" s="37" t="s">
        <v>903</v>
      </c>
      <c r="G1342" s="39" t="s">
        <v>932</v>
      </c>
    </row>
    <row r="1343" customFormat="false" ht="15" hidden="false" customHeight="false" outlineLevel="0" collapsed="false">
      <c r="A1343" s="37" t="s">
        <v>207</v>
      </c>
      <c r="B1343" s="37" t="s">
        <v>222</v>
      </c>
      <c r="C1343" s="37" t="s">
        <v>179</v>
      </c>
      <c r="D1343" s="37" t="s">
        <v>56</v>
      </c>
      <c r="E1343" s="38" t="n">
        <f aca="false">'Matrice des notes'!S42</f>
        <v>1</v>
      </c>
      <c r="F1343" s="37" t="s">
        <v>839</v>
      </c>
      <c r="G1343" s="39" t="s">
        <v>854</v>
      </c>
    </row>
    <row r="1344" customFormat="false" ht="15" hidden="false" customHeight="false" outlineLevel="0" collapsed="false">
      <c r="A1344" s="37" t="s">
        <v>207</v>
      </c>
      <c r="B1344" s="37" t="s">
        <v>222</v>
      </c>
      <c r="C1344" s="37" t="s">
        <v>179</v>
      </c>
      <c r="D1344" s="37" t="s">
        <v>59</v>
      </c>
      <c r="E1344" s="38" t="n">
        <f aca="false">'Matrice des notes'!T42</f>
        <v>1</v>
      </c>
      <c r="F1344" s="37" t="s">
        <v>839</v>
      </c>
      <c r="G1344" s="39" t="s">
        <v>855</v>
      </c>
    </row>
    <row r="1345" customFormat="false" ht="22.35" hidden="false" customHeight="false" outlineLevel="0" collapsed="false">
      <c r="A1345" s="37" t="s">
        <v>207</v>
      </c>
      <c r="B1345" s="37" t="s">
        <v>222</v>
      </c>
      <c r="C1345" s="37" t="s">
        <v>179</v>
      </c>
      <c r="D1345" s="37" t="s">
        <v>62</v>
      </c>
      <c r="E1345" s="38" t="n">
        <f aca="false">'Matrice des notes'!U42</f>
        <v>1</v>
      </c>
      <c r="F1345" s="37" t="s">
        <v>867</v>
      </c>
      <c r="G1345" s="39" t="s">
        <v>869</v>
      </c>
    </row>
    <row r="1346" customFormat="false" ht="15" hidden="false" customHeight="false" outlineLevel="0" collapsed="false">
      <c r="A1346" s="37" t="s">
        <v>207</v>
      </c>
      <c r="B1346" s="37" t="s">
        <v>222</v>
      </c>
      <c r="C1346" s="37" t="s">
        <v>179</v>
      </c>
      <c r="D1346" s="37" t="s">
        <v>65</v>
      </c>
      <c r="E1346" s="38" t="n">
        <f aca="false">'Matrice des notes'!V42</f>
        <v>3</v>
      </c>
      <c r="F1346" s="37" t="s">
        <v>903</v>
      </c>
      <c r="G1346" s="39" t="s">
        <v>904</v>
      </c>
    </row>
    <row r="1347" customFormat="false" ht="15" hidden="false" customHeight="false" outlineLevel="0" collapsed="false">
      <c r="A1347" s="37" t="s">
        <v>207</v>
      </c>
      <c r="B1347" s="37" t="s">
        <v>222</v>
      </c>
      <c r="C1347" s="37" t="s">
        <v>179</v>
      </c>
      <c r="D1347" s="37" t="s">
        <v>68</v>
      </c>
      <c r="E1347" s="38" t="n">
        <f aca="false">'Matrice des notes'!W42</f>
        <v>1</v>
      </c>
      <c r="F1347" s="37" t="s">
        <v>827</v>
      </c>
      <c r="G1347" s="39" t="s">
        <v>872</v>
      </c>
    </row>
    <row r="1348" customFormat="false" ht="15" hidden="false" customHeight="false" outlineLevel="0" collapsed="false">
      <c r="A1348" s="37" t="s">
        <v>207</v>
      </c>
      <c r="B1348" s="37" t="s">
        <v>222</v>
      </c>
      <c r="C1348" s="37" t="s">
        <v>179</v>
      </c>
      <c r="D1348" s="37" t="s">
        <v>71</v>
      </c>
      <c r="E1348" s="38" t="n">
        <f aca="false">'Matrice des notes'!X42</f>
        <v>1</v>
      </c>
      <c r="F1348" s="37" t="s">
        <v>708</v>
      </c>
      <c r="G1348" s="39" t="s">
        <v>857</v>
      </c>
    </row>
    <row r="1349" customFormat="false" ht="15" hidden="false" customHeight="false" outlineLevel="0" collapsed="false">
      <c r="A1349" s="37" t="s">
        <v>207</v>
      </c>
      <c r="B1349" s="37" t="s">
        <v>222</v>
      </c>
      <c r="C1349" s="37" t="s">
        <v>179</v>
      </c>
      <c r="D1349" s="37" t="s">
        <v>74</v>
      </c>
      <c r="E1349" s="38" t="n">
        <f aca="false">'Matrice des notes'!Y42</f>
        <v>3</v>
      </c>
      <c r="F1349" s="37" t="s">
        <v>673</v>
      </c>
      <c r="G1349" s="39" t="s">
        <v>896</v>
      </c>
    </row>
    <row r="1350" customFormat="false" ht="15" hidden="false" customHeight="false" outlineLevel="0" collapsed="false">
      <c r="A1350" s="37" t="s">
        <v>207</v>
      </c>
      <c r="B1350" s="37" t="s">
        <v>222</v>
      </c>
      <c r="C1350" s="37" t="s">
        <v>179</v>
      </c>
      <c r="D1350" s="37" t="s">
        <v>77</v>
      </c>
      <c r="E1350" s="38" t="n">
        <f aca="false">'Matrice des notes'!Z42</f>
        <v>1</v>
      </c>
      <c r="F1350" s="37" t="s">
        <v>842</v>
      </c>
      <c r="G1350" s="39" t="s">
        <v>858</v>
      </c>
    </row>
    <row r="1351" customFormat="false" ht="22.35" hidden="false" customHeight="false" outlineLevel="0" collapsed="false">
      <c r="A1351" s="37" t="s">
        <v>207</v>
      </c>
      <c r="B1351" s="37" t="s">
        <v>222</v>
      </c>
      <c r="C1351" s="37" t="s">
        <v>179</v>
      </c>
      <c r="D1351" s="37" t="s">
        <v>80</v>
      </c>
      <c r="E1351" s="38" t="n">
        <f aca="false">'Matrice des notes'!AA42</f>
        <v>4</v>
      </c>
      <c r="F1351" s="37" t="s">
        <v>941</v>
      </c>
      <c r="G1351" s="39" t="s">
        <v>942</v>
      </c>
    </row>
    <row r="1352" customFormat="false" ht="15" hidden="false" customHeight="false" outlineLevel="0" collapsed="false">
      <c r="A1352" s="37" t="s">
        <v>207</v>
      </c>
      <c r="B1352" s="37" t="s">
        <v>222</v>
      </c>
      <c r="C1352" s="37" t="s">
        <v>179</v>
      </c>
      <c r="D1352" s="37" t="s">
        <v>83</v>
      </c>
      <c r="E1352" s="38" t="n">
        <f aca="false">'Matrice des notes'!AB42</f>
        <v>2</v>
      </c>
      <c r="F1352" s="37" t="s">
        <v>933</v>
      </c>
      <c r="G1352" s="39" t="s">
        <v>934</v>
      </c>
    </row>
    <row r="1353" customFormat="false" ht="15" hidden="false" customHeight="false" outlineLevel="0" collapsed="false">
      <c r="A1353" s="37" t="s">
        <v>207</v>
      </c>
      <c r="B1353" s="37" t="s">
        <v>222</v>
      </c>
      <c r="C1353" s="37" t="s">
        <v>179</v>
      </c>
      <c r="D1353" s="37" t="s">
        <v>86</v>
      </c>
      <c r="E1353" s="38" t="n">
        <f aca="false">'Matrice des notes'!AC42</f>
        <v>3</v>
      </c>
      <c r="F1353" s="37" t="s">
        <v>935</v>
      </c>
      <c r="G1353" s="39" t="s">
        <v>936</v>
      </c>
    </row>
    <row r="1354" customFormat="false" ht="15" hidden="false" customHeight="false" outlineLevel="0" collapsed="false">
      <c r="A1354" s="37" t="s">
        <v>207</v>
      </c>
      <c r="B1354" s="37" t="s">
        <v>222</v>
      </c>
      <c r="C1354" s="37" t="s">
        <v>179</v>
      </c>
      <c r="D1354" s="37" t="s">
        <v>89</v>
      </c>
      <c r="E1354" s="38" t="n">
        <f aca="false">'Matrice des notes'!AD42</f>
        <v>3</v>
      </c>
      <c r="F1354" s="37" t="s">
        <v>937</v>
      </c>
      <c r="G1354" s="39" t="s">
        <v>938</v>
      </c>
    </row>
    <row r="1355" customFormat="false" ht="15" hidden="false" customHeight="false" outlineLevel="0" collapsed="false">
      <c r="A1355" s="37" t="s">
        <v>207</v>
      </c>
      <c r="B1355" s="37" t="s">
        <v>222</v>
      </c>
      <c r="C1355" s="37" t="s">
        <v>179</v>
      </c>
      <c r="D1355" s="37" t="s">
        <v>92</v>
      </c>
      <c r="E1355" s="38" t="n">
        <f aca="false">'Matrice des notes'!AE42</f>
        <v>2</v>
      </c>
      <c r="F1355" s="37" t="s">
        <v>900</v>
      </c>
      <c r="G1355" s="39" t="s">
        <v>901</v>
      </c>
    </row>
    <row r="1356" customFormat="false" ht="15" hidden="false" customHeight="false" outlineLevel="0" collapsed="false">
      <c r="A1356" s="37" t="s">
        <v>207</v>
      </c>
      <c r="B1356" s="37" t="s">
        <v>222</v>
      </c>
      <c r="C1356" s="37" t="s">
        <v>180</v>
      </c>
      <c r="D1356" s="37" t="s">
        <v>95</v>
      </c>
      <c r="E1356" s="38" t="n">
        <f aca="false">'Matrice des notes'!AF42</f>
        <v>1</v>
      </c>
      <c r="F1356" s="37" t="s">
        <v>631</v>
      </c>
      <c r="G1356" s="39" t="s">
        <v>654</v>
      </c>
    </row>
    <row r="1357" customFormat="false" ht="15" hidden="false" customHeight="false" outlineLevel="0" collapsed="false">
      <c r="A1357" s="37" t="s">
        <v>207</v>
      </c>
      <c r="B1357" s="37" t="s">
        <v>222</v>
      </c>
      <c r="C1357" s="37" t="s">
        <v>180</v>
      </c>
      <c r="D1357" s="37" t="s">
        <v>99</v>
      </c>
      <c r="E1357" s="38" t="n">
        <f aca="false">'Matrice des notes'!AG42</f>
        <v>1</v>
      </c>
      <c r="F1357" s="37" t="s">
        <v>655</v>
      </c>
      <c r="G1357" s="39" t="s">
        <v>656</v>
      </c>
    </row>
    <row r="1358" customFormat="false" ht="15" hidden="false" customHeight="false" outlineLevel="0" collapsed="false">
      <c r="A1358" s="37" t="s">
        <v>207</v>
      </c>
      <c r="B1358" s="37" t="s">
        <v>222</v>
      </c>
      <c r="C1358" s="37" t="s">
        <v>180</v>
      </c>
      <c r="D1358" s="37" t="s">
        <v>102</v>
      </c>
      <c r="E1358" s="38" t="n">
        <f aca="false">'Matrice des notes'!AH42</f>
        <v>1</v>
      </c>
      <c r="F1358" s="37" t="s">
        <v>655</v>
      </c>
      <c r="G1358" s="39" t="s">
        <v>656</v>
      </c>
    </row>
    <row r="1359" customFormat="false" ht="15" hidden="false" customHeight="false" outlineLevel="0" collapsed="false">
      <c r="A1359" s="37" t="s">
        <v>207</v>
      </c>
      <c r="B1359" s="37" t="s">
        <v>222</v>
      </c>
      <c r="C1359" s="37" t="s">
        <v>180</v>
      </c>
      <c r="D1359" s="37" t="s">
        <v>104</v>
      </c>
      <c r="E1359" s="38" t="n">
        <f aca="false">'Matrice des notes'!AI42</f>
        <v>1</v>
      </c>
      <c r="F1359" s="37" t="s">
        <v>631</v>
      </c>
      <c r="G1359" s="39" t="s">
        <v>654</v>
      </c>
    </row>
    <row r="1360" customFormat="false" ht="15" hidden="false" customHeight="false" outlineLevel="0" collapsed="false">
      <c r="A1360" s="37" t="s">
        <v>207</v>
      </c>
      <c r="B1360" s="37" t="s">
        <v>222</v>
      </c>
      <c r="C1360" s="37" t="s">
        <v>180</v>
      </c>
      <c r="D1360" s="37" t="s">
        <v>107</v>
      </c>
      <c r="E1360" s="38" t="n">
        <f aca="false">'Matrice des notes'!AJ42</f>
        <v>1</v>
      </c>
      <c r="F1360" s="37" t="s">
        <v>631</v>
      </c>
      <c r="G1360" s="39" t="s">
        <v>654</v>
      </c>
    </row>
    <row r="1361" customFormat="false" ht="15" hidden="false" customHeight="false" outlineLevel="0" collapsed="false">
      <c r="A1361" s="37" t="s">
        <v>207</v>
      </c>
      <c r="B1361" s="37" t="s">
        <v>222</v>
      </c>
      <c r="C1361" s="37" t="s">
        <v>180</v>
      </c>
      <c r="D1361" s="37" t="s">
        <v>110</v>
      </c>
      <c r="E1361" s="38" t="n">
        <f aca="false">'Matrice des notes'!AK42</f>
        <v>1</v>
      </c>
      <c r="F1361" s="37" t="s">
        <v>631</v>
      </c>
      <c r="G1361" s="39" t="s">
        <v>654</v>
      </c>
    </row>
    <row r="1362" customFormat="false" ht="15" hidden="false" customHeight="false" outlineLevel="0" collapsed="false">
      <c r="A1362" s="37" t="s">
        <v>207</v>
      </c>
      <c r="B1362" s="37" t="s">
        <v>222</v>
      </c>
      <c r="C1362" s="37" t="s">
        <v>180</v>
      </c>
      <c r="D1362" s="37" t="s">
        <v>113</v>
      </c>
      <c r="E1362" s="38" t="n">
        <f aca="false">'Matrice des notes'!AL42</f>
        <v>1</v>
      </c>
      <c r="F1362" s="37" t="s">
        <v>631</v>
      </c>
      <c r="G1362" s="39" t="s">
        <v>654</v>
      </c>
    </row>
    <row r="1363" customFormat="false" ht="15" hidden="false" customHeight="false" outlineLevel="0" collapsed="false">
      <c r="A1363" s="37" t="s">
        <v>207</v>
      </c>
      <c r="B1363" s="37" t="s">
        <v>222</v>
      </c>
      <c r="C1363" s="37" t="s">
        <v>180</v>
      </c>
      <c r="D1363" s="37" t="s">
        <v>116</v>
      </c>
      <c r="E1363" s="38" t="n">
        <f aca="false">'Matrice des notes'!AM42</f>
        <v>1</v>
      </c>
      <c r="F1363" s="37" t="s">
        <v>655</v>
      </c>
      <c r="G1363" s="39" t="s">
        <v>656</v>
      </c>
    </row>
    <row r="1364" customFormat="false" ht="15" hidden="false" customHeight="false" outlineLevel="0" collapsed="false">
      <c r="A1364" s="37" t="s">
        <v>207</v>
      </c>
      <c r="B1364" s="37" t="s">
        <v>222</v>
      </c>
      <c r="C1364" s="37" t="s">
        <v>180</v>
      </c>
      <c r="D1364" s="37" t="s">
        <v>119</v>
      </c>
      <c r="E1364" s="38" t="n">
        <f aca="false">'Matrice des notes'!AN42</f>
        <v>1</v>
      </c>
      <c r="F1364" s="37" t="s">
        <v>631</v>
      </c>
      <c r="G1364" s="39" t="s">
        <v>654</v>
      </c>
    </row>
    <row r="1365" customFormat="false" ht="15" hidden="false" customHeight="false" outlineLevel="0" collapsed="false">
      <c r="A1365" s="37" t="s">
        <v>207</v>
      </c>
      <c r="B1365" s="37" t="s">
        <v>222</v>
      </c>
      <c r="C1365" s="37" t="s">
        <v>180</v>
      </c>
      <c r="D1365" s="37" t="s">
        <v>121</v>
      </c>
      <c r="E1365" s="38" t="n">
        <f aca="false">'Matrice des notes'!AO42</f>
        <v>1</v>
      </c>
      <c r="F1365" s="37" t="s">
        <v>657</v>
      </c>
      <c r="G1365" s="39" t="s">
        <v>658</v>
      </c>
    </row>
    <row r="1366" customFormat="false" ht="15" hidden="false" customHeight="false" outlineLevel="0" collapsed="false">
      <c r="A1366" s="37" t="s">
        <v>207</v>
      </c>
      <c r="B1366" s="37" t="s">
        <v>222</v>
      </c>
      <c r="C1366" s="37" t="s">
        <v>180</v>
      </c>
      <c r="D1366" s="37" t="s">
        <v>124</v>
      </c>
      <c r="E1366" s="38" t="n">
        <f aca="false">'Matrice des notes'!AP42</f>
        <v>1</v>
      </c>
      <c r="F1366" s="37" t="s">
        <v>863</v>
      </c>
      <c r="G1366" s="39" t="s">
        <v>864</v>
      </c>
    </row>
    <row r="1367" customFormat="false" ht="15" hidden="false" customHeight="false" outlineLevel="0" collapsed="false">
      <c r="A1367" s="37" t="s">
        <v>207</v>
      </c>
      <c r="B1367" s="37" t="s">
        <v>223</v>
      </c>
      <c r="C1367" s="37" t="s">
        <v>178</v>
      </c>
      <c r="D1367" s="37" t="s">
        <v>7</v>
      </c>
      <c r="E1367" s="38" t="n">
        <f aca="false">'Matrice des notes'!D43</f>
        <v>1</v>
      </c>
      <c r="F1367" s="37" t="s">
        <v>673</v>
      </c>
      <c r="G1367" s="39" t="s">
        <v>902</v>
      </c>
    </row>
    <row r="1368" customFormat="false" ht="15" hidden="false" customHeight="false" outlineLevel="0" collapsed="false">
      <c r="A1368" s="37" t="s">
        <v>207</v>
      </c>
      <c r="B1368" s="37" t="s">
        <v>223</v>
      </c>
      <c r="C1368" s="37" t="s">
        <v>178</v>
      </c>
      <c r="D1368" s="37" t="s">
        <v>11</v>
      </c>
      <c r="E1368" s="38" t="n">
        <f aca="false">'Matrice des notes'!E43</f>
        <v>1</v>
      </c>
      <c r="F1368" s="37" t="s">
        <v>839</v>
      </c>
      <c r="G1368" s="39" t="s">
        <v>840</v>
      </c>
    </row>
    <row r="1369" customFormat="false" ht="15" hidden="false" customHeight="false" outlineLevel="0" collapsed="false">
      <c r="A1369" s="37" t="s">
        <v>207</v>
      </c>
      <c r="B1369" s="37" t="s">
        <v>223</v>
      </c>
      <c r="C1369" s="37" t="s">
        <v>178</v>
      </c>
      <c r="D1369" s="37" t="s">
        <v>14</v>
      </c>
      <c r="E1369" s="38" t="n">
        <f aca="false">'Matrice des notes'!F43</f>
        <v>1</v>
      </c>
      <c r="F1369" s="37" t="s">
        <v>677</v>
      </c>
      <c r="G1369" s="39" t="s">
        <v>841</v>
      </c>
    </row>
    <row r="1370" customFormat="false" ht="15" hidden="false" customHeight="false" outlineLevel="0" collapsed="false">
      <c r="A1370" s="37" t="s">
        <v>207</v>
      </c>
      <c r="B1370" s="37" t="s">
        <v>223</v>
      </c>
      <c r="C1370" s="37" t="s">
        <v>178</v>
      </c>
      <c r="D1370" s="37" t="s">
        <v>17</v>
      </c>
      <c r="E1370" s="38" t="n">
        <f aca="false">'Matrice des notes'!G43</f>
        <v>1</v>
      </c>
      <c r="F1370" s="37" t="s">
        <v>842</v>
      </c>
      <c r="G1370" s="39" t="s">
        <v>843</v>
      </c>
    </row>
    <row r="1371" customFormat="false" ht="15" hidden="false" customHeight="false" outlineLevel="0" collapsed="false">
      <c r="A1371" s="37" t="s">
        <v>207</v>
      </c>
      <c r="B1371" s="37" t="s">
        <v>223</v>
      </c>
      <c r="C1371" s="37" t="s">
        <v>178</v>
      </c>
      <c r="D1371" s="37" t="s">
        <v>20</v>
      </c>
      <c r="E1371" s="38" t="n">
        <f aca="false">'Matrice des notes'!H43</f>
        <v>1</v>
      </c>
      <c r="F1371" s="37" t="s">
        <v>839</v>
      </c>
      <c r="G1371" s="39" t="s">
        <v>844</v>
      </c>
    </row>
    <row r="1372" customFormat="false" ht="15" hidden="false" customHeight="false" outlineLevel="0" collapsed="false">
      <c r="A1372" s="37" t="s">
        <v>207</v>
      </c>
      <c r="B1372" s="37" t="s">
        <v>223</v>
      </c>
      <c r="C1372" s="37" t="s">
        <v>178</v>
      </c>
      <c r="D1372" s="37" t="s">
        <v>23</v>
      </c>
      <c r="E1372" s="38" t="n">
        <f aca="false">'Matrice des notes'!I43</f>
        <v>1</v>
      </c>
      <c r="F1372" s="37" t="s">
        <v>839</v>
      </c>
      <c r="G1372" s="39" t="s">
        <v>845</v>
      </c>
    </row>
    <row r="1373" customFormat="false" ht="15" hidden="false" customHeight="false" outlineLevel="0" collapsed="false">
      <c r="A1373" s="37" t="s">
        <v>207</v>
      </c>
      <c r="B1373" s="37" t="s">
        <v>223</v>
      </c>
      <c r="C1373" s="37" t="s">
        <v>178</v>
      </c>
      <c r="D1373" s="37" t="s">
        <v>26</v>
      </c>
      <c r="E1373" s="38" t="n">
        <f aca="false">'Matrice des notes'!J43</f>
        <v>1</v>
      </c>
      <c r="F1373" s="37" t="s">
        <v>835</v>
      </c>
      <c r="G1373" s="39" t="s">
        <v>846</v>
      </c>
    </row>
    <row r="1374" customFormat="false" ht="15" hidden="false" customHeight="false" outlineLevel="0" collapsed="false">
      <c r="A1374" s="37" t="s">
        <v>207</v>
      </c>
      <c r="B1374" s="37" t="s">
        <v>223</v>
      </c>
      <c r="C1374" s="37" t="s">
        <v>178</v>
      </c>
      <c r="D1374" s="37" t="s">
        <v>30</v>
      </c>
      <c r="E1374" s="38" t="n">
        <f aca="false">'Matrice des notes'!K43</f>
        <v>1</v>
      </c>
      <c r="F1374" s="37" t="s">
        <v>677</v>
      </c>
      <c r="G1374" s="39" t="s">
        <v>847</v>
      </c>
    </row>
    <row r="1375" customFormat="false" ht="15" hidden="false" customHeight="false" outlineLevel="0" collapsed="false">
      <c r="A1375" s="37" t="s">
        <v>207</v>
      </c>
      <c r="B1375" s="37" t="s">
        <v>223</v>
      </c>
      <c r="C1375" s="37" t="s">
        <v>178</v>
      </c>
      <c r="D1375" s="37" t="s">
        <v>34</v>
      </c>
      <c r="E1375" s="38" t="n">
        <f aca="false">'Matrice des notes'!L43</f>
        <v>2</v>
      </c>
      <c r="F1375" s="37" t="s">
        <v>891</v>
      </c>
      <c r="G1375" s="39" t="s">
        <v>892</v>
      </c>
    </row>
    <row r="1376" customFormat="false" ht="15" hidden="false" customHeight="false" outlineLevel="0" collapsed="false">
      <c r="A1376" s="37" t="s">
        <v>207</v>
      </c>
      <c r="B1376" s="37" t="s">
        <v>223</v>
      </c>
      <c r="C1376" s="37" t="s">
        <v>178</v>
      </c>
      <c r="D1376" s="37" t="s">
        <v>37</v>
      </c>
      <c r="E1376" s="38" t="n">
        <f aca="false">'Matrice des notes'!M43</f>
        <v>1</v>
      </c>
      <c r="F1376" s="37" t="s">
        <v>812</v>
      </c>
      <c r="G1376" s="39" t="s">
        <v>813</v>
      </c>
    </row>
    <row r="1377" customFormat="false" ht="15" hidden="false" customHeight="false" outlineLevel="0" collapsed="false">
      <c r="A1377" s="37" t="s">
        <v>207</v>
      </c>
      <c r="B1377" s="37" t="s">
        <v>223</v>
      </c>
      <c r="C1377" s="37" t="s">
        <v>178</v>
      </c>
      <c r="D1377" s="37" t="s">
        <v>40</v>
      </c>
      <c r="E1377" s="38" t="n">
        <f aca="false">'Matrice des notes'!N43</f>
        <v>1</v>
      </c>
      <c r="F1377" s="37" t="s">
        <v>849</v>
      </c>
      <c r="G1377" s="39" t="s">
        <v>850</v>
      </c>
    </row>
    <row r="1378" customFormat="false" ht="15" hidden="false" customHeight="false" outlineLevel="0" collapsed="false">
      <c r="A1378" s="37" t="s">
        <v>207</v>
      </c>
      <c r="B1378" s="37" t="s">
        <v>223</v>
      </c>
      <c r="C1378" s="37" t="s">
        <v>178</v>
      </c>
      <c r="D1378" s="37" t="s">
        <v>43</v>
      </c>
      <c r="E1378" s="38" t="n">
        <f aca="false">'Matrice des notes'!O43</f>
        <v>1</v>
      </c>
      <c r="F1378" s="37" t="s">
        <v>816</v>
      </c>
      <c r="G1378" s="39" t="s">
        <v>866</v>
      </c>
    </row>
    <row r="1379" customFormat="false" ht="15" hidden="false" customHeight="false" outlineLevel="0" collapsed="false">
      <c r="A1379" s="37" t="s">
        <v>207</v>
      </c>
      <c r="B1379" s="37" t="s">
        <v>223</v>
      </c>
      <c r="C1379" s="37" t="s">
        <v>178</v>
      </c>
      <c r="D1379" s="37" t="s">
        <v>46</v>
      </c>
      <c r="E1379" s="38" t="n">
        <f aca="false">'Matrice des notes'!P43</f>
        <v>1</v>
      </c>
      <c r="F1379" s="37" t="s">
        <v>839</v>
      </c>
      <c r="G1379" s="39" t="s">
        <v>851</v>
      </c>
    </row>
    <row r="1380" customFormat="false" ht="22.35" hidden="false" customHeight="false" outlineLevel="0" collapsed="false">
      <c r="A1380" s="37" t="s">
        <v>207</v>
      </c>
      <c r="B1380" s="37" t="s">
        <v>223</v>
      </c>
      <c r="C1380" s="37" t="s">
        <v>179</v>
      </c>
      <c r="D1380" s="37" t="s">
        <v>49</v>
      </c>
      <c r="E1380" s="38" t="n">
        <f aca="false">'Matrice des notes'!Q43</f>
        <v>1</v>
      </c>
      <c r="F1380" s="37" t="s">
        <v>867</v>
      </c>
      <c r="G1380" s="39" t="s">
        <v>868</v>
      </c>
    </row>
    <row r="1381" customFormat="false" ht="15" hidden="false" customHeight="false" outlineLevel="0" collapsed="false">
      <c r="A1381" s="37" t="s">
        <v>207</v>
      </c>
      <c r="B1381" s="37" t="s">
        <v>223</v>
      </c>
      <c r="C1381" s="37" t="s">
        <v>179</v>
      </c>
      <c r="D1381" s="37" t="s">
        <v>53</v>
      </c>
      <c r="E1381" s="38" t="n">
        <f aca="false">'Matrice des notes'!R43</f>
        <v>2</v>
      </c>
      <c r="F1381" s="37" t="s">
        <v>891</v>
      </c>
      <c r="G1381" s="39" t="s">
        <v>893</v>
      </c>
    </row>
    <row r="1382" customFormat="false" ht="15" hidden="false" customHeight="false" outlineLevel="0" collapsed="false">
      <c r="A1382" s="37" t="s">
        <v>207</v>
      </c>
      <c r="B1382" s="37" t="s">
        <v>223</v>
      </c>
      <c r="C1382" s="37" t="s">
        <v>179</v>
      </c>
      <c r="D1382" s="37" t="s">
        <v>56</v>
      </c>
      <c r="E1382" s="38" t="n">
        <f aca="false">'Matrice des notes'!S43</f>
        <v>1</v>
      </c>
      <c r="F1382" s="37" t="s">
        <v>839</v>
      </c>
      <c r="G1382" s="39" t="s">
        <v>854</v>
      </c>
    </row>
    <row r="1383" customFormat="false" ht="15" hidden="false" customHeight="false" outlineLevel="0" collapsed="false">
      <c r="A1383" s="37" t="s">
        <v>207</v>
      </c>
      <c r="B1383" s="37" t="s">
        <v>223</v>
      </c>
      <c r="C1383" s="37" t="s">
        <v>179</v>
      </c>
      <c r="D1383" s="37" t="s">
        <v>59</v>
      </c>
      <c r="E1383" s="38" t="n">
        <f aca="false">'Matrice des notes'!T43</f>
        <v>1</v>
      </c>
      <c r="F1383" s="37" t="s">
        <v>839</v>
      </c>
      <c r="G1383" s="39" t="s">
        <v>855</v>
      </c>
    </row>
    <row r="1384" customFormat="false" ht="22.35" hidden="false" customHeight="false" outlineLevel="0" collapsed="false">
      <c r="A1384" s="37" t="s">
        <v>207</v>
      </c>
      <c r="B1384" s="37" t="s">
        <v>223</v>
      </c>
      <c r="C1384" s="37" t="s">
        <v>179</v>
      </c>
      <c r="D1384" s="37" t="s">
        <v>62</v>
      </c>
      <c r="E1384" s="38" t="n">
        <f aca="false">'Matrice des notes'!U43</f>
        <v>1</v>
      </c>
      <c r="F1384" s="37" t="s">
        <v>867</v>
      </c>
      <c r="G1384" s="39" t="s">
        <v>869</v>
      </c>
    </row>
    <row r="1385" customFormat="false" ht="15" hidden="false" customHeight="false" outlineLevel="0" collapsed="false">
      <c r="A1385" s="37" t="s">
        <v>207</v>
      </c>
      <c r="B1385" s="37" t="s">
        <v>223</v>
      </c>
      <c r="C1385" s="37" t="s">
        <v>179</v>
      </c>
      <c r="D1385" s="37" t="s">
        <v>65</v>
      </c>
      <c r="E1385" s="38" t="n">
        <f aca="false">'Matrice des notes'!V43</f>
        <v>3</v>
      </c>
      <c r="F1385" s="37" t="s">
        <v>903</v>
      </c>
      <c r="G1385" s="39" t="s">
        <v>904</v>
      </c>
    </row>
    <row r="1386" customFormat="false" ht="15" hidden="false" customHeight="false" outlineLevel="0" collapsed="false">
      <c r="A1386" s="37" t="s">
        <v>207</v>
      </c>
      <c r="B1386" s="37" t="s">
        <v>223</v>
      </c>
      <c r="C1386" s="37" t="s">
        <v>179</v>
      </c>
      <c r="D1386" s="37" t="s">
        <v>68</v>
      </c>
      <c r="E1386" s="38" t="n">
        <f aca="false">'Matrice des notes'!W43</f>
        <v>1</v>
      </c>
      <c r="F1386" s="37" t="s">
        <v>827</v>
      </c>
      <c r="G1386" s="39" t="s">
        <v>872</v>
      </c>
    </row>
    <row r="1387" customFormat="false" ht="15" hidden="false" customHeight="false" outlineLevel="0" collapsed="false">
      <c r="A1387" s="37" t="s">
        <v>207</v>
      </c>
      <c r="B1387" s="37" t="s">
        <v>223</v>
      </c>
      <c r="C1387" s="37" t="s">
        <v>179</v>
      </c>
      <c r="D1387" s="37" t="s">
        <v>71</v>
      </c>
      <c r="E1387" s="38" t="n">
        <f aca="false">'Matrice des notes'!X43</f>
        <v>1</v>
      </c>
      <c r="F1387" s="37" t="s">
        <v>708</v>
      </c>
      <c r="G1387" s="39" t="s">
        <v>857</v>
      </c>
    </row>
    <row r="1388" customFormat="false" ht="15" hidden="false" customHeight="false" outlineLevel="0" collapsed="false">
      <c r="A1388" s="37" t="s">
        <v>207</v>
      </c>
      <c r="B1388" s="37" t="s">
        <v>223</v>
      </c>
      <c r="C1388" s="37" t="s">
        <v>179</v>
      </c>
      <c r="D1388" s="37" t="s">
        <v>74</v>
      </c>
      <c r="E1388" s="38" t="n">
        <f aca="false">'Matrice des notes'!Y43</f>
        <v>3</v>
      </c>
      <c r="F1388" s="37" t="s">
        <v>673</v>
      </c>
      <c r="G1388" s="39" t="s">
        <v>896</v>
      </c>
    </row>
    <row r="1389" customFormat="false" ht="15" hidden="false" customHeight="false" outlineLevel="0" collapsed="false">
      <c r="A1389" s="37" t="s">
        <v>207</v>
      </c>
      <c r="B1389" s="37" t="s">
        <v>223</v>
      </c>
      <c r="C1389" s="37" t="s">
        <v>179</v>
      </c>
      <c r="D1389" s="37" t="s">
        <v>77</v>
      </c>
      <c r="E1389" s="38" t="n">
        <f aca="false">'Matrice des notes'!Z43</f>
        <v>1</v>
      </c>
      <c r="F1389" s="37" t="s">
        <v>842</v>
      </c>
      <c r="G1389" s="39" t="s">
        <v>858</v>
      </c>
    </row>
    <row r="1390" customFormat="false" ht="15" hidden="false" customHeight="false" outlineLevel="0" collapsed="false">
      <c r="A1390" s="37" t="s">
        <v>207</v>
      </c>
      <c r="B1390" s="37" t="s">
        <v>223</v>
      </c>
      <c r="C1390" s="37" t="s">
        <v>179</v>
      </c>
      <c r="D1390" s="37" t="s">
        <v>80</v>
      </c>
      <c r="E1390" s="38" t="n">
        <f aca="false">'Matrice des notes'!AA43</f>
        <v>3</v>
      </c>
      <c r="F1390" s="37" t="s">
        <v>907</v>
      </c>
      <c r="G1390" s="39" t="s">
        <v>908</v>
      </c>
    </row>
    <row r="1391" customFormat="false" ht="22.35" hidden="false" customHeight="false" outlineLevel="0" collapsed="false">
      <c r="A1391" s="37" t="s">
        <v>207</v>
      </c>
      <c r="B1391" s="37" t="s">
        <v>223</v>
      </c>
      <c r="C1391" s="37" t="s">
        <v>179</v>
      </c>
      <c r="D1391" s="37" t="s">
        <v>83</v>
      </c>
      <c r="E1391" s="38" t="n">
        <f aca="false">'Matrice des notes'!AB43</f>
        <v>1</v>
      </c>
      <c r="F1391" s="37" t="s">
        <v>898</v>
      </c>
      <c r="G1391" s="39" t="s">
        <v>899</v>
      </c>
    </row>
    <row r="1392" customFormat="false" ht="15" hidden="false" customHeight="false" outlineLevel="0" collapsed="false">
      <c r="A1392" s="37" t="s">
        <v>207</v>
      </c>
      <c r="B1392" s="37" t="s">
        <v>223</v>
      </c>
      <c r="C1392" s="37" t="s">
        <v>179</v>
      </c>
      <c r="D1392" s="37" t="s">
        <v>86</v>
      </c>
      <c r="E1392" s="38" t="n">
        <f aca="false">'Matrice des notes'!AC43</f>
        <v>4</v>
      </c>
      <c r="F1392" s="37" t="s">
        <v>939</v>
      </c>
      <c r="G1392" s="39" t="s">
        <v>940</v>
      </c>
    </row>
    <row r="1393" customFormat="false" ht="15" hidden="false" customHeight="false" outlineLevel="0" collapsed="false">
      <c r="A1393" s="37" t="s">
        <v>207</v>
      </c>
      <c r="B1393" s="37" t="s">
        <v>223</v>
      </c>
      <c r="C1393" s="37" t="s">
        <v>179</v>
      </c>
      <c r="D1393" s="37" t="s">
        <v>89</v>
      </c>
      <c r="E1393" s="38" t="n">
        <f aca="false">'Matrice des notes'!AD43</f>
        <v>3</v>
      </c>
      <c r="F1393" s="37" t="s">
        <v>937</v>
      </c>
      <c r="G1393" s="39" t="s">
        <v>938</v>
      </c>
    </row>
    <row r="1394" customFormat="false" ht="15" hidden="false" customHeight="false" outlineLevel="0" collapsed="false">
      <c r="A1394" s="37" t="s">
        <v>207</v>
      </c>
      <c r="B1394" s="37" t="s">
        <v>223</v>
      </c>
      <c r="C1394" s="37" t="s">
        <v>179</v>
      </c>
      <c r="D1394" s="37" t="s">
        <v>92</v>
      </c>
      <c r="E1394" s="38" t="n">
        <f aca="false">'Matrice des notes'!AE43</f>
        <v>2</v>
      </c>
      <c r="F1394" s="37" t="s">
        <v>900</v>
      </c>
      <c r="G1394" s="39" t="s">
        <v>901</v>
      </c>
    </row>
    <row r="1395" customFormat="false" ht="15" hidden="false" customHeight="false" outlineLevel="0" collapsed="false">
      <c r="A1395" s="37" t="s">
        <v>207</v>
      </c>
      <c r="B1395" s="37" t="s">
        <v>223</v>
      </c>
      <c r="C1395" s="37" t="s">
        <v>180</v>
      </c>
      <c r="D1395" s="37" t="s">
        <v>95</v>
      </c>
      <c r="E1395" s="38" t="n">
        <f aca="false">'Matrice des notes'!AF43</f>
        <v>1</v>
      </c>
      <c r="F1395" s="37" t="s">
        <v>631</v>
      </c>
      <c r="G1395" s="39" t="s">
        <v>654</v>
      </c>
    </row>
    <row r="1396" customFormat="false" ht="15" hidden="false" customHeight="false" outlineLevel="0" collapsed="false">
      <c r="A1396" s="37" t="s">
        <v>207</v>
      </c>
      <c r="B1396" s="37" t="s">
        <v>223</v>
      </c>
      <c r="C1396" s="37" t="s">
        <v>180</v>
      </c>
      <c r="D1396" s="37" t="s">
        <v>99</v>
      </c>
      <c r="E1396" s="38" t="n">
        <f aca="false">'Matrice des notes'!AG43</f>
        <v>1</v>
      </c>
      <c r="F1396" s="37" t="s">
        <v>655</v>
      </c>
      <c r="G1396" s="39" t="s">
        <v>656</v>
      </c>
    </row>
    <row r="1397" customFormat="false" ht="15" hidden="false" customHeight="false" outlineLevel="0" collapsed="false">
      <c r="A1397" s="37" t="s">
        <v>207</v>
      </c>
      <c r="B1397" s="37" t="s">
        <v>223</v>
      </c>
      <c r="C1397" s="37" t="s">
        <v>180</v>
      </c>
      <c r="D1397" s="37" t="s">
        <v>102</v>
      </c>
      <c r="E1397" s="38" t="n">
        <f aca="false">'Matrice des notes'!AH43</f>
        <v>1</v>
      </c>
      <c r="F1397" s="37" t="s">
        <v>655</v>
      </c>
      <c r="G1397" s="39" t="s">
        <v>656</v>
      </c>
    </row>
    <row r="1398" customFormat="false" ht="15" hidden="false" customHeight="false" outlineLevel="0" collapsed="false">
      <c r="A1398" s="37" t="s">
        <v>207</v>
      </c>
      <c r="B1398" s="37" t="s">
        <v>223</v>
      </c>
      <c r="C1398" s="37" t="s">
        <v>180</v>
      </c>
      <c r="D1398" s="37" t="s">
        <v>104</v>
      </c>
      <c r="E1398" s="38" t="n">
        <f aca="false">'Matrice des notes'!AI43</f>
        <v>1</v>
      </c>
      <c r="F1398" s="37" t="s">
        <v>631</v>
      </c>
      <c r="G1398" s="39" t="s">
        <v>654</v>
      </c>
    </row>
    <row r="1399" customFormat="false" ht="15" hidden="false" customHeight="false" outlineLevel="0" collapsed="false">
      <c r="A1399" s="37" t="s">
        <v>207</v>
      </c>
      <c r="B1399" s="37" t="s">
        <v>223</v>
      </c>
      <c r="C1399" s="37" t="s">
        <v>180</v>
      </c>
      <c r="D1399" s="37" t="s">
        <v>107</v>
      </c>
      <c r="E1399" s="38" t="n">
        <f aca="false">'Matrice des notes'!AJ43</f>
        <v>1</v>
      </c>
      <c r="F1399" s="37" t="s">
        <v>631</v>
      </c>
      <c r="G1399" s="39" t="s">
        <v>654</v>
      </c>
    </row>
    <row r="1400" customFormat="false" ht="15" hidden="false" customHeight="false" outlineLevel="0" collapsed="false">
      <c r="A1400" s="37" t="s">
        <v>207</v>
      </c>
      <c r="B1400" s="37" t="s">
        <v>223</v>
      </c>
      <c r="C1400" s="37" t="s">
        <v>180</v>
      </c>
      <c r="D1400" s="37" t="s">
        <v>110</v>
      </c>
      <c r="E1400" s="38" t="n">
        <f aca="false">'Matrice des notes'!AK43</f>
        <v>1</v>
      </c>
      <c r="F1400" s="37" t="s">
        <v>631</v>
      </c>
      <c r="G1400" s="39" t="s">
        <v>654</v>
      </c>
    </row>
    <row r="1401" customFormat="false" ht="15" hidden="false" customHeight="false" outlineLevel="0" collapsed="false">
      <c r="A1401" s="37" t="s">
        <v>207</v>
      </c>
      <c r="B1401" s="37" t="s">
        <v>223</v>
      </c>
      <c r="C1401" s="37" t="s">
        <v>180</v>
      </c>
      <c r="D1401" s="37" t="s">
        <v>113</v>
      </c>
      <c r="E1401" s="38" t="n">
        <f aca="false">'Matrice des notes'!AL43</f>
        <v>1</v>
      </c>
      <c r="F1401" s="37" t="s">
        <v>631</v>
      </c>
      <c r="G1401" s="39" t="s">
        <v>654</v>
      </c>
    </row>
    <row r="1402" customFormat="false" ht="15" hidden="false" customHeight="false" outlineLevel="0" collapsed="false">
      <c r="A1402" s="37" t="s">
        <v>207</v>
      </c>
      <c r="B1402" s="37" t="s">
        <v>223</v>
      </c>
      <c r="C1402" s="37" t="s">
        <v>180</v>
      </c>
      <c r="D1402" s="37" t="s">
        <v>116</v>
      </c>
      <c r="E1402" s="38" t="n">
        <f aca="false">'Matrice des notes'!AM43</f>
        <v>1</v>
      </c>
      <c r="F1402" s="37" t="s">
        <v>655</v>
      </c>
      <c r="G1402" s="39" t="s">
        <v>656</v>
      </c>
    </row>
    <row r="1403" customFormat="false" ht="15" hidden="false" customHeight="false" outlineLevel="0" collapsed="false">
      <c r="A1403" s="37" t="s">
        <v>207</v>
      </c>
      <c r="B1403" s="37" t="s">
        <v>223</v>
      </c>
      <c r="C1403" s="37" t="s">
        <v>180</v>
      </c>
      <c r="D1403" s="37" t="s">
        <v>119</v>
      </c>
      <c r="E1403" s="38" t="n">
        <f aca="false">'Matrice des notes'!AN43</f>
        <v>1</v>
      </c>
      <c r="F1403" s="37" t="s">
        <v>631</v>
      </c>
      <c r="G1403" s="39" t="s">
        <v>654</v>
      </c>
    </row>
    <row r="1404" customFormat="false" ht="15" hidden="false" customHeight="false" outlineLevel="0" collapsed="false">
      <c r="A1404" s="37" t="s">
        <v>207</v>
      </c>
      <c r="B1404" s="37" t="s">
        <v>223</v>
      </c>
      <c r="C1404" s="37" t="s">
        <v>180</v>
      </c>
      <c r="D1404" s="37" t="s">
        <v>121</v>
      </c>
      <c r="E1404" s="38" t="n">
        <f aca="false">'Matrice des notes'!AO43</f>
        <v>1</v>
      </c>
      <c r="F1404" s="37" t="s">
        <v>657</v>
      </c>
      <c r="G1404" s="39" t="s">
        <v>658</v>
      </c>
    </row>
    <row r="1405" customFormat="false" ht="15" hidden="false" customHeight="false" outlineLevel="0" collapsed="false">
      <c r="A1405" s="37" t="s">
        <v>207</v>
      </c>
      <c r="B1405" s="37" t="s">
        <v>223</v>
      </c>
      <c r="C1405" s="37" t="s">
        <v>180</v>
      </c>
      <c r="D1405" s="37" t="s">
        <v>124</v>
      </c>
      <c r="E1405" s="38" t="n">
        <f aca="false">'Matrice des notes'!AP43</f>
        <v>1</v>
      </c>
      <c r="F1405" s="37" t="s">
        <v>863</v>
      </c>
      <c r="G1405" s="39" t="s">
        <v>864</v>
      </c>
    </row>
    <row r="1406" customFormat="false" ht="15" hidden="false" customHeight="false" outlineLevel="0" collapsed="false">
      <c r="A1406" s="37" t="s">
        <v>207</v>
      </c>
      <c r="B1406" s="37" t="s">
        <v>224</v>
      </c>
      <c r="C1406" s="37" t="s">
        <v>178</v>
      </c>
      <c r="D1406" s="37" t="s">
        <v>7</v>
      </c>
      <c r="E1406" s="38" t="n">
        <f aca="false">'Matrice des notes'!D44</f>
        <v>1</v>
      </c>
      <c r="F1406" s="37" t="s">
        <v>673</v>
      </c>
      <c r="G1406" s="39" t="s">
        <v>902</v>
      </c>
    </row>
    <row r="1407" customFormat="false" ht="15" hidden="false" customHeight="false" outlineLevel="0" collapsed="false">
      <c r="A1407" s="37" t="s">
        <v>207</v>
      </c>
      <c r="B1407" s="37" t="s">
        <v>224</v>
      </c>
      <c r="C1407" s="37" t="s">
        <v>178</v>
      </c>
      <c r="D1407" s="37" t="s">
        <v>11</v>
      </c>
      <c r="E1407" s="38" t="n">
        <f aca="false">'Matrice des notes'!E44</f>
        <v>1</v>
      </c>
      <c r="F1407" s="37" t="s">
        <v>839</v>
      </c>
      <c r="G1407" s="39" t="s">
        <v>840</v>
      </c>
    </row>
    <row r="1408" customFormat="false" ht="15" hidden="false" customHeight="false" outlineLevel="0" collapsed="false">
      <c r="A1408" s="37" t="s">
        <v>207</v>
      </c>
      <c r="B1408" s="37" t="s">
        <v>224</v>
      </c>
      <c r="C1408" s="37" t="s">
        <v>178</v>
      </c>
      <c r="D1408" s="37" t="s">
        <v>14</v>
      </c>
      <c r="E1408" s="38" t="n">
        <f aca="false">'Matrice des notes'!F44</f>
        <v>1</v>
      </c>
      <c r="F1408" s="37" t="s">
        <v>677</v>
      </c>
      <c r="G1408" s="39" t="s">
        <v>841</v>
      </c>
    </row>
    <row r="1409" customFormat="false" ht="15" hidden="false" customHeight="false" outlineLevel="0" collapsed="false">
      <c r="A1409" s="37" t="s">
        <v>207</v>
      </c>
      <c r="B1409" s="37" t="s">
        <v>224</v>
      </c>
      <c r="C1409" s="37" t="s">
        <v>178</v>
      </c>
      <c r="D1409" s="37" t="s">
        <v>17</v>
      </c>
      <c r="E1409" s="38" t="n">
        <f aca="false">'Matrice des notes'!G44</f>
        <v>1</v>
      </c>
      <c r="F1409" s="37" t="s">
        <v>842</v>
      </c>
      <c r="G1409" s="39" t="s">
        <v>843</v>
      </c>
    </row>
    <row r="1410" customFormat="false" ht="15" hidden="false" customHeight="false" outlineLevel="0" collapsed="false">
      <c r="A1410" s="37" t="s">
        <v>207</v>
      </c>
      <c r="B1410" s="37" t="s">
        <v>224</v>
      </c>
      <c r="C1410" s="37" t="s">
        <v>178</v>
      </c>
      <c r="D1410" s="37" t="s">
        <v>20</v>
      </c>
      <c r="E1410" s="38" t="n">
        <f aca="false">'Matrice des notes'!H44</f>
        <v>1</v>
      </c>
      <c r="F1410" s="37" t="s">
        <v>839</v>
      </c>
      <c r="G1410" s="39" t="s">
        <v>844</v>
      </c>
    </row>
    <row r="1411" customFormat="false" ht="15" hidden="false" customHeight="false" outlineLevel="0" collapsed="false">
      <c r="A1411" s="37" t="s">
        <v>207</v>
      </c>
      <c r="B1411" s="37" t="s">
        <v>224</v>
      </c>
      <c r="C1411" s="37" t="s">
        <v>178</v>
      </c>
      <c r="D1411" s="37" t="s">
        <v>23</v>
      </c>
      <c r="E1411" s="38" t="n">
        <f aca="false">'Matrice des notes'!I44</f>
        <v>1</v>
      </c>
      <c r="F1411" s="37" t="s">
        <v>839</v>
      </c>
      <c r="G1411" s="39" t="s">
        <v>845</v>
      </c>
    </row>
    <row r="1412" customFormat="false" ht="15" hidden="false" customHeight="false" outlineLevel="0" collapsed="false">
      <c r="A1412" s="37" t="s">
        <v>207</v>
      </c>
      <c r="B1412" s="37" t="s">
        <v>224</v>
      </c>
      <c r="C1412" s="37" t="s">
        <v>178</v>
      </c>
      <c r="D1412" s="37" t="s">
        <v>26</v>
      </c>
      <c r="E1412" s="38" t="n">
        <f aca="false">'Matrice des notes'!J44</f>
        <v>1</v>
      </c>
      <c r="F1412" s="37" t="s">
        <v>835</v>
      </c>
      <c r="G1412" s="39" t="s">
        <v>846</v>
      </c>
    </row>
    <row r="1413" customFormat="false" ht="15" hidden="false" customHeight="false" outlineLevel="0" collapsed="false">
      <c r="A1413" s="37" t="s">
        <v>207</v>
      </c>
      <c r="B1413" s="37" t="s">
        <v>224</v>
      </c>
      <c r="C1413" s="37" t="s">
        <v>178</v>
      </c>
      <c r="D1413" s="37" t="s">
        <v>30</v>
      </c>
      <c r="E1413" s="38" t="n">
        <f aca="false">'Matrice des notes'!K44</f>
        <v>1</v>
      </c>
      <c r="F1413" s="37" t="s">
        <v>677</v>
      </c>
      <c r="G1413" s="39" t="s">
        <v>847</v>
      </c>
    </row>
    <row r="1414" customFormat="false" ht="15" hidden="false" customHeight="false" outlineLevel="0" collapsed="false">
      <c r="A1414" s="37" t="s">
        <v>207</v>
      </c>
      <c r="B1414" s="37" t="s">
        <v>224</v>
      </c>
      <c r="C1414" s="37" t="s">
        <v>178</v>
      </c>
      <c r="D1414" s="37" t="s">
        <v>34</v>
      </c>
      <c r="E1414" s="38" t="n">
        <f aca="false">'Matrice des notes'!L44</f>
        <v>2</v>
      </c>
      <c r="F1414" s="37" t="s">
        <v>891</v>
      </c>
      <c r="G1414" s="39" t="s">
        <v>892</v>
      </c>
    </row>
    <row r="1415" customFormat="false" ht="15" hidden="false" customHeight="false" outlineLevel="0" collapsed="false">
      <c r="A1415" s="37" t="s">
        <v>207</v>
      </c>
      <c r="B1415" s="37" t="s">
        <v>224</v>
      </c>
      <c r="C1415" s="37" t="s">
        <v>178</v>
      </c>
      <c r="D1415" s="37" t="s">
        <v>37</v>
      </c>
      <c r="E1415" s="38" t="n">
        <f aca="false">'Matrice des notes'!M44</f>
        <v>1</v>
      </c>
      <c r="F1415" s="37" t="s">
        <v>812</v>
      </c>
      <c r="G1415" s="39" t="s">
        <v>813</v>
      </c>
    </row>
    <row r="1416" customFormat="false" ht="15" hidden="false" customHeight="false" outlineLevel="0" collapsed="false">
      <c r="A1416" s="37" t="s">
        <v>207</v>
      </c>
      <c r="B1416" s="37" t="s">
        <v>224</v>
      </c>
      <c r="C1416" s="37" t="s">
        <v>178</v>
      </c>
      <c r="D1416" s="37" t="s">
        <v>40</v>
      </c>
      <c r="E1416" s="38" t="n">
        <f aca="false">'Matrice des notes'!N44</f>
        <v>1</v>
      </c>
      <c r="F1416" s="37" t="s">
        <v>849</v>
      </c>
      <c r="G1416" s="39" t="s">
        <v>850</v>
      </c>
    </row>
    <row r="1417" customFormat="false" ht="15" hidden="false" customHeight="false" outlineLevel="0" collapsed="false">
      <c r="A1417" s="37" t="s">
        <v>207</v>
      </c>
      <c r="B1417" s="37" t="s">
        <v>224</v>
      </c>
      <c r="C1417" s="37" t="s">
        <v>178</v>
      </c>
      <c r="D1417" s="37" t="s">
        <v>43</v>
      </c>
      <c r="E1417" s="38" t="n">
        <f aca="false">'Matrice des notes'!O44</f>
        <v>1</v>
      </c>
      <c r="F1417" s="37" t="s">
        <v>816</v>
      </c>
      <c r="G1417" s="39" t="s">
        <v>866</v>
      </c>
    </row>
    <row r="1418" customFormat="false" ht="15" hidden="false" customHeight="false" outlineLevel="0" collapsed="false">
      <c r="A1418" s="37" t="s">
        <v>207</v>
      </c>
      <c r="B1418" s="37" t="s">
        <v>224</v>
      </c>
      <c r="C1418" s="37" t="s">
        <v>178</v>
      </c>
      <c r="D1418" s="37" t="s">
        <v>46</v>
      </c>
      <c r="E1418" s="38" t="n">
        <f aca="false">'Matrice des notes'!P44</f>
        <v>1</v>
      </c>
      <c r="F1418" s="37" t="s">
        <v>839</v>
      </c>
      <c r="G1418" s="39" t="s">
        <v>851</v>
      </c>
    </row>
    <row r="1419" customFormat="false" ht="22.35" hidden="false" customHeight="false" outlineLevel="0" collapsed="false">
      <c r="A1419" s="37" t="s">
        <v>207</v>
      </c>
      <c r="B1419" s="37" t="s">
        <v>224</v>
      </c>
      <c r="C1419" s="37" t="s">
        <v>179</v>
      </c>
      <c r="D1419" s="37" t="s">
        <v>49</v>
      </c>
      <c r="E1419" s="38" t="n">
        <f aca="false">'Matrice des notes'!Q44</f>
        <v>1</v>
      </c>
      <c r="F1419" s="37" t="s">
        <v>867</v>
      </c>
      <c r="G1419" s="39" t="s">
        <v>868</v>
      </c>
    </row>
    <row r="1420" customFormat="false" ht="15" hidden="false" customHeight="false" outlineLevel="0" collapsed="false">
      <c r="A1420" s="37" t="s">
        <v>207</v>
      </c>
      <c r="B1420" s="37" t="s">
        <v>224</v>
      </c>
      <c r="C1420" s="37" t="s">
        <v>179</v>
      </c>
      <c r="D1420" s="37" t="s">
        <v>53</v>
      </c>
      <c r="E1420" s="38" t="n">
        <f aca="false">'Matrice des notes'!R44</f>
        <v>2</v>
      </c>
      <c r="F1420" s="37" t="s">
        <v>891</v>
      </c>
      <c r="G1420" s="39" t="s">
        <v>893</v>
      </c>
    </row>
    <row r="1421" customFormat="false" ht="15" hidden="false" customHeight="false" outlineLevel="0" collapsed="false">
      <c r="A1421" s="37" t="s">
        <v>207</v>
      </c>
      <c r="B1421" s="37" t="s">
        <v>224</v>
      </c>
      <c r="C1421" s="37" t="s">
        <v>179</v>
      </c>
      <c r="D1421" s="37" t="s">
        <v>56</v>
      </c>
      <c r="E1421" s="38" t="n">
        <f aca="false">'Matrice des notes'!S44</f>
        <v>1</v>
      </c>
      <c r="F1421" s="37" t="s">
        <v>839</v>
      </c>
      <c r="G1421" s="39" t="s">
        <v>854</v>
      </c>
    </row>
    <row r="1422" customFormat="false" ht="15" hidden="false" customHeight="false" outlineLevel="0" collapsed="false">
      <c r="A1422" s="37" t="s">
        <v>207</v>
      </c>
      <c r="B1422" s="37" t="s">
        <v>224</v>
      </c>
      <c r="C1422" s="37" t="s">
        <v>179</v>
      </c>
      <c r="D1422" s="37" t="s">
        <v>59</v>
      </c>
      <c r="E1422" s="38" t="n">
        <f aca="false">'Matrice des notes'!T44</f>
        <v>1</v>
      </c>
      <c r="F1422" s="37" t="s">
        <v>839</v>
      </c>
      <c r="G1422" s="39" t="s">
        <v>855</v>
      </c>
    </row>
    <row r="1423" customFormat="false" ht="22.35" hidden="false" customHeight="false" outlineLevel="0" collapsed="false">
      <c r="A1423" s="37" t="s">
        <v>207</v>
      </c>
      <c r="B1423" s="37" t="s">
        <v>224</v>
      </c>
      <c r="C1423" s="37" t="s">
        <v>179</v>
      </c>
      <c r="D1423" s="37" t="s">
        <v>62</v>
      </c>
      <c r="E1423" s="38" t="n">
        <f aca="false">'Matrice des notes'!U44</f>
        <v>1</v>
      </c>
      <c r="F1423" s="37" t="s">
        <v>867</v>
      </c>
      <c r="G1423" s="39" t="s">
        <v>869</v>
      </c>
    </row>
    <row r="1424" customFormat="false" ht="15" hidden="false" customHeight="false" outlineLevel="0" collapsed="false">
      <c r="A1424" s="37" t="s">
        <v>207</v>
      </c>
      <c r="B1424" s="37" t="s">
        <v>224</v>
      </c>
      <c r="C1424" s="37" t="s">
        <v>179</v>
      </c>
      <c r="D1424" s="37" t="s">
        <v>65</v>
      </c>
      <c r="E1424" s="38" t="n">
        <f aca="false">'Matrice des notes'!V44</f>
        <v>3</v>
      </c>
      <c r="F1424" s="37" t="s">
        <v>903</v>
      </c>
      <c r="G1424" s="39" t="s">
        <v>904</v>
      </c>
    </row>
    <row r="1425" customFormat="false" ht="15" hidden="false" customHeight="false" outlineLevel="0" collapsed="false">
      <c r="A1425" s="37" t="s">
        <v>207</v>
      </c>
      <c r="B1425" s="37" t="s">
        <v>224</v>
      </c>
      <c r="C1425" s="37" t="s">
        <v>179</v>
      </c>
      <c r="D1425" s="37" t="s">
        <v>68</v>
      </c>
      <c r="E1425" s="38" t="n">
        <f aca="false">'Matrice des notes'!W44</f>
        <v>1</v>
      </c>
      <c r="F1425" s="37" t="s">
        <v>827</v>
      </c>
      <c r="G1425" s="39" t="s">
        <v>872</v>
      </c>
    </row>
    <row r="1426" customFormat="false" ht="15" hidden="false" customHeight="false" outlineLevel="0" collapsed="false">
      <c r="A1426" s="37" t="s">
        <v>207</v>
      </c>
      <c r="B1426" s="37" t="s">
        <v>224</v>
      </c>
      <c r="C1426" s="37" t="s">
        <v>179</v>
      </c>
      <c r="D1426" s="37" t="s">
        <v>71</v>
      </c>
      <c r="E1426" s="38" t="n">
        <f aca="false">'Matrice des notes'!X44</f>
        <v>1</v>
      </c>
      <c r="F1426" s="37" t="s">
        <v>708</v>
      </c>
      <c r="G1426" s="39" t="s">
        <v>857</v>
      </c>
    </row>
    <row r="1427" customFormat="false" ht="15" hidden="false" customHeight="false" outlineLevel="0" collapsed="false">
      <c r="A1427" s="37" t="s">
        <v>207</v>
      </c>
      <c r="B1427" s="37" t="s">
        <v>224</v>
      </c>
      <c r="C1427" s="37" t="s">
        <v>179</v>
      </c>
      <c r="D1427" s="37" t="s">
        <v>74</v>
      </c>
      <c r="E1427" s="38" t="n">
        <f aca="false">'Matrice des notes'!Y44</f>
        <v>3</v>
      </c>
      <c r="F1427" s="37" t="s">
        <v>673</v>
      </c>
      <c r="G1427" s="39" t="s">
        <v>896</v>
      </c>
    </row>
    <row r="1428" customFormat="false" ht="15" hidden="false" customHeight="false" outlineLevel="0" collapsed="false">
      <c r="A1428" s="37" t="s">
        <v>207</v>
      </c>
      <c r="B1428" s="37" t="s">
        <v>224</v>
      </c>
      <c r="C1428" s="37" t="s">
        <v>179</v>
      </c>
      <c r="D1428" s="37" t="s">
        <v>77</v>
      </c>
      <c r="E1428" s="38" t="n">
        <f aca="false">'Matrice des notes'!Z44</f>
        <v>1</v>
      </c>
      <c r="F1428" s="37" t="s">
        <v>842</v>
      </c>
      <c r="G1428" s="39" t="s">
        <v>858</v>
      </c>
    </row>
    <row r="1429" customFormat="false" ht="15" hidden="false" customHeight="false" outlineLevel="0" collapsed="false">
      <c r="A1429" s="37" t="s">
        <v>207</v>
      </c>
      <c r="B1429" s="37" t="s">
        <v>224</v>
      </c>
      <c r="C1429" s="37" t="s">
        <v>179</v>
      </c>
      <c r="D1429" s="37" t="s">
        <v>80</v>
      </c>
      <c r="E1429" s="38" t="n">
        <f aca="false">'Matrice des notes'!AA44</f>
        <v>3</v>
      </c>
      <c r="F1429" s="37" t="s">
        <v>907</v>
      </c>
      <c r="G1429" s="39" t="s">
        <v>908</v>
      </c>
    </row>
    <row r="1430" customFormat="false" ht="22.35" hidden="false" customHeight="false" outlineLevel="0" collapsed="false">
      <c r="A1430" s="37" t="s">
        <v>207</v>
      </c>
      <c r="B1430" s="37" t="s">
        <v>224</v>
      </c>
      <c r="C1430" s="37" t="s">
        <v>179</v>
      </c>
      <c r="D1430" s="37" t="s">
        <v>83</v>
      </c>
      <c r="E1430" s="38" t="n">
        <f aca="false">'Matrice des notes'!AB44</f>
        <v>1</v>
      </c>
      <c r="F1430" s="37" t="s">
        <v>898</v>
      </c>
      <c r="G1430" s="39" t="s">
        <v>899</v>
      </c>
    </row>
    <row r="1431" customFormat="false" ht="15" hidden="false" customHeight="false" outlineLevel="0" collapsed="false">
      <c r="A1431" s="37" t="s">
        <v>207</v>
      </c>
      <c r="B1431" s="37" t="s">
        <v>224</v>
      </c>
      <c r="C1431" s="37" t="s">
        <v>179</v>
      </c>
      <c r="D1431" s="37" t="s">
        <v>86</v>
      </c>
      <c r="E1431" s="38" t="n">
        <f aca="false">'Matrice des notes'!AC44</f>
        <v>3</v>
      </c>
      <c r="F1431" s="37" t="s">
        <v>935</v>
      </c>
      <c r="G1431" s="39" t="s">
        <v>936</v>
      </c>
    </row>
    <row r="1432" customFormat="false" ht="15" hidden="false" customHeight="false" outlineLevel="0" collapsed="false">
      <c r="A1432" s="37" t="s">
        <v>207</v>
      </c>
      <c r="B1432" s="37" t="s">
        <v>224</v>
      </c>
      <c r="C1432" s="37" t="s">
        <v>179</v>
      </c>
      <c r="D1432" s="37" t="s">
        <v>89</v>
      </c>
      <c r="E1432" s="38" t="n">
        <f aca="false">'Matrice des notes'!AD44</f>
        <v>3</v>
      </c>
      <c r="F1432" s="37" t="s">
        <v>937</v>
      </c>
      <c r="G1432" s="39" t="s">
        <v>938</v>
      </c>
    </row>
    <row r="1433" customFormat="false" ht="15" hidden="false" customHeight="false" outlineLevel="0" collapsed="false">
      <c r="A1433" s="37" t="s">
        <v>207</v>
      </c>
      <c r="B1433" s="37" t="s">
        <v>224</v>
      </c>
      <c r="C1433" s="37" t="s">
        <v>179</v>
      </c>
      <c r="D1433" s="37" t="s">
        <v>92</v>
      </c>
      <c r="E1433" s="38" t="n">
        <f aca="false">'Matrice des notes'!AE44</f>
        <v>2</v>
      </c>
      <c r="F1433" s="37" t="s">
        <v>900</v>
      </c>
      <c r="G1433" s="39" t="s">
        <v>901</v>
      </c>
    </row>
    <row r="1434" customFormat="false" ht="15" hidden="false" customHeight="false" outlineLevel="0" collapsed="false">
      <c r="A1434" s="37" t="s">
        <v>207</v>
      </c>
      <c r="B1434" s="37" t="s">
        <v>224</v>
      </c>
      <c r="C1434" s="37" t="s">
        <v>180</v>
      </c>
      <c r="D1434" s="37" t="s">
        <v>95</v>
      </c>
      <c r="E1434" s="38" t="n">
        <f aca="false">'Matrice des notes'!AF44</f>
        <v>1</v>
      </c>
      <c r="F1434" s="37" t="s">
        <v>631</v>
      </c>
      <c r="G1434" s="39" t="s">
        <v>654</v>
      </c>
    </row>
    <row r="1435" customFormat="false" ht="15" hidden="false" customHeight="false" outlineLevel="0" collapsed="false">
      <c r="A1435" s="37" t="s">
        <v>207</v>
      </c>
      <c r="B1435" s="37" t="s">
        <v>224</v>
      </c>
      <c r="C1435" s="37" t="s">
        <v>180</v>
      </c>
      <c r="D1435" s="37" t="s">
        <v>99</v>
      </c>
      <c r="E1435" s="38" t="n">
        <f aca="false">'Matrice des notes'!AG44</f>
        <v>1</v>
      </c>
      <c r="F1435" s="37" t="s">
        <v>655</v>
      </c>
      <c r="G1435" s="39" t="s">
        <v>656</v>
      </c>
    </row>
    <row r="1436" customFormat="false" ht="15" hidden="false" customHeight="false" outlineLevel="0" collapsed="false">
      <c r="A1436" s="37" t="s">
        <v>207</v>
      </c>
      <c r="B1436" s="37" t="s">
        <v>224</v>
      </c>
      <c r="C1436" s="37" t="s">
        <v>180</v>
      </c>
      <c r="D1436" s="37" t="s">
        <v>102</v>
      </c>
      <c r="E1436" s="38" t="n">
        <f aca="false">'Matrice des notes'!AH44</f>
        <v>1</v>
      </c>
      <c r="F1436" s="37" t="s">
        <v>655</v>
      </c>
      <c r="G1436" s="39" t="s">
        <v>656</v>
      </c>
    </row>
    <row r="1437" customFormat="false" ht="15" hidden="false" customHeight="false" outlineLevel="0" collapsed="false">
      <c r="A1437" s="37" t="s">
        <v>207</v>
      </c>
      <c r="B1437" s="37" t="s">
        <v>224</v>
      </c>
      <c r="C1437" s="37" t="s">
        <v>180</v>
      </c>
      <c r="D1437" s="37" t="s">
        <v>104</v>
      </c>
      <c r="E1437" s="38" t="n">
        <f aca="false">'Matrice des notes'!AI44</f>
        <v>1</v>
      </c>
      <c r="F1437" s="37" t="s">
        <v>631</v>
      </c>
      <c r="G1437" s="39" t="s">
        <v>654</v>
      </c>
    </row>
    <row r="1438" customFormat="false" ht="15" hidden="false" customHeight="false" outlineLevel="0" collapsed="false">
      <c r="A1438" s="37" t="s">
        <v>207</v>
      </c>
      <c r="B1438" s="37" t="s">
        <v>224</v>
      </c>
      <c r="C1438" s="37" t="s">
        <v>180</v>
      </c>
      <c r="D1438" s="37" t="s">
        <v>107</v>
      </c>
      <c r="E1438" s="38" t="n">
        <f aca="false">'Matrice des notes'!AJ44</f>
        <v>1</v>
      </c>
      <c r="F1438" s="37" t="s">
        <v>631</v>
      </c>
      <c r="G1438" s="39" t="s">
        <v>654</v>
      </c>
    </row>
    <row r="1439" customFormat="false" ht="15" hidden="false" customHeight="false" outlineLevel="0" collapsed="false">
      <c r="A1439" s="37" t="s">
        <v>207</v>
      </c>
      <c r="B1439" s="37" t="s">
        <v>224</v>
      </c>
      <c r="C1439" s="37" t="s">
        <v>180</v>
      </c>
      <c r="D1439" s="37" t="s">
        <v>110</v>
      </c>
      <c r="E1439" s="38" t="n">
        <f aca="false">'Matrice des notes'!AK44</f>
        <v>1</v>
      </c>
      <c r="F1439" s="37" t="s">
        <v>631</v>
      </c>
      <c r="G1439" s="39" t="s">
        <v>654</v>
      </c>
    </row>
    <row r="1440" customFormat="false" ht="15" hidden="false" customHeight="false" outlineLevel="0" collapsed="false">
      <c r="A1440" s="37" t="s">
        <v>207</v>
      </c>
      <c r="B1440" s="37" t="s">
        <v>224</v>
      </c>
      <c r="C1440" s="37" t="s">
        <v>180</v>
      </c>
      <c r="D1440" s="37" t="s">
        <v>113</v>
      </c>
      <c r="E1440" s="38" t="n">
        <f aca="false">'Matrice des notes'!AL44</f>
        <v>1</v>
      </c>
      <c r="F1440" s="37" t="s">
        <v>631</v>
      </c>
      <c r="G1440" s="39" t="s">
        <v>654</v>
      </c>
    </row>
    <row r="1441" customFormat="false" ht="15" hidden="false" customHeight="false" outlineLevel="0" collapsed="false">
      <c r="A1441" s="37" t="s">
        <v>207</v>
      </c>
      <c r="B1441" s="37" t="s">
        <v>224</v>
      </c>
      <c r="C1441" s="37" t="s">
        <v>180</v>
      </c>
      <c r="D1441" s="37" t="s">
        <v>116</v>
      </c>
      <c r="E1441" s="38" t="n">
        <f aca="false">'Matrice des notes'!AM44</f>
        <v>1</v>
      </c>
      <c r="F1441" s="37" t="s">
        <v>655</v>
      </c>
      <c r="G1441" s="39" t="s">
        <v>656</v>
      </c>
    </row>
    <row r="1442" customFormat="false" ht="15" hidden="false" customHeight="false" outlineLevel="0" collapsed="false">
      <c r="A1442" s="37" t="s">
        <v>207</v>
      </c>
      <c r="B1442" s="37" t="s">
        <v>224</v>
      </c>
      <c r="C1442" s="37" t="s">
        <v>180</v>
      </c>
      <c r="D1442" s="37" t="s">
        <v>119</v>
      </c>
      <c r="E1442" s="38" t="n">
        <f aca="false">'Matrice des notes'!AN44</f>
        <v>1</v>
      </c>
      <c r="F1442" s="37" t="s">
        <v>631</v>
      </c>
      <c r="G1442" s="39" t="s">
        <v>654</v>
      </c>
    </row>
    <row r="1443" customFormat="false" ht="15" hidden="false" customHeight="false" outlineLevel="0" collapsed="false">
      <c r="A1443" s="37" t="s">
        <v>207</v>
      </c>
      <c r="B1443" s="37" t="s">
        <v>224</v>
      </c>
      <c r="C1443" s="37" t="s">
        <v>180</v>
      </c>
      <c r="D1443" s="37" t="s">
        <v>121</v>
      </c>
      <c r="E1443" s="38" t="n">
        <f aca="false">'Matrice des notes'!AO44</f>
        <v>1</v>
      </c>
      <c r="F1443" s="37" t="s">
        <v>657</v>
      </c>
      <c r="G1443" s="39" t="s">
        <v>658</v>
      </c>
    </row>
    <row r="1444" customFormat="false" ht="15" hidden="false" customHeight="false" outlineLevel="0" collapsed="false">
      <c r="A1444" s="37" t="s">
        <v>207</v>
      </c>
      <c r="B1444" s="37" t="s">
        <v>224</v>
      </c>
      <c r="C1444" s="37" t="s">
        <v>180</v>
      </c>
      <c r="D1444" s="37" t="s">
        <v>124</v>
      </c>
      <c r="E1444" s="38" t="n">
        <f aca="false">'Matrice des notes'!AP44</f>
        <v>1</v>
      </c>
      <c r="F1444" s="37" t="s">
        <v>863</v>
      </c>
      <c r="G1444" s="39" t="s">
        <v>864</v>
      </c>
    </row>
    <row r="1445" customFormat="false" ht="15" hidden="false" customHeight="false" outlineLevel="0" collapsed="false">
      <c r="A1445" s="37" t="s">
        <v>207</v>
      </c>
      <c r="B1445" s="37" t="s">
        <v>225</v>
      </c>
      <c r="C1445" s="37" t="s">
        <v>178</v>
      </c>
      <c r="D1445" s="37" t="s">
        <v>7</v>
      </c>
      <c r="E1445" s="38" t="n">
        <f aca="false">'Matrice des notes'!D45</f>
        <v>1</v>
      </c>
      <c r="F1445" s="37" t="s">
        <v>673</v>
      </c>
      <c r="G1445" s="39" t="s">
        <v>902</v>
      </c>
    </row>
    <row r="1446" customFormat="false" ht="15" hidden="false" customHeight="false" outlineLevel="0" collapsed="false">
      <c r="A1446" s="37" t="s">
        <v>207</v>
      </c>
      <c r="B1446" s="37" t="s">
        <v>225</v>
      </c>
      <c r="C1446" s="37" t="s">
        <v>178</v>
      </c>
      <c r="D1446" s="37" t="s">
        <v>11</v>
      </c>
      <c r="E1446" s="38" t="n">
        <f aca="false">'Matrice des notes'!E45</f>
        <v>1</v>
      </c>
      <c r="F1446" s="37" t="s">
        <v>839</v>
      </c>
      <c r="G1446" s="39" t="s">
        <v>840</v>
      </c>
    </row>
    <row r="1447" customFormat="false" ht="15" hidden="false" customHeight="false" outlineLevel="0" collapsed="false">
      <c r="A1447" s="37" t="s">
        <v>207</v>
      </c>
      <c r="B1447" s="37" t="s">
        <v>225</v>
      </c>
      <c r="C1447" s="37" t="s">
        <v>178</v>
      </c>
      <c r="D1447" s="37" t="s">
        <v>14</v>
      </c>
      <c r="E1447" s="38" t="n">
        <f aca="false">'Matrice des notes'!F45</f>
        <v>1</v>
      </c>
      <c r="F1447" s="37" t="s">
        <v>677</v>
      </c>
      <c r="G1447" s="39" t="s">
        <v>841</v>
      </c>
    </row>
    <row r="1448" customFormat="false" ht="15" hidden="false" customHeight="false" outlineLevel="0" collapsed="false">
      <c r="A1448" s="37" t="s">
        <v>207</v>
      </c>
      <c r="B1448" s="37" t="s">
        <v>225</v>
      </c>
      <c r="C1448" s="37" t="s">
        <v>178</v>
      </c>
      <c r="D1448" s="37" t="s">
        <v>17</v>
      </c>
      <c r="E1448" s="38" t="n">
        <f aca="false">'Matrice des notes'!G45</f>
        <v>1</v>
      </c>
      <c r="F1448" s="37" t="s">
        <v>842</v>
      </c>
      <c r="G1448" s="39" t="s">
        <v>843</v>
      </c>
    </row>
    <row r="1449" customFormat="false" ht="15" hidden="false" customHeight="false" outlineLevel="0" collapsed="false">
      <c r="A1449" s="37" t="s">
        <v>207</v>
      </c>
      <c r="B1449" s="37" t="s">
        <v>225</v>
      </c>
      <c r="C1449" s="37" t="s">
        <v>178</v>
      </c>
      <c r="D1449" s="37" t="s">
        <v>20</v>
      </c>
      <c r="E1449" s="38" t="n">
        <f aca="false">'Matrice des notes'!H45</f>
        <v>1</v>
      </c>
      <c r="F1449" s="37" t="s">
        <v>839</v>
      </c>
      <c r="G1449" s="39" t="s">
        <v>844</v>
      </c>
    </row>
    <row r="1450" customFormat="false" ht="15" hidden="false" customHeight="false" outlineLevel="0" collapsed="false">
      <c r="A1450" s="37" t="s">
        <v>207</v>
      </c>
      <c r="B1450" s="37" t="s">
        <v>225</v>
      </c>
      <c r="C1450" s="37" t="s">
        <v>178</v>
      </c>
      <c r="D1450" s="37" t="s">
        <v>23</v>
      </c>
      <c r="E1450" s="38" t="n">
        <f aca="false">'Matrice des notes'!I45</f>
        <v>1</v>
      </c>
      <c r="F1450" s="37" t="s">
        <v>839</v>
      </c>
      <c r="G1450" s="39" t="s">
        <v>845</v>
      </c>
    </row>
    <row r="1451" customFormat="false" ht="15" hidden="false" customHeight="false" outlineLevel="0" collapsed="false">
      <c r="A1451" s="37" t="s">
        <v>207</v>
      </c>
      <c r="B1451" s="37" t="s">
        <v>225</v>
      </c>
      <c r="C1451" s="37" t="s">
        <v>178</v>
      </c>
      <c r="D1451" s="37" t="s">
        <v>26</v>
      </c>
      <c r="E1451" s="38" t="n">
        <f aca="false">'Matrice des notes'!J45</f>
        <v>1</v>
      </c>
      <c r="F1451" s="37" t="s">
        <v>835</v>
      </c>
      <c r="G1451" s="39" t="s">
        <v>846</v>
      </c>
    </row>
    <row r="1452" customFormat="false" ht="15" hidden="false" customHeight="false" outlineLevel="0" collapsed="false">
      <c r="A1452" s="37" t="s">
        <v>207</v>
      </c>
      <c r="B1452" s="37" t="s">
        <v>225</v>
      </c>
      <c r="C1452" s="37" t="s">
        <v>178</v>
      </c>
      <c r="D1452" s="37" t="s">
        <v>30</v>
      </c>
      <c r="E1452" s="38" t="n">
        <f aca="false">'Matrice des notes'!K45</f>
        <v>1</v>
      </c>
      <c r="F1452" s="37" t="s">
        <v>677</v>
      </c>
      <c r="G1452" s="39" t="s">
        <v>847</v>
      </c>
    </row>
    <row r="1453" customFormat="false" ht="15" hidden="false" customHeight="false" outlineLevel="0" collapsed="false">
      <c r="A1453" s="37" t="s">
        <v>207</v>
      </c>
      <c r="B1453" s="37" t="s">
        <v>225</v>
      </c>
      <c r="C1453" s="37" t="s">
        <v>178</v>
      </c>
      <c r="D1453" s="37" t="s">
        <v>34</v>
      </c>
      <c r="E1453" s="38" t="n">
        <f aca="false">'Matrice des notes'!L45</f>
        <v>2</v>
      </c>
      <c r="F1453" s="37" t="s">
        <v>891</v>
      </c>
      <c r="G1453" s="39" t="s">
        <v>892</v>
      </c>
    </row>
    <row r="1454" customFormat="false" ht="15" hidden="false" customHeight="false" outlineLevel="0" collapsed="false">
      <c r="A1454" s="37" t="s">
        <v>207</v>
      </c>
      <c r="B1454" s="37" t="s">
        <v>225</v>
      </c>
      <c r="C1454" s="37" t="s">
        <v>178</v>
      </c>
      <c r="D1454" s="37" t="s">
        <v>37</v>
      </c>
      <c r="E1454" s="38" t="n">
        <f aca="false">'Matrice des notes'!M45</f>
        <v>1</v>
      </c>
      <c r="F1454" s="37" t="s">
        <v>812</v>
      </c>
      <c r="G1454" s="39" t="s">
        <v>813</v>
      </c>
    </row>
    <row r="1455" customFormat="false" ht="15" hidden="false" customHeight="false" outlineLevel="0" collapsed="false">
      <c r="A1455" s="37" t="s">
        <v>207</v>
      </c>
      <c r="B1455" s="37" t="s">
        <v>225</v>
      </c>
      <c r="C1455" s="37" t="s">
        <v>178</v>
      </c>
      <c r="D1455" s="37" t="s">
        <v>40</v>
      </c>
      <c r="E1455" s="38" t="n">
        <f aca="false">'Matrice des notes'!N45</f>
        <v>1</v>
      </c>
      <c r="F1455" s="37" t="s">
        <v>849</v>
      </c>
      <c r="G1455" s="39" t="s">
        <v>850</v>
      </c>
    </row>
    <row r="1456" customFormat="false" ht="15" hidden="false" customHeight="false" outlineLevel="0" collapsed="false">
      <c r="A1456" s="37" t="s">
        <v>207</v>
      </c>
      <c r="B1456" s="37" t="s">
        <v>225</v>
      </c>
      <c r="C1456" s="37" t="s">
        <v>178</v>
      </c>
      <c r="D1456" s="37" t="s">
        <v>43</v>
      </c>
      <c r="E1456" s="38" t="n">
        <f aca="false">'Matrice des notes'!O45</f>
        <v>1</v>
      </c>
      <c r="F1456" s="37" t="s">
        <v>816</v>
      </c>
      <c r="G1456" s="39" t="s">
        <v>866</v>
      </c>
    </row>
    <row r="1457" customFormat="false" ht="15" hidden="false" customHeight="false" outlineLevel="0" collapsed="false">
      <c r="A1457" s="37" t="s">
        <v>207</v>
      </c>
      <c r="B1457" s="37" t="s">
        <v>225</v>
      </c>
      <c r="C1457" s="37" t="s">
        <v>178</v>
      </c>
      <c r="D1457" s="37" t="s">
        <v>46</v>
      </c>
      <c r="E1457" s="38" t="n">
        <f aca="false">'Matrice des notes'!P45</f>
        <v>1</v>
      </c>
      <c r="F1457" s="37" t="s">
        <v>839</v>
      </c>
      <c r="G1457" s="39" t="s">
        <v>851</v>
      </c>
    </row>
    <row r="1458" customFormat="false" ht="22.35" hidden="false" customHeight="false" outlineLevel="0" collapsed="false">
      <c r="A1458" s="37" t="s">
        <v>207</v>
      </c>
      <c r="B1458" s="37" t="s">
        <v>225</v>
      </c>
      <c r="C1458" s="37" t="s">
        <v>179</v>
      </c>
      <c r="D1458" s="37" t="s">
        <v>49</v>
      </c>
      <c r="E1458" s="38" t="n">
        <f aca="false">'Matrice des notes'!Q45</f>
        <v>1</v>
      </c>
      <c r="F1458" s="37" t="s">
        <v>867</v>
      </c>
      <c r="G1458" s="39" t="s">
        <v>868</v>
      </c>
    </row>
    <row r="1459" customFormat="false" ht="15" hidden="false" customHeight="false" outlineLevel="0" collapsed="false">
      <c r="A1459" s="37" t="s">
        <v>207</v>
      </c>
      <c r="B1459" s="37" t="s">
        <v>225</v>
      </c>
      <c r="C1459" s="37" t="s">
        <v>179</v>
      </c>
      <c r="D1459" s="37" t="s">
        <v>53</v>
      </c>
      <c r="E1459" s="38" t="n">
        <f aca="false">'Matrice des notes'!R45</f>
        <v>2</v>
      </c>
      <c r="F1459" s="37" t="s">
        <v>891</v>
      </c>
      <c r="G1459" s="39" t="s">
        <v>893</v>
      </c>
    </row>
    <row r="1460" customFormat="false" ht="15" hidden="false" customHeight="false" outlineLevel="0" collapsed="false">
      <c r="A1460" s="37" t="s">
        <v>207</v>
      </c>
      <c r="B1460" s="37" t="s">
        <v>225</v>
      </c>
      <c r="C1460" s="37" t="s">
        <v>179</v>
      </c>
      <c r="D1460" s="37" t="s">
        <v>56</v>
      </c>
      <c r="E1460" s="38" t="n">
        <f aca="false">'Matrice des notes'!S45</f>
        <v>1</v>
      </c>
      <c r="F1460" s="37" t="s">
        <v>839</v>
      </c>
      <c r="G1460" s="39" t="s">
        <v>854</v>
      </c>
    </row>
    <row r="1461" customFormat="false" ht="15" hidden="false" customHeight="false" outlineLevel="0" collapsed="false">
      <c r="A1461" s="37" t="s">
        <v>207</v>
      </c>
      <c r="B1461" s="37" t="s">
        <v>225</v>
      </c>
      <c r="C1461" s="37" t="s">
        <v>179</v>
      </c>
      <c r="D1461" s="37" t="s">
        <v>59</v>
      </c>
      <c r="E1461" s="38" t="n">
        <f aca="false">'Matrice des notes'!T45</f>
        <v>1</v>
      </c>
      <c r="F1461" s="37" t="s">
        <v>839</v>
      </c>
      <c r="G1461" s="39" t="s">
        <v>855</v>
      </c>
    </row>
    <row r="1462" customFormat="false" ht="22.35" hidden="false" customHeight="false" outlineLevel="0" collapsed="false">
      <c r="A1462" s="37" t="s">
        <v>207</v>
      </c>
      <c r="B1462" s="37" t="s">
        <v>225</v>
      </c>
      <c r="C1462" s="37" t="s">
        <v>179</v>
      </c>
      <c r="D1462" s="37" t="s">
        <v>62</v>
      </c>
      <c r="E1462" s="38" t="n">
        <f aca="false">'Matrice des notes'!U45</f>
        <v>1</v>
      </c>
      <c r="F1462" s="37" t="s">
        <v>867</v>
      </c>
      <c r="G1462" s="39" t="s">
        <v>869</v>
      </c>
    </row>
    <row r="1463" customFormat="false" ht="15" hidden="false" customHeight="false" outlineLevel="0" collapsed="false">
      <c r="A1463" s="37" t="s">
        <v>207</v>
      </c>
      <c r="B1463" s="37" t="s">
        <v>225</v>
      </c>
      <c r="C1463" s="37" t="s">
        <v>179</v>
      </c>
      <c r="D1463" s="37" t="s">
        <v>65</v>
      </c>
      <c r="E1463" s="38" t="n">
        <f aca="false">'Matrice des notes'!V45</f>
        <v>3</v>
      </c>
      <c r="F1463" s="37" t="s">
        <v>903</v>
      </c>
      <c r="G1463" s="39" t="s">
        <v>904</v>
      </c>
    </row>
    <row r="1464" customFormat="false" ht="15" hidden="false" customHeight="false" outlineLevel="0" collapsed="false">
      <c r="A1464" s="37" t="s">
        <v>207</v>
      </c>
      <c r="B1464" s="37" t="s">
        <v>225</v>
      </c>
      <c r="C1464" s="37" t="s">
        <v>179</v>
      </c>
      <c r="D1464" s="37" t="s">
        <v>68</v>
      </c>
      <c r="E1464" s="38" t="n">
        <f aca="false">'Matrice des notes'!W45</f>
        <v>1</v>
      </c>
      <c r="F1464" s="37" t="s">
        <v>827</v>
      </c>
      <c r="G1464" s="39" t="s">
        <v>872</v>
      </c>
    </row>
    <row r="1465" customFormat="false" ht="15" hidden="false" customHeight="false" outlineLevel="0" collapsed="false">
      <c r="A1465" s="37" t="s">
        <v>207</v>
      </c>
      <c r="B1465" s="37" t="s">
        <v>225</v>
      </c>
      <c r="C1465" s="37" t="s">
        <v>179</v>
      </c>
      <c r="D1465" s="37" t="s">
        <v>71</v>
      </c>
      <c r="E1465" s="38" t="n">
        <f aca="false">'Matrice des notes'!X45</f>
        <v>1</v>
      </c>
      <c r="F1465" s="37" t="s">
        <v>708</v>
      </c>
      <c r="G1465" s="39" t="s">
        <v>857</v>
      </c>
    </row>
    <row r="1466" customFormat="false" ht="15" hidden="false" customHeight="false" outlineLevel="0" collapsed="false">
      <c r="A1466" s="37" t="s">
        <v>207</v>
      </c>
      <c r="B1466" s="37" t="s">
        <v>225</v>
      </c>
      <c r="C1466" s="37" t="s">
        <v>179</v>
      </c>
      <c r="D1466" s="37" t="s">
        <v>74</v>
      </c>
      <c r="E1466" s="38" t="n">
        <f aca="false">'Matrice des notes'!Y45</f>
        <v>3</v>
      </c>
      <c r="F1466" s="37" t="s">
        <v>673</v>
      </c>
      <c r="G1466" s="39" t="s">
        <v>896</v>
      </c>
    </row>
    <row r="1467" customFormat="false" ht="15" hidden="false" customHeight="false" outlineLevel="0" collapsed="false">
      <c r="A1467" s="37" t="s">
        <v>207</v>
      </c>
      <c r="B1467" s="37" t="s">
        <v>225</v>
      </c>
      <c r="C1467" s="37" t="s">
        <v>179</v>
      </c>
      <c r="D1467" s="37" t="s">
        <v>77</v>
      </c>
      <c r="E1467" s="38" t="n">
        <f aca="false">'Matrice des notes'!Z45</f>
        <v>1</v>
      </c>
      <c r="F1467" s="37" t="s">
        <v>842</v>
      </c>
      <c r="G1467" s="39" t="s">
        <v>858</v>
      </c>
    </row>
    <row r="1468" customFormat="false" ht="22.35" hidden="false" customHeight="false" outlineLevel="0" collapsed="false">
      <c r="A1468" s="37" t="s">
        <v>207</v>
      </c>
      <c r="B1468" s="37" t="s">
        <v>225</v>
      </c>
      <c r="C1468" s="37" t="s">
        <v>179</v>
      </c>
      <c r="D1468" s="37" t="s">
        <v>80</v>
      </c>
      <c r="E1468" s="38" t="n">
        <f aca="false">'Matrice des notes'!AA45</f>
        <v>4</v>
      </c>
      <c r="F1468" s="37" t="s">
        <v>874</v>
      </c>
      <c r="G1468" s="39" t="s">
        <v>897</v>
      </c>
    </row>
    <row r="1469" customFormat="false" ht="22.35" hidden="false" customHeight="false" outlineLevel="0" collapsed="false">
      <c r="A1469" s="37" t="s">
        <v>207</v>
      </c>
      <c r="B1469" s="37" t="s">
        <v>225</v>
      </c>
      <c r="C1469" s="37" t="s">
        <v>179</v>
      </c>
      <c r="D1469" s="37" t="s">
        <v>83</v>
      </c>
      <c r="E1469" s="38" t="n">
        <f aca="false">'Matrice des notes'!AB45</f>
        <v>1</v>
      </c>
      <c r="F1469" s="37" t="s">
        <v>898</v>
      </c>
      <c r="G1469" s="39" t="s">
        <v>899</v>
      </c>
    </row>
    <row r="1470" customFormat="false" ht="15" hidden="false" customHeight="false" outlineLevel="0" collapsed="false">
      <c r="A1470" s="37" t="s">
        <v>207</v>
      </c>
      <c r="B1470" s="37" t="s">
        <v>225</v>
      </c>
      <c r="C1470" s="37" t="s">
        <v>179</v>
      </c>
      <c r="D1470" s="37" t="s">
        <v>86</v>
      </c>
      <c r="E1470" s="38" t="n">
        <f aca="false">'Matrice des notes'!AC45</f>
        <v>4</v>
      </c>
      <c r="F1470" s="37" t="s">
        <v>861</v>
      </c>
      <c r="G1470" s="39" t="s">
        <v>943</v>
      </c>
    </row>
    <row r="1471" customFormat="false" ht="15" hidden="false" customHeight="false" outlineLevel="0" collapsed="false">
      <c r="A1471" s="37" t="s">
        <v>207</v>
      </c>
      <c r="B1471" s="37" t="s">
        <v>225</v>
      </c>
      <c r="C1471" s="37" t="s">
        <v>179</v>
      </c>
      <c r="D1471" s="37" t="s">
        <v>89</v>
      </c>
      <c r="E1471" s="38" t="n">
        <f aca="false">'Matrice des notes'!AD45</f>
        <v>4</v>
      </c>
      <c r="F1471" s="37" t="s">
        <v>810</v>
      </c>
      <c r="G1471" s="39" t="s">
        <v>905</v>
      </c>
    </row>
    <row r="1472" customFormat="false" ht="15" hidden="false" customHeight="false" outlineLevel="0" collapsed="false">
      <c r="A1472" s="37" t="s">
        <v>207</v>
      </c>
      <c r="B1472" s="37" t="s">
        <v>225</v>
      </c>
      <c r="C1472" s="37" t="s">
        <v>179</v>
      </c>
      <c r="D1472" s="37" t="s">
        <v>92</v>
      </c>
      <c r="E1472" s="38" t="n">
        <f aca="false">'Matrice des notes'!AE45</f>
        <v>2</v>
      </c>
      <c r="F1472" s="37" t="s">
        <v>900</v>
      </c>
      <c r="G1472" s="39" t="s">
        <v>901</v>
      </c>
    </row>
    <row r="1473" customFormat="false" ht="15" hidden="false" customHeight="false" outlineLevel="0" collapsed="false">
      <c r="A1473" s="37" t="s">
        <v>207</v>
      </c>
      <c r="B1473" s="37" t="s">
        <v>225</v>
      </c>
      <c r="C1473" s="37" t="s">
        <v>180</v>
      </c>
      <c r="D1473" s="37" t="s">
        <v>95</v>
      </c>
      <c r="E1473" s="38" t="n">
        <f aca="false">'Matrice des notes'!AF45</f>
        <v>1</v>
      </c>
      <c r="F1473" s="37" t="s">
        <v>631</v>
      </c>
      <c r="G1473" s="39" t="s">
        <v>654</v>
      </c>
    </row>
    <row r="1474" customFormat="false" ht="15" hidden="false" customHeight="false" outlineLevel="0" collapsed="false">
      <c r="A1474" s="37" t="s">
        <v>207</v>
      </c>
      <c r="B1474" s="37" t="s">
        <v>225</v>
      </c>
      <c r="C1474" s="37" t="s">
        <v>180</v>
      </c>
      <c r="D1474" s="37" t="s">
        <v>99</v>
      </c>
      <c r="E1474" s="38" t="n">
        <f aca="false">'Matrice des notes'!AG45</f>
        <v>1</v>
      </c>
      <c r="F1474" s="37" t="s">
        <v>655</v>
      </c>
      <c r="G1474" s="39" t="s">
        <v>656</v>
      </c>
    </row>
    <row r="1475" customFormat="false" ht="15" hidden="false" customHeight="false" outlineLevel="0" collapsed="false">
      <c r="A1475" s="37" t="s">
        <v>207</v>
      </c>
      <c r="B1475" s="37" t="s">
        <v>225</v>
      </c>
      <c r="C1475" s="37" t="s">
        <v>180</v>
      </c>
      <c r="D1475" s="37" t="s">
        <v>102</v>
      </c>
      <c r="E1475" s="38" t="n">
        <f aca="false">'Matrice des notes'!AH45</f>
        <v>1</v>
      </c>
      <c r="F1475" s="37" t="s">
        <v>655</v>
      </c>
      <c r="G1475" s="39" t="s">
        <v>656</v>
      </c>
    </row>
    <row r="1476" customFormat="false" ht="15" hidden="false" customHeight="false" outlineLevel="0" collapsed="false">
      <c r="A1476" s="37" t="s">
        <v>207</v>
      </c>
      <c r="B1476" s="37" t="s">
        <v>225</v>
      </c>
      <c r="C1476" s="37" t="s">
        <v>180</v>
      </c>
      <c r="D1476" s="37" t="s">
        <v>104</v>
      </c>
      <c r="E1476" s="38" t="n">
        <f aca="false">'Matrice des notes'!AI45</f>
        <v>1</v>
      </c>
      <c r="F1476" s="37" t="s">
        <v>631</v>
      </c>
      <c r="G1476" s="39" t="s">
        <v>654</v>
      </c>
    </row>
    <row r="1477" customFormat="false" ht="15" hidden="false" customHeight="false" outlineLevel="0" collapsed="false">
      <c r="A1477" s="37" t="s">
        <v>207</v>
      </c>
      <c r="B1477" s="37" t="s">
        <v>225</v>
      </c>
      <c r="C1477" s="37" t="s">
        <v>180</v>
      </c>
      <c r="D1477" s="37" t="s">
        <v>107</v>
      </c>
      <c r="E1477" s="38" t="n">
        <f aca="false">'Matrice des notes'!AJ45</f>
        <v>1</v>
      </c>
      <c r="F1477" s="37" t="s">
        <v>631</v>
      </c>
      <c r="G1477" s="39" t="s">
        <v>654</v>
      </c>
    </row>
    <row r="1478" customFormat="false" ht="15" hidden="false" customHeight="false" outlineLevel="0" collapsed="false">
      <c r="A1478" s="37" t="s">
        <v>207</v>
      </c>
      <c r="B1478" s="37" t="s">
        <v>225</v>
      </c>
      <c r="C1478" s="37" t="s">
        <v>180</v>
      </c>
      <c r="D1478" s="37" t="s">
        <v>110</v>
      </c>
      <c r="E1478" s="38" t="n">
        <f aca="false">'Matrice des notes'!AK45</f>
        <v>1</v>
      </c>
      <c r="F1478" s="37" t="s">
        <v>631</v>
      </c>
      <c r="G1478" s="39" t="s">
        <v>654</v>
      </c>
    </row>
    <row r="1479" customFormat="false" ht="15" hidden="false" customHeight="false" outlineLevel="0" collapsed="false">
      <c r="A1479" s="37" t="s">
        <v>207</v>
      </c>
      <c r="B1479" s="37" t="s">
        <v>225</v>
      </c>
      <c r="C1479" s="37" t="s">
        <v>180</v>
      </c>
      <c r="D1479" s="37" t="s">
        <v>113</v>
      </c>
      <c r="E1479" s="38" t="n">
        <f aca="false">'Matrice des notes'!AL45</f>
        <v>1</v>
      </c>
      <c r="F1479" s="37" t="s">
        <v>631</v>
      </c>
      <c r="G1479" s="39" t="s">
        <v>654</v>
      </c>
    </row>
    <row r="1480" customFormat="false" ht="15" hidden="false" customHeight="false" outlineLevel="0" collapsed="false">
      <c r="A1480" s="37" t="s">
        <v>207</v>
      </c>
      <c r="B1480" s="37" t="s">
        <v>225</v>
      </c>
      <c r="C1480" s="37" t="s">
        <v>180</v>
      </c>
      <c r="D1480" s="37" t="s">
        <v>116</v>
      </c>
      <c r="E1480" s="38" t="n">
        <f aca="false">'Matrice des notes'!AM45</f>
        <v>1</v>
      </c>
      <c r="F1480" s="37" t="s">
        <v>655</v>
      </c>
      <c r="G1480" s="39" t="s">
        <v>656</v>
      </c>
    </row>
    <row r="1481" customFormat="false" ht="15" hidden="false" customHeight="false" outlineLevel="0" collapsed="false">
      <c r="A1481" s="37" t="s">
        <v>207</v>
      </c>
      <c r="B1481" s="37" t="s">
        <v>225</v>
      </c>
      <c r="C1481" s="37" t="s">
        <v>180</v>
      </c>
      <c r="D1481" s="37" t="s">
        <v>119</v>
      </c>
      <c r="E1481" s="38" t="n">
        <f aca="false">'Matrice des notes'!AN45</f>
        <v>1</v>
      </c>
      <c r="F1481" s="37" t="s">
        <v>631</v>
      </c>
      <c r="G1481" s="39" t="s">
        <v>654</v>
      </c>
    </row>
    <row r="1482" customFormat="false" ht="15" hidden="false" customHeight="false" outlineLevel="0" collapsed="false">
      <c r="A1482" s="37" t="s">
        <v>207</v>
      </c>
      <c r="B1482" s="37" t="s">
        <v>225</v>
      </c>
      <c r="C1482" s="37" t="s">
        <v>180</v>
      </c>
      <c r="D1482" s="37" t="s">
        <v>121</v>
      </c>
      <c r="E1482" s="38" t="n">
        <f aca="false">'Matrice des notes'!AO45</f>
        <v>1</v>
      </c>
      <c r="F1482" s="37" t="s">
        <v>657</v>
      </c>
      <c r="G1482" s="39" t="s">
        <v>658</v>
      </c>
    </row>
    <row r="1483" customFormat="false" ht="15" hidden="false" customHeight="false" outlineLevel="0" collapsed="false">
      <c r="A1483" s="37" t="s">
        <v>207</v>
      </c>
      <c r="B1483" s="37" t="s">
        <v>225</v>
      </c>
      <c r="C1483" s="37" t="s">
        <v>180</v>
      </c>
      <c r="D1483" s="37" t="s">
        <v>124</v>
      </c>
      <c r="E1483" s="38" t="n">
        <f aca="false">'Matrice des notes'!AP45</f>
        <v>1</v>
      </c>
      <c r="F1483" s="37" t="s">
        <v>863</v>
      </c>
      <c r="G1483" s="39" t="s">
        <v>864</v>
      </c>
    </row>
    <row r="1484" customFormat="false" ht="15" hidden="false" customHeight="false" outlineLevel="0" collapsed="false">
      <c r="A1484" s="37" t="s">
        <v>207</v>
      </c>
      <c r="B1484" s="37" t="s">
        <v>226</v>
      </c>
      <c r="C1484" s="37" t="s">
        <v>178</v>
      </c>
      <c r="D1484" s="37" t="s">
        <v>7</v>
      </c>
      <c r="E1484" s="38" t="n">
        <f aca="false">'Matrice des notes'!D46</f>
        <v>1</v>
      </c>
      <c r="F1484" s="37" t="s">
        <v>673</v>
      </c>
      <c r="G1484" s="39" t="s">
        <v>902</v>
      </c>
    </row>
    <row r="1485" customFormat="false" ht="15" hidden="false" customHeight="false" outlineLevel="0" collapsed="false">
      <c r="A1485" s="37" t="s">
        <v>207</v>
      </c>
      <c r="B1485" s="37" t="s">
        <v>226</v>
      </c>
      <c r="C1485" s="37" t="s">
        <v>178</v>
      </c>
      <c r="D1485" s="37" t="s">
        <v>11</v>
      </c>
      <c r="E1485" s="38" t="n">
        <f aca="false">'Matrice des notes'!E46</f>
        <v>1</v>
      </c>
      <c r="F1485" s="37" t="s">
        <v>839</v>
      </c>
      <c r="G1485" s="39" t="s">
        <v>840</v>
      </c>
    </row>
    <row r="1486" customFormat="false" ht="15" hidden="false" customHeight="false" outlineLevel="0" collapsed="false">
      <c r="A1486" s="37" t="s">
        <v>207</v>
      </c>
      <c r="B1486" s="37" t="s">
        <v>226</v>
      </c>
      <c r="C1486" s="37" t="s">
        <v>178</v>
      </c>
      <c r="D1486" s="37" t="s">
        <v>14</v>
      </c>
      <c r="E1486" s="38" t="n">
        <f aca="false">'Matrice des notes'!F46</f>
        <v>1</v>
      </c>
      <c r="F1486" s="37" t="s">
        <v>677</v>
      </c>
      <c r="G1486" s="39" t="s">
        <v>841</v>
      </c>
    </row>
    <row r="1487" customFormat="false" ht="15" hidden="false" customHeight="false" outlineLevel="0" collapsed="false">
      <c r="A1487" s="37" t="s">
        <v>207</v>
      </c>
      <c r="B1487" s="37" t="s">
        <v>226</v>
      </c>
      <c r="C1487" s="37" t="s">
        <v>178</v>
      </c>
      <c r="D1487" s="37" t="s">
        <v>17</v>
      </c>
      <c r="E1487" s="38" t="n">
        <f aca="false">'Matrice des notes'!G46</f>
        <v>1</v>
      </c>
      <c r="F1487" s="37" t="s">
        <v>842</v>
      </c>
      <c r="G1487" s="39" t="s">
        <v>843</v>
      </c>
    </row>
    <row r="1488" customFormat="false" ht="15" hidden="false" customHeight="false" outlineLevel="0" collapsed="false">
      <c r="A1488" s="37" t="s">
        <v>207</v>
      </c>
      <c r="B1488" s="37" t="s">
        <v>226</v>
      </c>
      <c r="C1488" s="37" t="s">
        <v>178</v>
      </c>
      <c r="D1488" s="37" t="s">
        <v>20</v>
      </c>
      <c r="E1488" s="38" t="n">
        <f aca="false">'Matrice des notes'!H46</f>
        <v>1</v>
      </c>
      <c r="F1488" s="37" t="s">
        <v>839</v>
      </c>
      <c r="G1488" s="39" t="s">
        <v>844</v>
      </c>
    </row>
    <row r="1489" customFormat="false" ht="15" hidden="false" customHeight="false" outlineLevel="0" collapsed="false">
      <c r="A1489" s="37" t="s">
        <v>207</v>
      </c>
      <c r="B1489" s="37" t="s">
        <v>226</v>
      </c>
      <c r="C1489" s="37" t="s">
        <v>178</v>
      </c>
      <c r="D1489" s="37" t="s">
        <v>23</v>
      </c>
      <c r="E1489" s="38" t="n">
        <f aca="false">'Matrice des notes'!I46</f>
        <v>1</v>
      </c>
      <c r="F1489" s="37" t="s">
        <v>839</v>
      </c>
      <c r="G1489" s="39" t="s">
        <v>845</v>
      </c>
    </row>
    <row r="1490" customFormat="false" ht="15" hidden="false" customHeight="false" outlineLevel="0" collapsed="false">
      <c r="A1490" s="37" t="s">
        <v>207</v>
      </c>
      <c r="B1490" s="37" t="s">
        <v>226</v>
      </c>
      <c r="C1490" s="37" t="s">
        <v>178</v>
      </c>
      <c r="D1490" s="37" t="s">
        <v>26</v>
      </c>
      <c r="E1490" s="38" t="n">
        <f aca="false">'Matrice des notes'!J46</f>
        <v>1</v>
      </c>
      <c r="F1490" s="37" t="s">
        <v>835</v>
      </c>
      <c r="G1490" s="39" t="s">
        <v>846</v>
      </c>
    </row>
    <row r="1491" customFormat="false" ht="15" hidden="false" customHeight="false" outlineLevel="0" collapsed="false">
      <c r="A1491" s="37" t="s">
        <v>207</v>
      </c>
      <c r="B1491" s="37" t="s">
        <v>226</v>
      </c>
      <c r="C1491" s="37" t="s">
        <v>178</v>
      </c>
      <c r="D1491" s="37" t="s">
        <v>30</v>
      </c>
      <c r="E1491" s="38" t="n">
        <f aca="false">'Matrice des notes'!K46</f>
        <v>1</v>
      </c>
      <c r="F1491" s="37" t="s">
        <v>677</v>
      </c>
      <c r="G1491" s="39" t="s">
        <v>847</v>
      </c>
    </row>
    <row r="1492" customFormat="false" ht="15" hidden="false" customHeight="false" outlineLevel="0" collapsed="false">
      <c r="A1492" s="37" t="s">
        <v>207</v>
      </c>
      <c r="B1492" s="37" t="s">
        <v>226</v>
      </c>
      <c r="C1492" s="37" t="s">
        <v>178</v>
      </c>
      <c r="D1492" s="37" t="s">
        <v>34</v>
      </c>
      <c r="E1492" s="38" t="n">
        <f aca="false">'Matrice des notes'!L46</f>
        <v>2</v>
      </c>
      <c r="F1492" s="37" t="s">
        <v>891</v>
      </c>
      <c r="G1492" s="39" t="s">
        <v>892</v>
      </c>
    </row>
    <row r="1493" customFormat="false" ht="15" hidden="false" customHeight="false" outlineLevel="0" collapsed="false">
      <c r="A1493" s="37" t="s">
        <v>207</v>
      </c>
      <c r="B1493" s="37" t="s">
        <v>226</v>
      </c>
      <c r="C1493" s="37" t="s">
        <v>178</v>
      </c>
      <c r="D1493" s="37" t="s">
        <v>37</v>
      </c>
      <c r="E1493" s="38" t="n">
        <f aca="false">'Matrice des notes'!M46</f>
        <v>1</v>
      </c>
      <c r="F1493" s="37" t="s">
        <v>812</v>
      </c>
      <c r="G1493" s="39" t="s">
        <v>813</v>
      </c>
    </row>
    <row r="1494" customFormat="false" ht="15" hidden="false" customHeight="false" outlineLevel="0" collapsed="false">
      <c r="A1494" s="37" t="s">
        <v>207</v>
      </c>
      <c r="B1494" s="37" t="s">
        <v>226</v>
      </c>
      <c r="C1494" s="37" t="s">
        <v>178</v>
      </c>
      <c r="D1494" s="37" t="s">
        <v>40</v>
      </c>
      <c r="E1494" s="38" t="n">
        <f aca="false">'Matrice des notes'!N46</f>
        <v>1</v>
      </c>
      <c r="F1494" s="37" t="s">
        <v>849</v>
      </c>
      <c r="G1494" s="39" t="s">
        <v>850</v>
      </c>
    </row>
    <row r="1495" customFormat="false" ht="15" hidden="false" customHeight="false" outlineLevel="0" collapsed="false">
      <c r="A1495" s="37" t="s">
        <v>207</v>
      </c>
      <c r="B1495" s="37" t="s">
        <v>226</v>
      </c>
      <c r="C1495" s="37" t="s">
        <v>178</v>
      </c>
      <c r="D1495" s="37" t="s">
        <v>43</v>
      </c>
      <c r="E1495" s="38" t="n">
        <f aca="false">'Matrice des notes'!O46</f>
        <v>1</v>
      </c>
      <c r="F1495" s="37" t="s">
        <v>816</v>
      </c>
      <c r="G1495" s="39" t="s">
        <v>866</v>
      </c>
    </row>
    <row r="1496" customFormat="false" ht="15" hidden="false" customHeight="false" outlineLevel="0" collapsed="false">
      <c r="A1496" s="37" t="s">
        <v>207</v>
      </c>
      <c r="B1496" s="37" t="s">
        <v>226</v>
      </c>
      <c r="C1496" s="37" t="s">
        <v>178</v>
      </c>
      <c r="D1496" s="37" t="s">
        <v>46</v>
      </c>
      <c r="E1496" s="38" t="n">
        <f aca="false">'Matrice des notes'!P46</f>
        <v>1</v>
      </c>
      <c r="F1496" s="37" t="s">
        <v>839</v>
      </c>
      <c r="G1496" s="39" t="s">
        <v>851</v>
      </c>
    </row>
    <row r="1497" customFormat="false" ht="22.35" hidden="false" customHeight="false" outlineLevel="0" collapsed="false">
      <c r="A1497" s="37" t="s">
        <v>207</v>
      </c>
      <c r="B1497" s="37" t="s">
        <v>226</v>
      </c>
      <c r="C1497" s="37" t="s">
        <v>179</v>
      </c>
      <c r="D1497" s="37" t="s">
        <v>49</v>
      </c>
      <c r="E1497" s="38" t="n">
        <f aca="false">'Matrice des notes'!Q46</f>
        <v>1</v>
      </c>
      <c r="F1497" s="37" t="s">
        <v>867</v>
      </c>
      <c r="G1497" s="39" t="s">
        <v>868</v>
      </c>
    </row>
    <row r="1498" customFormat="false" ht="15" hidden="false" customHeight="false" outlineLevel="0" collapsed="false">
      <c r="A1498" s="37" t="s">
        <v>207</v>
      </c>
      <c r="B1498" s="37" t="s">
        <v>226</v>
      </c>
      <c r="C1498" s="37" t="s">
        <v>179</v>
      </c>
      <c r="D1498" s="37" t="s">
        <v>53</v>
      </c>
      <c r="E1498" s="38" t="n">
        <f aca="false">'Matrice des notes'!R46</f>
        <v>2</v>
      </c>
      <c r="F1498" s="37" t="s">
        <v>891</v>
      </c>
      <c r="G1498" s="39" t="s">
        <v>893</v>
      </c>
    </row>
    <row r="1499" customFormat="false" ht="15" hidden="false" customHeight="false" outlineLevel="0" collapsed="false">
      <c r="A1499" s="37" t="s">
        <v>207</v>
      </c>
      <c r="B1499" s="37" t="s">
        <v>226</v>
      </c>
      <c r="C1499" s="37" t="s">
        <v>179</v>
      </c>
      <c r="D1499" s="37" t="s">
        <v>56</v>
      </c>
      <c r="E1499" s="38" t="n">
        <f aca="false">'Matrice des notes'!S46</f>
        <v>1</v>
      </c>
      <c r="F1499" s="37" t="s">
        <v>839</v>
      </c>
      <c r="G1499" s="39" t="s">
        <v>854</v>
      </c>
    </row>
    <row r="1500" customFormat="false" ht="15" hidden="false" customHeight="false" outlineLevel="0" collapsed="false">
      <c r="A1500" s="37" t="s">
        <v>207</v>
      </c>
      <c r="B1500" s="37" t="s">
        <v>226</v>
      </c>
      <c r="C1500" s="37" t="s">
        <v>179</v>
      </c>
      <c r="D1500" s="37" t="s">
        <v>59</v>
      </c>
      <c r="E1500" s="38" t="n">
        <f aca="false">'Matrice des notes'!T46</f>
        <v>1</v>
      </c>
      <c r="F1500" s="37" t="s">
        <v>839</v>
      </c>
      <c r="G1500" s="39" t="s">
        <v>855</v>
      </c>
    </row>
    <row r="1501" customFormat="false" ht="22.35" hidden="false" customHeight="false" outlineLevel="0" collapsed="false">
      <c r="A1501" s="37" t="s">
        <v>207</v>
      </c>
      <c r="B1501" s="37" t="s">
        <v>226</v>
      </c>
      <c r="C1501" s="37" t="s">
        <v>179</v>
      </c>
      <c r="D1501" s="37" t="s">
        <v>62</v>
      </c>
      <c r="E1501" s="38" t="n">
        <f aca="false">'Matrice des notes'!U46</f>
        <v>1</v>
      </c>
      <c r="F1501" s="37" t="s">
        <v>867</v>
      </c>
      <c r="G1501" s="39" t="s">
        <v>869</v>
      </c>
    </row>
    <row r="1502" customFormat="false" ht="15" hidden="false" customHeight="false" outlineLevel="0" collapsed="false">
      <c r="A1502" s="37" t="s">
        <v>207</v>
      </c>
      <c r="B1502" s="37" t="s">
        <v>226</v>
      </c>
      <c r="C1502" s="37" t="s">
        <v>179</v>
      </c>
      <c r="D1502" s="37" t="s">
        <v>65</v>
      </c>
      <c r="E1502" s="38" t="n">
        <f aca="false">'Matrice des notes'!V46</f>
        <v>3</v>
      </c>
      <c r="F1502" s="37" t="s">
        <v>903</v>
      </c>
      <c r="G1502" s="39" t="s">
        <v>904</v>
      </c>
    </row>
    <row r="1503" customFormat="false" ht="15" hidden="false" customHeight="false" outlineLevel="0" collapsed="false">
      <c r="A1503" s="37" t="s">
        <v>207</v>
      </c>
      <c r="B1503" s="37" t="s">
        <v>226</v>
      </c>
      <c r="C1503" s="37" t="s">
        <v>179</v>
      </c>
      <c r="D1503" s="37" t="s">
        <v>68</v>
      </c>
      <c r="E1503" s="38" t="n">
        <f aca="false">'Matrice des notes'!W46</f>
        <v>1</v>
      </c>
      <c r="F1503" s="37" t="s">
        <v>827</v>
      </c>
      <c r="G1503" s="39" t="s">
        <v>872</v>
      </c>
    </row>
    <row r="1504" customFormat="false" ht="15" hidden="false" customHeight="false" outlineLevel="0" collapsed="false">
      <c r="A1504" s="37" t="s">
        <v>207</v>
      </c>
      <c r="B1504" s="37" t="s">
        <v>226</v>
      </c>
      <c r="C1504" s="37" t="s">
        <v>179</v>
      </c>
      <c r="D1504" s="37" t="s">
        <v>71</v>
      </c>
      <c r="E1504" s="38" t="n">
        <f aca="false">'Matrice des notes'!X46</f>
        <v>1</v>
      </c>
      <c r="F1504" s="37" t="s">
        <v>708</v>
      </c>
      <c r="G1504" s="39" t="s">
        <v>857</v>
      </c>
    </row>
    <row r="1505" customFormat="false" ht="15" hidden="false" customHeight="false" outlineLevel="0" collapsed="false">
      <c r="A1505" s="37" t="s">
        <v>207</v>
      </c>
      <c r="B1505" s="37" t="s">
        <v>226</v>
      </c>
      <c r="C1505" s="37" t="s">
        <v>179</v>
      </c>
      <c r="D1505" s="37" t="s">
        <v>74</v>
      </c>
      <c r="E1505" s="38" t="n">
        <f aca="false">'Matrice des notes'!Y46</f>
        <v>3</v>
      </c>
      <c r="F1505" s="37" t="s">
        <v>673</v>
      </c>
      <c r="G1505" s="39" t="s">
        <v>896</v>
      </c>
    </row>
    <row r="1506" customFormat="false" ht="15" hidden="false" customHeight="false" outlineLevel="0" collapsed="false">
      <c r="A1506" s="37" t="s">
        <v>207</v>
      </c>
      <c r="B1506" s="37" t="s">
        <v>226</v>
      </c>
      <c r="C1506" s="37" t="s">
        <v>179</v>
      </c>
      <c r="D1506" s="37" t="s">
        <v>77</v>
      </c>
      <c r="E1506" s="38" t="n">
        <f aca="false">'Matrice des notes'!Z46</f>
        <v>1</v>
      </c>
      <c r="F1506" s="37" t="s">
        <v>842</v>
      </c>
      <c r="G1506" s="39" t="s">
        <v>858</v>
      </c>
    </row>
    <row r="1507" customFormat="false" ht="22.35" hidden="false" customHeight="false" outlineLevel="0" collapsed="false">
      <c r="A1507" s="37" t="s">
        <v>207</v>
      </c>
      <c r="B1507" s="37" t="s">
        <v>226</v>
      </c>
      <c r="C1507" s="37" t="s">
        <v>179</v>
      </c>
      <c r="D1507" s="37" t="s">
        <v>80</v>
      </c>
      <c r="E1507" s="38" t="n">
        <f aca="false">'Matrice des notes'!AA46</f>
        <v>4</v>
      </c>
      <c r="F1507" s="37" t="s">
        <v>874</v>
      </c>
      <c r="G1507" s="39" t="s">
        <v>897</v>
      </c>
    </row>
    <row r="1508" customFormat="false" ht="22.35" hidden="false" customHeight="false" outlineLevel="0" collapsed="false">
      <c r="A1508" s="37" t="s">
        <v>207</v>
      </c>
      <c r="B1508" s="37" t="s">
        <v>226</v>
      </c>
      <c r="C1508" s="37" t="s">
        <v>179</v>
      </c>
      <c r="D1508" s="37" t="s">
        <v>83</v>
      </c>
      <c r="E1508" s="38" t="n">
        <f aca="false">'Matrice des notes'!AB46</f>
        <v>1</v>
      </c>
      <c r="F1508" s="37" t="s">
        <v>898</v>
      </c>
      <c r="G1508" s="39" t="s">
        <v>899</v>
      </c>
    </row>
    <row r="1509" customFormat="false" ht="15" hidden="false" customHeight="false" outlineLevel="0" collapsed="false">
      <c r="A1509" s="37" t="s">
        <v>207</v>
      </c>
      <c r="B1509" s="37" t="s">
        <v>226</v>
      </c>
      <c r="C1509" s="37" t="s">
        <v>179</v>
      </c>
      <c r="D1509" s="37" t="s">
        <v>86</v>
      </c>
      <c r="E1509" s="38" t="n">
        <f aca="false">'Matrice des notes'!AC46</f>
        <v>4</v>
      </c>
      <c r="F1509" s="37" t="s">
        <v>861</v>
      </c>
      <c r="G1509" s="39" t="s">
        <v>943</v>
      </c>
    </row>
    <row r="1510" customFormat="false" ht="15" hidden="false" customHeight="false" outlineLevel="0" collapsed="false">
      <c r="A1510" s="37" t="s">
        <v>207</v>
      </c>
      <c r="B1510" s="37" t="s">
        <v>226</v>
      </c>
      <c r="C1510" s="37" t="s">
        <v>179</v>
      </c>
      <c r="D1510" s="37" t="s">
        <v>89</v>
      </c>
      <c r="E1510" s="38" t="n">
        <f aca="false">'Matrice des notes'!AD46</f>
        <v>4</v>
      </c>
      <c r="F1510" s="37" t="s">
        <v>810</v>
      </c>
      <c r="G1510" s="39" t="s">
        <v>905</v>
      </c>
    </row>
    <row r="1511" customFormat="false" ht="15" hidden="false" customHeight="false" outlineLevel="0" collapsed="false">
      <c r="A1511" s="37" t="s">
        <v>207</v>
      </c>
      <c r="B1511" s="37" t="s">
        <v>226</v>
      </c>
      <c r="C1511" s="37" t="s">
        <v>179</v>
      </c>
      <c r="D1511" s="37" t="s">
        <v>92</v>
      </c>
      <c r="E1511" s="38" t="n">
        <f aca="false">'Matrice des notes'!AE46</f>
        <v>2</v>
      </c>
      <c r="F1511" s="37" t="s">
        <v>900</v>
      </c>
      <c r="G1511" s="39" t="s">
        <v>901</v>
      </c>
    </row>
    <row r="1512" customFormat="false" ht="15" hidden="false" customHeight="false" outlineLevel="0" collapsed="false">
      <c r="A1512" s="37" t="s">
        <v>207</v>
      </c>
      <c r="B1512" s="37" t="s">
        <v>226</v>
      </c>
      <c r="C1512" s="37" t="s">
        <v>180</v>
      </c>
      <c r="D1512" s="37" t="s">
        <v>95</v>
      </c>
      <c r="E1512" s="38" t="n">
        <f aca="false">'Matrice des notes'!AF46</f>
        <v>1</v>
      </c>
      <c r="F1512" s="37" t="s">
        <v>631</v>
      </c>
      <c r="G1512" s="39" t="s">
        <v>654</v>
      </c>
    </row>
    <row r="1513" customFormat="false" ht="15" hidden="false" customHeight="false" outlineLevel="0" collapsed="false">
      <c r="A1513" s="37" t="s">
        <v>207</v>
      </c>
      <c r="B1513" s="37" t="s">
        <v>226</v>
      </c>
      <c r="C1513" s="37" t="s">
        <v>180</v>
      </c>
      <c r="D1513" s="37" t="s">
        <v>99</v>
      </c>
      <c r="E1513" s="38" t="n">
        <f aca="false">'Matrice des notes'!AG46</f>
        <v>1</v>
      </c>
      <c r="F1513" s="37" t="s">
        <v>655</v>
      </c>
      <c r="G1513" s="39" t="s">
        <v>656</v>
      </c>
    </row>
    <row r="1514" customFormat="false" ht="15" hidden="false" customHeight="false" outlineLevel="0" collapsed="false">
      <c r="A1514" s="37" t="s">
        <v>207</v>
      </c>
      <c r="B1514" s="37" t="s">
        <v>226</v>
      </c>
      <c r="C1514" s="37" t="s">
        <v>180</v>
      </c>
      <c r="D1514" s="37" t="s">
        <v>102</v>
      </c>
      <c r="E1514" s="38" t="n">
        <f aca="false">'Matrice des notes'!AH46</f>
        <v>1</v>
      </c>
      <c r="F1514" s="37" t="s">
        <v>655</v>
      </c>
      <c r="G1514" s="39" t="s">
        <v>656</v>
      </c>
    </row>
    <row r="1515" customFormat="false" ht="15" hidden="false" customHeight="false" outlineLevel="0" collapsed="false">
      <c r="A1515" s="37" t="s">
        <v>207</v>
      </c>
      <c r="B1515" s="37" t="s">
        <v>226</v>
      </c>
      <c r="C1515" s="37" t="s">
        <v>180</v>
      </c>
      <c r="D1515" s="37" t="s">
        <v>104</v>
      </c>
      <c r="E1515" s="38" t="n">
        <f aca="false">'Matrice des notes'!AI46</f>
        <v>1</v>
      </c>
      <c r="F1515" s="37" t="s">
        <v>631</v>
      </c>
      <c r="G1515" s="39" t="s">
        <v>654</v>
      </c>
    </row>
    <row r="1516" customFormat="false" ht="15" hidden="false" customHeight="false" outlineLevel="0" collapsed="false">
      <c r="A1516" s="37" t="s">
        <v>207</v>
      </c>
      <c r="B1516" s="37" t="s">
        <v>226</v>
      </c>
      <c r="C1516" s="37" t="s">
        <v>180</v>
      </c>
      <c r="D1516" s="37" t="s">
        <v>107</v>
      </c>
      <c r="E1516" s="38" t="n">
        <f aca="false">'Matrice des notes'!AJ46</f>
        <v>1</v>
      </c>
      <c r="F1516" s="37" t="s">
        <v>631</v>
      </c>
      <c r="G1516" s="39" t="s">
        <v>654</v>
      </c>
    </row>
    <row r="1517" customFormat="false" ht="15" hidden="false" customHeight="false" outlineLevel="0" collapsed="false">
      <c r="A1517" s="37" t="s">
        <v>207</v>
      </c>
      <c r="B1517" s="37" t="s">
        <v>226</v>
      </c>
      <c r="C1517" s="37" t="s">
        <v>180</v>
      </c>
      <c r="D1517" s="37" t="s">
        <v>110</v>
      </c>
      <c r="E1517" s="38" t="n">
        <f aca="false">'Matrice des notes'!AK46</f>
        <v>1</v>
      </c>
      <c r="F1517" s="37" t="s">
        <v>631</v>
      </c>
      <c r="G1517" s="39" t="s">
        <v>654</v>
      </c>
    </row>
    <row r="1518" customFormat="false" ht="15" hidden="false" customHeight="false" outlineLevel="0" collapsed="false">
      <c r="A1518" s="37" t="s">
        <v>207</v>
      </c>
      <c r="B1518" s="37" t="s">
        <v>226</v>
      </c>
      <c r="C1518" s="37" t="s">
        <v>180</v>
      </c>
      <c r="D1518" s="37" t="s">
        <v>113</v>
      </c>
      <c r="E1518" s="38" t="n">
        <f aca="false">'Matrice des notes'!AL46</f>
        <v>1</v>
      </c>
      <c r="F1518" s="37" t="s">
        <v>631</v>
      </c>
      <c r="G1518" s="39" t="s">
        <v>654</v>
      </c>
    </row>
    <row r="1519" customFormat="false" ht="15" hidden="false" customHeight="false" outlineLevel="0" collapsed="false">
      <c r="A1519" s="37" t="s">
        <v>207</v>
      </c>
      <c r="B1519" s="37" t="s">
        <v>226</v>
      </c>
      <c r="C1519" s="37" t="s">
        <v>180</v>
      </c>
      <c r="D1519" s="37" t="s">
        <v>116</v>
      </c>
      <c r="E1519" s="38" t="n">
        <f aca="false">'Matrice des notes'!AM46</f>
        <v>1</v>
      </c>
      <c r="F1519" s="37" t="s">
        <v>655</v>
      </c>
      <c r="G1519" s="39" t="s">
        <v>656</v>
      </c>
    </row>
    <row r="1520" customFormat="false" ht="15" hidden="false" customHeight="false" outlineLevel="0" collapsed="false">
      <c r="A1520" s="37" t="s">
        <v>207</v>
      </c>
      <c r="B1520" s="37" t="s">
        <v>226</v>
      </c>
      <c r="C1520" s="37" t="s">
        <v>180</v>
      </c>
      <c r="D1520" s="37" t="s">
        <v>119</v>
      </c>
      <c r="E1520" s="38" t="n">
        <f aca="false">'Matrice des notes'!AN46</f>
        <v>1</v>
      </c>
      <c r="F1520" s="37" t="s">
        <v>631</v>
      </c>
      <c r="G1520" s="39" t="s">
        <v>654</v>
      </c>
    </row>
    <row r="1521" customFormat="false" ht="15" hidden="false" customHeight="false" outlineLevel="0" collapsed="false">
      <c r="A1521" s="37" t="s">
        <v>207</v>
      </c>
      <c r="B1521" s="37" t="s">
        <v>226</v>
      </c>
      <c r="C1521" s="37" t="s">
        <v>180</v>
      </c>
      <c r="D1521" s="37" t="s">
        <v>121</v>
      </c>
      <c r="E1521" s="38" t="n">
        <f aca="false">'Matrice des notes'!AO46</f>
        <v>1</v>
      </c>
      <c r="F1521" s="37" t="s">
        <v>657</v>
      </c>
      <c r="G1521" s="39" t="s">
        <v>658</v>
      </c>
    </row>
    <row r="1522" customFormat="false" ht="15" hidden="false" customHeight="false" outlineLevel="0" collapsed="false">
      <c r="A1522" s="37" t="s">
        <v>207</v>
      </c>
      <c r="B1522" s="37" t="s">
        <v>226</v>
      </c>
      <c r="C1522" s="37" t="s">
        <v>180</v>
      </c>
      <c r="D1522" s="37" t="s">
        <v>124</v>
      </c>
      <c r="E1522" s="38" t="n">
        <f aca="false">'Matrice des notes'!AP46</f>
        <v>1</v>
      </c>
      <c r="F1522" s="37" t="s">
        <v>863</v>
      </c>
      <c r="G1522" s="39" t="s">
        <v>864</v>
      </c>
    </row>
    <row r="1523" customFormat="false" ht="15" hidden="false" customHeight="false" outlineLevel="0" collapsed="false">
      <c r="A1523" s="37" t="s">
        <v>207</v>
      </c>
      <c r="B1523" s="37" t="s">
        <v>227</v>
      </c>
      <c r="C1523" s="37" t="s">
        <v>178</v>
      </c>
      <c r="D1523" s="37" t="s">
        <v>7</v>
      </c>
      <c r="E1523" s="38" t="n">
        <f aca="false">'Matrice des notes'!D47</f>
        <v>1</v>
      </c>
      <c r="F1523" s="37" t="s">
        <v>673</v>
      </c>
      <c r="G1523" s="39" t="s">
        <v>902</v>
      </c>
    </row>
    <row r="1524" customFormat="false" ht="15" hidden="false" customHeight="false" outlineLevel="0" collapsed="false">
      <c r="A1524" s="37" t="s">
        <v>207</v>
      </c>
      <c r="B1524" s="37" t="s">
        <v>227</v>
      </c>
      <c r="C1524" s="37" t="s">
        <v>178</v>
      </c>
      <c r="D1524" s="37" t="s">
        <v>11</v>
      </c>
      <c r="E1524" s="38" t="n">
        <f aca="false">'Matrice des notes'!E47</f>
        <v>1</v>
      </c>
      <c r="F1524" s="37" t="s">
        <v>839</v>
      </c>
      <c r="G1524" s="39" t="s">
        <v>840</v>
      </c>
    </row>
    <row r="1525" customFormat="false" ht="15" hidden="false" customHeight="false" outlineLevel="0" collapsed="false">
      <c r="A1525" s="37" t="s">
        <v>207</v>
      </c>
      <c r="B1525" s="37" t="s">
        <v>227</v>
      </c>
      <c r="C1525" s="37" t="s">
        <v>178</v>
      </c>
      <c r="D1525" s="37" t="s">
        <v>14</v>
      </c>
      <c r="E1525" s="38" t="n">
        <f aca="false">'Matrice des notes'!F47</f>
        <v>1</v>
      </c>
      <c r="F1525" s="37" t="s">
        <v>677</v>
      </c>
      <c r="G1525" s="39" t="s">
        <v>841</v>
      </c>
    </row>
    <row r="1526" customFormat="false" ht="15" hidden="false" customHeight="false" outlineLevel="0" collapsed="false">
      <c r="A1526" s="37" t="s">
        <v>207</v>
      </c>
      <c r="B1526" s="37" t="s">
        <v>227</v>
      </c>
      <c r="C1526" s="37" t="s">
        <v>178</v>
      </c>
      <c r="D1526" s="37" t="s">
        <v>17</v>
      </c>
      <c r="E1526" s="38" t="n">
        <f aca="false">'Matrice des notes'!G47</f>
        <v>1</v>
      </c>
      <c r="F1526" s="37" t="s">
        <v>842</v>
      </c>
      <c r="G1526" s="39" t="s">
        <v>843</v>
      </c>
    </row>
    <row r="1527" customFormat="false" ht="15" hidden="false" customHeight="false" outlineLevel="0" collapsed="false">
      <c r="A1527" s="37" t="s">
        <v>207</v>
      </c>
      <c r="B1527" s="37" t="s">
        <v>227</v>
      </c>
      <c r="C1527" s="37" t="s">
        <v>178</v>
      </c>
      <c r="D1527" s="37" t="s">
        <v>20</v>
      </c>
      <c r="E1527" s="38" t="n">
        <f aca="false">'Matrice des notes'!H47</f>
        <v>1</v>
      </c>
      <c r="F1527" s="37" t="s">
        <v>839</v>
      </c>
      <c r="G1527" s="39" t="s">
        <v>844</v>
      </c>
    </row>
    <row r="1528" customFormat="false" ht="15" hidden="false" customHeight="false" outlineLevel="0" collapsed="false">
      <c r="A1528" s="37" t="s">
        <v>207</v>
      </c>
      <c r="B1528" s="37" t="s">
        <v>227</v>
      </c>
      <c r="C1528" s="37" t="s">
        <v>178</v>
      </c>
      <c r="D1528" s="37" t="s">
        <v>23</v>
      </c>
      <c r="E1528" s="38" t="n">
        <f aca="false">'Matrice des notes'!I47</f>
        <v>1</v>
      </c>
      <c r="F1528" s="37" t="s">
        <v>839</v>
      </c>
      <c r="G1528" s="39" t="s">
        <v>845</v>
      </c>
    </row>
    <row r="1529" customFormat="false" ht="15" hidden="false" customHeight="false" outlineLevel="0" collapsed="false">
      <c r="A1529" s="37" t="s">
        <v>207</v>
      </c>
      <c r="B1529" s="37" t="s">
        <v>227</v>
      </c>
      <c r="C1529" s="37" t="s">
        <v>178</v>
      </c>
      <c r="D1529" s="37" t="s">
        <v>26</v>
      </c>
      <c r="E1529" s="38" t="n">
        <f aca="false">'Matrice des notes'!J47</f>
        <v>1</v>
      </c>
      <c r="F1529" s="37" t="s">
        <v>835</v>
      </c>
      <c r="G1529" s="39" t="s">
        <v>846</v>
      </c>
    </row>
    <row r="1530" customFormat="false" ht="15" hidden="false" customHeight="false" outlineLevel="0" collapsed="false">
      <c r="A1530" s="37" t="s">
        <v>207</v>
      </c>
      <c r="B1530" s="37" t="s">
        <v>227</v>
      </c>
      <c r="C1530" s="37" t="s">
        <v>178</v>
      </c>
      <c r="D1530" s="37" t="s">
        <v>30</v>
      </c>
      <c r="E1530" s="38" t="n">
        <f aca="false">'Matrice des notes'!K47</f>
        <v>1</v>
      </c>
      <c r="F1530" s="37" t="s">
        <v>677</v>
      </c>
      <c r="G1530" s="39" t="s">
        <v>847</v>
      </c>
    </row>
    <row r="1531" customFormat="false" ht="15" hidden="false" customHeight="false" outlineLevel="0" collapsed="false">
      <c r="A1531" s="37" t="s">
        <v>207</v>
      </c>
      <c r="B1531" s="37" t="s">
        <v>227</v>
      </c>
      <c r="C1531" s="37" t="s">
        <v>178</v>
      </c>
      <c r="D1531" s="37" t="s">
        <v>34</v>
      </c>
      <c r="E1531" s="38" t="n">
        <f aca="false">'Matrice des notes'!L47</f>
        <v>2</v>
      </c>
      <c r="F1531" s="37" t="s">
        <v>891</v>
      </c>
      <c r="G1531" s="39" t="s">
        <v>892</v>
      </c>
    </row>
    <row r="1532" customFormat="false" ht="15" hidden="false" customHeight="false" outlineLevel="0" collapsed="false">
      <c r="A1532" s="37" t="s">
        <v>207</v>
      </c>
      <c r="B1532" s="37" t="s">
        <v>227</v>
      </c>
      <c r="C1532" s="37" t="s">
        <v>178</v>
      </c>
      <c r="D1532" s="37" t="s">
        <v>37</v>
      </c>
      <c r="E1532" s="38" t="n">
        <f aca="false">'Matrice des notes'!M47</f>
        <v>1</v>
      </c>
      <c r="F1532" s="37" t="s">
        <v>812</v>
      </c>
      <c r="G1532" s="39" t="s">
        <v>813</v>
      </c>
    </row>
    <row r="1533" customFormat="false" ht="15" hidden="false" customHeight="false" outlineLevel="0" collapsed="false">
      <c r="A1533" s="37" t="s">
        <v>207</v>
      </c>
      <c r="B1533" s="37" t="s">
        <v>227</v>
      </c>
      <c r="C1533" s="37" t="s">
        <v>178</v>
      </c>
      <c r="D1533" s="37" t="s">
        <v>40</v>
      </c>
      <c r="E1533" s="38" t="n">
        <f aca="false">'Matrice des notes'!N47</f>
        <v>1</v>
      </c>
      <c r="F1533" s="37" t="s">
        <v>849</v>
      </c>
      <c r="G1533" s="39" t="s">
        <v>850</v>
      </c>
    </row>
    <row r="1534" customFormat="false" ht="15" hidden="false" customHeight="false" outlineLevel="0" collapsed="false">
      <c r="A1534" s="37" t="s">
        <v>207</v>
      </c>
      <c r="B1534" s="37" t="s">
        <v>227</v>
      </c>
      <c r="C1534" s="37" t="s">
        <v>178</v>
      </c>
      <c r="D1534" s="37" t="s">
        <v>43</v>
      </c>
      <c r="E1534" s="38" t="n">
        <f aca="false">'Matrice des notes'!O47</f>
        <v>1</v>
      </c>
      <c r="F1534" s="37" t="s">
        <v>816</v>
      </c>
      <c r="G1534" s="39" t="s">
        <v>866</v>
      </c>
    </row>
    <row r="1535" customFormat="false" ht="15" hidden="false" customHeight="false" outlineLevel="0" collapsed="false">
      <c r="A1535" s="37" t="s">
        <v>207</v>
      </c>
      <c r="B1535" s="37" t="s">
        <v>227</v>
      </c>
      <c r="C1535" s="37" t="s">
        <v>178</v>
      </c>
      <c r="D1535" s="37" t="s">
        <v>46</v>
      </c>
      <c r="E1535" s="38" t="n">
        <f aca="false">'Matrice des notes'!P47</f>
        <v>1</v>
      </c>
      <c r="F1535" s="37" t="s">
        <v>839</v>
      </c>
      <c r="G1535" s="39" t="s">
        <v>851</v>
      </c>
    </row>
    <row r="1536" customFormat="false" ht="22.35" hidden="false" customHeight="false" outlineLevel="0" collapsed="false">
      <c r="A1536" s="37" t="s">
        <v>207</v>
      </c>
      <c r="B1536" s="37" t="s">
        <v>227</v>
      </c>
      <c r="C1536" s="37" t="s">
        <v>179</v>
      </c>
      <c r="D1536" s="37" t="s">
        <v>49</v>
      </c>
      <c r="E1536" s="38" t="n">
        <f aca="false">'Matrice des notes'!Q47</f>
        <v>1</v>
      </c>
      <c r="F1536" s="37" t="s">
        <v>867</v>
      </c>
      <c r="G1536" s="39" t="s">
        <v>868</v>
      </c>
    </row>
    <row r="1537" customFormat="false" ht="15" hidden="false" customHeight="false" outlineLevel="0" collapsed="false">
      <c r="A1537" s="37" t="s">
        <v>207</v>
      </c>
      <c r="B1537" s="37" t="s">
        <v>227</v>
      </c>
      <c r="C1537" s="37" t="s">
        <v>179</v>
      </c>
      <c r="D1537" s="37" t="s">
        <v>53</v>
      </c>
      <c r="E1537" s="38" t="n">
        <f aca="false">'Matrice des notes'!R47</f>
        <v>2</v>
      </c>
      <c r="F1537" s="37" t="s">
        <v>891</v>
      </c>
      <c r="G1537" s="39" t="s">
        <v>893</v>
      </c>
    </row>
    <row r="1538" customFormat="false" ht="15" hidden="false" customHeight="false" outlineLevel="0" collapsed="false">
      <c r="A1538" s="37" t="s">
        <v>207</v>
      </c>
      <c r="B1538" s="37" t="s">
        <v>227</v>
      </c>
      <c r="C1538" s="37" t="s">
        <v>179</v>
      </c>
      <c r="D1538" s="37" t="s">
        <v>56</v>
      </c>
      <c r="E1538" s="38" t="n">
        <f aca="false">'Matrice des notes'!S47</f>
        <v>1</v>
      </c>
      <c r="F1538" s="37" t="s">
        <v>839</v>
      </c>
      <c r="G1538" s="39" t="s">
        <v>854</v>
      </c>
    </row>
    <row r="1539" customFormat="false" ht="15" hidden="false" customHeight="false" outlineLevel="0" collapsed="false">
      <c r="A1539" s="37" t="s">
        <v>207</v>
      </c>
      <c r="B1539" s="37" t="s">
        <v>227</v>
      </c>
      <c r="C1539" s="37" t="s">
        <v>179</v>
      </c>
      <c r="D1539" s="37" t="s">
        <v>59</v>
      </c>
      <c r="E1539" s="38" t="n">
        <f aca="false">'Matrice des notes'!T47</f>
        <v>1</v>
      </c>
      <c r="F1539" s="37" t="s">
        <v>839</v>
      </c>
      <c r="G1539" s="39" t="s">
        <v>855</v>
      </c>
    </row>
    <row r="1540" customFormat="false" ht="22.35" hidden="false" customHeight="false" outlineLevel="0" collapsed="false">
      <c r="A1540" s="37" t="s">
        <v>207</v>
      </c>
      <c r="B1540" s="37" t="s">
        <v>227</v>
      </c>
      <c r="C1540" s="37" t="s">
        <v>179</v>
      </c>
      <c r="D1540" s="37" t="s">
        <v>62</v>
      </c>
      <c r="E1540" s="38" t="n">
        <f aca="false">'Matrice des notes'!U47</f>
        <v>1</v>
      </c>
      <c r="F1540" s="37" t="s">
        <v>867</v>
      </c>
      <c r="G1540" s="39" t="s">
        <v>869</v>
      </c>
    </row>
    <row r="1541" customFormat="false" ht="15" hidden="false" customHeight="false" outlineLevel="0" collapsed="false">
      <c r="A1541" s="37" t="s">
        <v>207</v>
      </c>
      <c r="B1541" s="37" t="s">
        <v>227</v>
      </c>
      <c r="C1541" s="37" t="s">
        <v>179</v>
      </c>
      <c r="D1541" s="37" t="s">
        <v>65</v>
      </c>
      <c r="E1541" s="38" t="n">
        <f aca="false">'Matrice des notes'!V47</f>
        <v>3</v>
      </c>
      <c r="F1541" s="37" t="s">
        <v>903</v>
      </c>
      <c r="G1541" s="39" t="s">
        <v>904</v>
      </c>
    </row>
    <row r="1542" customFormat="false" ht="15" hidden="false" customHeight="false" outlineLevel="0" collapsed="false">
      <c r="A1542" s="37" t="s">
        <v>207</v>
      </c>
      <c r="B1542" s="37" t="s">
        <v>227</v>
      </c>
      <c r="C1542" s="37" t="s">
        <v>179</v>
      </c>
      <c r="D1542" s="37" t="s">
        <v>68</v>
      </c>
      <c r="E1542" s="38" t="n">
        <f aca="false">'Matrice des notes'!W47</f>
        <v>1</v>
      </c>
      <c r="F1542" s="37" t="s">
        <v>827</v>
      </c>
      <c r="G1542" s="39" t="s">
        <v>872</v>
      </c>
    </row>
    <row r="1543" customFormat="false" ht="15" hidden="false" customHeight="false" outlineLevel="0" collapsed="false">
      <c r="A1543" s="37" t="s">
        <v>207</v>
      </c>
      <c r="B1543" s="37" t="s">
        <v>227</v>
      </c>
      <c r="C1543" s="37" t="s">
        <v>179</v>
      </c>
      <c r="D1543" s="37" t="s">
        <v>71</v>
      </c>
      <c r="E1543" s="38" t="n">
        <f aca="false">'Matrice des notes'!X47</f>
        <v>1</v>
      </c>
      <c r="F1543" s="37" t="s">
        <v>708</v>
      </c>
      <c r="G1543" s="39" t="s">
        <v>857</v>
      </c>
    </row>
    <row r="1544" customFormat="false" ht="15" hidden="false" customHeight="false" outlineLevel="0" collapsed="false">
      <c r="A1544" s="37" t="s">
        <v>207</v>
      </c>
      <c r="B1544" s="37" t="s">
        <v>227</v>
      </c>
      <c r="C1544" s="37" t="s">
        <v>179</v>
      </c>
      <c r="D1544" s="37" t="s">
        <v>74</v>
      </c>
      <c r="E1544" s="38" t="n">
        <f aca="false">'Matrice des notes'!Y47</f>
        <v>3</v>
      </c>
      <c r="F1544" s="37" t="s">
        <v>673</v>
      </c>
      <c r="G1544" s="39" t="s">
        <v>896</v>
      </c>
    </row>
    <row r="1545" customFormat="false" ht="15" hidden="false" customHeight="false" outlineLevel="0" collapsed="false">
      <c r="A1545" s="37" t="s">
        <v>207</v>
      </c>
      <c r="B1545" s="37" t="s">
        <v>227</v>
      </c>
      <c r="C1545" s="37" t="s">
        <v>179</v>
      </c>
      <c r="D1545" s="37" t="s">
        <v>77</v>
      </c>
      <c r="E1545" s="38" t="n">
        <f aca="false">'Matrice des notes'!Z47</f>
        <v>1</v>
      </c>
      <c r="F1545" s="37" t="s">
        <v>842</v>
      </c>
      <c r="G1545" s="39" t="s">
        <v>858</v>
      </c>
    </row>
    <row r="1546" customFormat="false" ht="22.35" hidden="false" customHeight="false" outlineLevel="0" collapsed="false">
      <c r="A1546" s="37" t="s">
        <v>207</v>
      </c>
      <c r="B1546" s="37" t="s">
        <v>227</v>
      </c>
      <c r="C1546" s="37" t="s">
        <v>179</v>
      </c>
      <c r="D1546" s="37" t="s">
        <v>80</v>
      </c>
      <c r="E1546" s="38" t="n">
        <f aca="false">'Matrice des notes'!AA47</f>
        <v>4</v>
      </c>
      <c r="F1546" s="37" t="s">
        <v>874</v>
      </c>
      <c r="G1546" s="39" t="s">
        <v>897</v>
      </c>
    </row>
    <row r="1547" customFormat="false" ht="22.35" hidden="false" customHeight="false" outlineLevel="0" collapsed="false">
      <c r="A1547" s="37" t="s">
        <v>207</v>
      </c>
      <c r="B1547" s="37" t="s">
        <v>227</v>
      </c>
      <c r="C1547" s="37" t="s">
        <v>179</v>
      </c>
      <c r="D1547" s="37" t="s">
        <v>83</v>
      </c>
      <c r="E1547" s="38" t="n">
        <f aca="false">'Matrice des notes'!AB47</f>
        <v>1</v>
      </c>
      <c r="F1547" s="37" t="s">
        <v>898</v>
      </c>
      <c r="G1547" s="39" t="s">
        <v>899</v>
      </c>
    </row>
    <row r="1548" customFormat="false" ht="15" hidden="false" customHeight="false" outlineLevel="0" collapsed="false">
      <c r="A1548" s="37" t="s">
        <v>207</v>
      </c>
      <c r="B1548" s="37" t="s">
        <v>227</v>
      </c>
      <c r="C1548" s="37" t="s">
        <v>179</v>
      </c>
      <c r="D1548" s="37" t="s">
        <v>86</v>
      </c>
      <c r="E1548" s="38" t="n">
        <f aca="false">'Matrice des notes'!AC47</f>
        <v>4</v>
      </c>
      <c r="F1548" s="37" t="s">
        <v>861</v>
      </c>
      <c r="G1548" s="39" t="s">
        <v>943</v>
      </c>
    </row>
    <row r="1549" customFormat="false" ht="15" hidden="false" customHeight="false" outlineLevel="0" collapsed="false">
      <c r="A1549" s="37" t="s">
        <v>207</v>
      </c>
      <c r="B1549" s="37" t="s">
        <v>227</v>
      </c>
      <c r="C1549" s="37" t="s">
        <v>179</v>
      </c>
      <c r="D1549" s="37" t="s">
        <v>89</v>
      </c>
      <c r="E1549" s="38" t="n">
        <f aca="false">'Matrice des notes'!AD47</f>
        <v>4</v>
      </c>
      <c r="F1549" s="37" t="s">
        <v>810</v>
      </c>
      <c r="G1549" s="39" t="s">
        <v>905</v>
      </c>
    </row>
    <row r="1550" customFormat="false" ht="15" hidden="false" customHeight="false" outlineLevel="0" collapsed="false">
      <c r="A1550" s="37" t="s">
        <v>207</v>
      </c>
      <c r="B1550" s="37" t="s">
        <v>227</v>
      </c>
      <c r="C1550" s="37" t="s">
        <v>179</v>
      </c>
      <c r="D1550" s="37" t="s">
        <v>92</v>
      </c>
      <c r="E1550" s="38" t="n">
        <f aca="false">'Matrice des notes'!AE47</f>
        <v>2</v>
      </c>
      <c r="F1550" s="37" t="s">
        <v>900</v>
      </c>
      <c r="G1550" s="39" t="s">
        <v>901</v>
      </c>
    </row>
    <row r="1551" customFormat="false" ht="15" hidden="false" customHeight="false" outlineLevel="0" collapsed="false">
      <c r="A1551" s="37" t="s">
        <v>207</v>
      </c>
      <c r="B1551" s="37" t="s">
        <v>227</v>
      </c>
      <c r="C1551" s="37" t="s">
        <v>180</v>
      </c>
      <c r="D1551" s="37" t="s">
        <v>95</v>
      </c>
      <c r="E1551" s="38" t="n">
        <f aca="false">'Matrice des notes'!AF47</f>
        <v>1</v>
      </c>
      <c r="F1551" s="37" t="s">
        <v>631</v>
      </c>
      <c r="G1551" s="39" t="s">
        <v>654</v>
      </c>
    </row>
    <row r="1552" customFormat="false" ht="15" hidden="false" customHeight="false" outlineLevel="0" collapsed="false">
      <c r="A1552" s="37" t="s">
        <v>207</v>
      </c>
      <c r="B1552" s="37" t="s">
        <v>227</v>
      </c>
      <c r="C1552" s="37" t="s">
        <v>180</v>
      </c>
      <c r="D1552" s="37" t="s">
        <v>99</v>
      </c>
      <c r="E1552" s="38" t="n">
        <f aca="false">'Matrice des notes'!AG47</f>
        <v>1</v>
      </c>
      <c r="F1552" s="37" t="s">
        <v>655</v>
      </c>
      <c r="G1552" s="39" t="s">
        <v>656</v>
      </c>
    </row>
    <row r="1553" customFormat="false" ht="15" hidden="false" customHeight="false" outlineLevel="0" collapsed="false">
      <c r="A1553" s="37" t="s">
        <v>207</v>
      </c>
      <c r="B1553" s="37" t="s">
        <v>227</v>
      </c>
      <c r="C1553" s="37" t="s">
        <v>180</v>
      </c>
      <c r="D1553" s="37" t="s">
        <v>102</v>
      </c>
      <c r="E1553" s="38" t="n">
        <f aca="false">'Matrice des notes'!AH47</f>
        <v>1</v>
      </c>
      <c r="F1553" s="37" t="s">
        <v>655</v>
      </c>
      <c r="G1553" s="39" t="s">
        <v>656</v>
      </c>
    </row>
    <row r="1554" customFormat="false" ht="15" hidden="false" customHeight="false" outlineLevel="0" collapsed="false">
      <c r="A1554" s="37" t="s">
        <v>207</v>
      </c>
      <c r="B1554" s="37" t="s">
        <v>227</v>
      </c>
      <c r="C1554" s="37" t="s">
        <v>180</v>
      </c>
      <c r="D1554" s="37" t="s">
        <v>104</v>
      </c>
      <c r="E1554" s="38" t="n">
        <f aca="false">'Matrice des notes'!AI47</f>
        <v>1</v>
      </c>
      <c r="F1554" s="37" t="s">
        <v>631</v>
      </c>
      <c r="G1554" s="39" t="s">
        <v>654</v>
      </c>
    </row>
    <row r="1555" customFormat="false" ht="15" hidden="false" customHeight="false" outlineLevel="0" collapsed="false">
      <c r="A1555" s="37" t="s">
        <v>207</v>
      </c>
      <c r="B1555" s="37" t="s">
        <v>227</v>
      </c>
      <c r="C1555" s="37" t="s">
        <v>180</v>
      </c>
      <c r="D1555" s="37" t="s">
        <v>107</v>
      </c>
      <c r="E1555" s="38" t="n">
        <f aca="false">'Matrice des notes'!AJ47</f>
        <v>1</v>
      </c>
      <c r="F1555" s="37" t="s">
        <v>631</v>
      </c>
      <c r="G1555" s="39" t="s">
        <v>654</v>
      </c>
    </row>
    <row r="1556" customFormat="false" ht="15" hidden="false" customHeight="false" outlineLevel="0" collapsed="false">
      <c r="A1556" s="37" t="s">
        <v>207</v>
      </c>
      <c r="B1556" s="37" t="s">
        <v>227</v>
      </c>
      <c r="C1556" s="37" t="s">
        <v>180</v>
      </c>
      <c r="D1556" s="37" t="s">
        <v>110</v>
      </c>
      <c r="E1556" s="38" t="n">
        <f aca="false">'Matrice des notes'!AK47</f>
        <v>1</v>
      </c>
      <c r="F1556" s="37" t="s">
        <v>631</v>
      </c>
      <c r="G1556" s="39" t="s">
        <v>654</v>
      </c>
    </row>
    <row r="1557" customFormat="false" ht="15" hidden="false" customHeight="false" outlineLevel="0" collapsed="false">
      <c r="A1557" s="37" t="s">
        <v>207</v>
      </c>
      <c r="B1557" s="37" t="s">
        <v>227</v>
      </c>
      <c r="C1557" s="37" t="s">
        <v>180</v>
      </c>
      <c r="D1557" s="37" t="s">
        <v>113</v>
      </c>
      <c r="E1557" s="38" t="n">
        <f aca="false">'Matrice des notes'!AL47</f>
        <v>1</v>
      </c>
      <c r="F1557" s="37" t="s">
        <v>631</v>
      </c>
      <c r="G1557" s="39" t="s">
        <v>654</v>
      </c>
    </row>
    <row r="1558" customFormat="false" ht="15" hidden="false" customHeight="false" outlineLevel="0" collapsed="false">
      <c r="A1558" s="37" t="s">
        <v>207</v>
      </c>
      <c r="B1558" s="37" t="s">
        <v>227</v>
      </c>
      <c r="C1558" s="37" t="s">
        <v>180</v>
      </c>
      <c r="D1558" s="37" t="s">
        <v>116</v>
      </c>
      <c r="E1558" s="38" t="n">
        <f aca="false">'Matrice des notes'!AM47</f>
        <v>1</v>
      </c>
      <c r="F1558" s="37" t="s">
        <v>655</v>
      </c>
      <c r="G1558" s="39" t="s">
        <v>656</v>
      </c>
    </row>
    <row r="1559" customFormat="false" ht="15" hidden="false" customHeight="false" outlineLevel="0" collapsed="false">
      <c r="A1559" s="37" t="s">
        <v>207</v>
      </c>
      <c r="B1559" s="37" t="s">
        <v>227</v>
      </c>
      <c r="C1559" s="37" t="s">
        <v>180</v>
      </c>
      <c r="D1559" s="37" t="s">
        <v>119</v>
      </c>
      <c r="E1559" s="38" t="n">
        <f aca="false">'Matrice des notes'!AN47</f>
        <v>1</v>
      </c>
      <c r="F1559" s="37" t="s">
        <v>631</v>
      </c>
      <c r="G1559" s="39" t="s">
        <v>654</v>
      </c>
    </row>
    <row r="1560" customFormat="false" ht="15" hidden="false" customHeight="false" outlineLevel="0" collapsed="false">
      <c r="A1560" s="37" t="s">
        <v>207</v>
      </c>
      <c r="B1560" s="37" t="s">
        <v>227</v>
      </c>
      <c r="C1560" s="37" t="s">
        <v>180</v>
      </c>
      <c r="D1560" s="37" t="s">
        <v>121</v>
      </c>
      <c r="E1560" s="38" t="n">
        <f aca="false">'Matrice des notes'!AO47</f>
        <v>1</v>
      </c>
      <c r="F1560" s="37" t="s">
        <v>657</v>
      </c>
      <c r="G1560" s="39" t="s">
        <v>658</v>
      </c>
    </row>
    <row r="1561" customFormat="false" ht="15" hidden="false" customHeight="false" outlineLevel="0" collapsed="false">
      <c r="A1561" s="37" t="s">
        <v>207</v>
      </c>
      <c r="B1561" s="37" t="s">
        <v>227</v>
      </c>
      <c r="C1561" s="37" t="s">
        <v>180</v>
      </c>
      <c r="D1561" s="37" t="s">
        <v>124</v>
      </c>
      <c r="E1561" s="38" t="n">
        <f aca="false">'Matrice des notes'!AP47</f>
        <v>1</v>
      </c>
      <c r="F1561" s="37" t="s">
        <v>863</v>
      </c>
      <c r="G1561" s="39" t="s">
        <v>864</v>
      </c>
    </row>
    <row r="1562" customFormat="false" ht="22.35" hidden="false" customHeight="false" outlineLevel="0" collapsed="false">
      <c r="A1562" s="37" t="s">
        <v>207</v>
      </c>
      <c r="B1562" s="37" t="s">
        <v>228</v>
      </c>
      <c r="C1562" s="37" t="s">
        <v>178</v>
      </c>
      <c r="D1562" s="37" t="s">
        <v>7</v>
      </c>
      <c r="E1562" s="38" t="n">
        <f aca="false">'Matrice des notes'!D48</f>
        <v>1</v>
      </c>
      <c r="F1562" s="37" t="s">
        <v>720</v>
      </c>
      <c r="G1562" s="39" t="s">
        <v>890</v>
      </c>
    </row>
    <row r="1563" customFormat="false" ht="15" hidden="false" customHeight="false" outlineLevel="0" collapsed="false">
      <c r="A1563" s="37" t="s">
        <v>207</v>
      </c>
      <c r="B1563" s="37" t="s">
        <v>228</v>
      </c>
      <c r="C1563" s="37" t="s">
        <v>178</v>
      </c>
      <c r="D1563" s="37" t="s">
        <v>11</v>
      </c>
      <c r="E1563" s="38" t="n">
        <f aca="false">'Matrice des notes'!E48</f>
        <v>1</v>
      </c>
      <c r="F1563" s="37" t="s">
        <v>839</v>
      </c>
      <c r="G1563" s="39" t="s">
        <v>840</v>
      </c>
    </row>
    <row r="1564" customFormat="false" ht="15" hidden="false" customHeight="false" outlineLevel="0" collapsed="false">
      <c r="A1564" s="37" t="s">
        <v>207</v>
      </c>
      <c r="B1564" s="37" t="s">
        <v>228</v>
      </c>
      <c r="C1564" s="37" t="s">
        <v>178</v>
      </c>
      <c r="D1564" s="37" t="s">
        <v>14</v>
      </c>
      <c r="E1564" s="38" t="n">
        <f aca="false">'Matrice des notes'!F48</f>
        <v>1</v>
      </c>
      <c r="F1564" s="37" t="s">
        <v>677</v>
      </c>
      <c r="G1564" s="39" t="s">
        <v>841</v>
      </c>
    </row>
    <row r="1565" customFormat="false" ht="15" hidden="false" customHeight="false" outlineLevel="0" collapsed="false">
      <c r="A1565" s="37" t="s">
        <v>207</v>
      </c>
      <c r="B1565" s="37" t="s">
        <v>228</v>
      </c>
      <c r="C1565" s="37" t="s">
        <v>178</v>
      </c>
      <c r="D1565" s="37" t="s">
        <v>17</v>
      </c>
      <c r="E1565" s="38" t="n">
        <f aca="false">'Matrice des notes'!G48</f>
        <v>1</v>
      </c>
      <c r="F1565" s="37" t="s">
        <v>842</v>
      </c>
      <c r="G1565" s="39" t="s">
        <v>843</v>
      </c>
    </row>
    <row r="1566" customFormat="false" ht="15" hidden="false" customHeight="false" outlineLevel="0" collapsed="false">
      <c r="A1566" s="37" t="s">
        <v>207</v>
      </c>
      <c r="B1566" s="37" t="s">
        <v>228</v>
      </c>
      <c r="C1566" s="37" t="s">
        <v>178</v>
      </c>
      <c r="D1566" s="37" t="s">
        <v>20</v>
      </c>
      <c r="E1566" s="38" t="n">
        <f aca="false">'Matrice des notes'!H48</f>
        <v>1</v>
      </c>
      <c r="F1566" s="37" t="s">
        <v>839</v>
      </c>
      <c r="G1566" s="39" t="s">
        <v>844</v>
      </c>
    </row>
    <row r="1567" customFormat="false" ht="15" hidden="false" customHeight="false" outlineLevel="0" collapsed="false">
      <c r="A1567" s="37" t="s">
        <v>207</v>
      </c>
      <c r="B1567" s="37" t="s">
        <v>228</v>
      </c>
      <c r="C1567" s="37" t="s">
        <v>178</v>
      </c>
      <c r="D1567" s="37" t="s">
        <v>23</v>
      </c>
      <c r="E1567" s="38" t="n">
        <f aca="false">'Matrice des notes'!I48</f>
        <v>1</v>
      </c>
      <c r="F1567" s="37" t="s">
        <v>839</v>
      </c>
      <c r="G1567" s="39" t="s">
        <v>845</v>
      </c>
    </row>
    <row r="1568" customFormat="false" ht="15" hidden="false" customHeight="false" outlineLevel="0" collapsed="false">
      <c r="A1568" s="37" t="s">
        <v>207</v>
      </c>
      <c r="B1568" s="37" t="s">
        <v>228</v>
      </c>
      <c r="C1568" s="37" t="s">
        <v>178</v>
      </c>
      <c r="D1568" s="37" t="s">
        <v>26</v>
      </c>
      <c r="E1568" s="38" t="n">
        <f aca="false">'Matrice des notes'!J48</f>
        <v>1</v>
      </c>
      <c r="F1568" s="37" t="s">
        <v>835</v>
      </c>
      <c r="G1568" s="39" t="s">
        <v>846</v>
      </c>
    </row>
    <row r="1569" customFormat="false" ht="15" hidden="false" customHeight="false" outlineLevel="0" collapsed="false">
      <c r="A1569" s="37" t="s">
        <v>207</v>
      </c>
      <c r="B1569" s="37" t="s">
        <v>228</v>
      </c>
      <c r="C1569" s="37" t="s">
        <v>178</v>
      </c>
      <c r="D1569" s="37" t="s">
        <v>30</v>
      </c>
      <c r="E1569" s="38" t="n">
        <f aca="false">'Matrice des notes'!K48</f>
        <v>1</v>
      </c>
      <c r="F1569" s="37" t="s">
        <v>677</v>
      </c>
      <c r="G1569" s="39" t="s">
        <v>847</v>
      </c>
    </row>
    <row r="1570" customFormat="false" ht="15" hidden="false" customHeight="false" outlineLevel="0" collapsed="false">
      <c r="A1570" s="37" t="s">
        <v>207</v>
      </c>
      <c r="B1570" s="37" t="s">
        <v>228</v>
      </c>
      <c r="C1570" s="37" t="s">
        <v>178</v>
      </c>
      <c r="D1570" s="37" t="s">
        <v>34</v>
      </c>
      <c r="E1570" s="38" t="n">
        <f aca="false">'Matrice des notes'!L48</f>
        <v>1</v>
      </c>
      <c r="F1570" s="37" t="s">
        <v>891</v>
      </c>
      <c r="G1570" s="39" t="s">
        <v>892</v>
      </c>
    </row>
    <row r="1571" customFormat="false" ht="15" hidden="false" customHeight="false" outlineLevel="0" collapsed="false">
      <c r="A1571" s="37" t="s">
        <v>207</v>
      </c>
      <c r="B1571" s="37" t="s">
        <v>228</v>
      </c>
      <c r="C1571" s="37" t="s">
        <v>178</v>
      </c>
      <c r="D1571" s="37" t="s">
        <v>37</v>
      </c>
      <c r="E1571" s="38" t="n">
        <f aca="false">'Matrice des notes'!M48</f>
        <v>1</v>
      </c>
      <c r="F1571" s="37" t="s">
        <v>812</v>
      </c>
      <c r="G1571" s="39" t="s">
        <v>813</v>
      </c>
    </row>
    <row r="1572" customFormat="false" ht="15" hidden="false" customHeight="false" outlineLevel="0" collapsed="false">
      <c r="A1572" s="37" t="s">
        <v>207</v>
      </c>
      <c r="B1572" s="37" t="s">
        <v>228</v>
      </c>
      <c r="C1572" s="37" t="s">
        <v>178</v>
      </c>
      <c r="D1572" s="37" t="s">
        <v>40</v>
      </c>
      <c r="E1572" s="38" t="n">
        <f aca="false">'Matrice des notes'!N48</f>
        <v>1</v>
      </c>
      <c r="F1572" s="37" t="s">
        <v>849</v>
      </c>
      <c r="G1572" s="39" t="s">
        <v>850</v>
      </c>
    </row>
    <row r="1573" customFormat="false" ht="15" hidden="false" customHeight="false" outlineLevel="0" collapsed="false">
      <c r="A1573" s="37" t="s">
        <v>207</v>
      </c>
      <c r="B1573" s="37" t="s">
        <v>228</v>
      </c>
      <c r="C1573" s="37" t="s">
        <v>178</v>
      </c>
      <c r="D1573" s="37" t="s">
        <v>43</v>
      </c>
      <c r="E1573" s="38" t="n">
        <f aca="false">'Matrice des notes'!O48</f>
        <v>1</v>
      </c>
      <c r="F1573" s="37" t="s">
        <v>816</v>
      </c>
      <c r="G1573" s="39" t="s">
        <v>866</v>
      </c>
    </row>
    <row r="1574" customFormat="false" ht="15" hidden="false" customHeight="false" outlineLevel="0" collapsed="false">
      <c r="A1574" s="37" t="s">
        <v>207</v>
      </c>
      <c r="B1574" s="37" t="s">
        <v>228</v>
      </c>
      <c r="C1574" s="37" t="s">
        <v>178</v>
      </c>
      <c r="D1574" s="37" t="s">
        <v>46</v>
      </c>
      <c r="E1574" s="38" t="n">
        <f aca="false">'Matrice des notes'!P48</f>
        <v>1</v>
      </c>
      <c r="F1574" s="37" t="s">
        <v>839</v>
      </c>
      <c r="G1574" s="39" t="s">
        <v>851</v>
      </c>
    </row>
    <row r="1575" customFormat="false" ht="15" hidden="false" customHeight="false" outlineLevel="0" collapsed="false">
      <c r="A1575" s="37" t="s">
        <v>207</v>
      </c>
      <c r="B1575" s="37" t="s">
        <v>228</v>
      </c>
      <c r="C1575" s="37" t="s">
        <v>179</v>
      </c>
      <c r="D1575" s="37" t="s">
        <v>49</v>
      </c>
      <c r="E1575" s="38" t="n">
        <f aca="false">'Matrice des notes'!Q48</f>
        <v>1</v>
      </c>
      <c r="F1575" s="37" t="s">
        <v>927</v>
      </c>
      <c r="G1575" s="39" t="s">
        <v>928</v>
      </c>
    </row>
    <row r="1576" customFormat="false" ht="15" hidden="false" customHeight="false" outlineLevel="0" collapsed="false">
      <c r="A1576" s="37" t="s">
        <v>207</v>
      </c>
      <c r="B1576" s="37" t="s">
        <v>228</v>
      </c>
      <c r="C1576" s="37" t="s">
        <v>179</v>
      </c>
      <c r="D1576" s="37" t="s">
        <v>53</v>
      </c>
      <c r="E1576" s="38" t="n">
        <f aca="false">'Matrice des notes'!R48</f>
        <v>1</v>
      </c>
      <c r="F1576" s="37" t="s">
        <v>891</v>
      </c>
      <c r="G1576" s="39" t="s">
        <v>893</v>
      </c>
    </row>
    <row r="1577" customFormat="false" ht="15" hidden="false" customHeight="false" outlineLevel="0" collapsed="false">
      <c r="A1577" s="37" t="s">
        <v>207</v>
      </c>
      <c r="B1577" s="37" t="s">
        <v>228</v>
      </c>
      <c r="C1577" s="37" t="s">
        <v>179</v>
      </c>
      <c r="D1577" s="37" t="s">
        <v>56</v>
      </c>
      <c r="E1577" s="38" t="n">
        <f aca="false">'Matrice des notes'!S48</f>
        <v>1</v>
      </c>
      <c r="F1577" s="37" t="s">
        <v>839</v>
      </c>
      <c r="G1577" s="39" t="s">
        <v>854</v>
      </c>
    </row>
    <row r="1578" customFormat="false" ht="15" hidden="false" customHeight="false" outlineLevel="0" collapsed="false">
      <c r="A1578" s="37" t="s">
        <v>207</v>
      </c>
      <c r="B1578" s="37" t="s">
        <v>228</v>
      </c>
      <c r="C1578" s="37" t="s">
        <v>179</v>
      </c>
      <c r="D1578" s="37" t="s">
        <v>59</v>
      </c>
      <c r="E1578" s="38" t="n">
        <f aca="false">'Matrice des notes'!T48</f>
        <v>1</v>
      </c>
      <c r="F1578" s="37" t="s">
        <v>839</v>
      </c>
      <c r="G1578" s="39" t="s">
        <v>855</v>
      </c>
    </row>
    <row r="1579" customFormat="false" ht="15" hidden="false" customHeight="false" outlineLevel="0" collapsed="false">
      <c r="A1579" s="37" t="s">
        <v>207</v>
      </c>
      <c r="B1579" s="37" t="s">
        <v>228</v>
      </c>
      <c r="C1579" s="37" t="s">
        <v>179</v>
      </c>
      <c r="D1579" s="37" t="s">
        <v>62</v>
      </c>
      <c r="E1579" s="38" t="n">
        <f aca="false">'Matrice des notes'!U48</f>
        <v>1</v>
      </c>
      <c r="F1579" s="37" t="s">
        <v>927</v>
      </c>
      <c r="G1579" s="39" t="s">
        <v>929</v>
      </c>
    </row>
    <row r="1580" customFormat="false" ht="22.35" hidden="false" customHeight="false" outlineLevel="0" collapsed="false">
      <c r="A1580" s="37" t="s">
        <v>207</v>
      </c>
      <c r="B1580" s="37" t="s">
        <v>228</v>
      </c>
      <c r="C1580" s="37" t="s">
        <v>179</v>
      </c>
      <c r="D1580" s="37" t="s">
        <v>65</v>
      </c>
      <c r="E1580" s="38" t="n">
        <f aca="false">'Matrice des notes'!V48</f>
        <v>1</v>
      </c>
      <c r="F1580" s="37" t="s">
        <v>891</v>
      </c>
      <c r="G1580" s="39" t="s">
        <v>914</v>
      </c>
    </row>
    <row r="1581" customFormat="false" ht="15" hidden="false" customHeight="false" outlineLevel="0" collapsed="false">
      <c r="A1581" s="37" t="s">
        <v>207</v>
      </c>
      <c r="B1581" s="37" t="s">
        <v>228</v>
      </c>
      <c r="C1581" s="37" t="s">
        <v>179</v>
      </c>
      <c r="D1581" s="37" t="s">
        <v>68</v>
      </c>
      <c r="E1581" s="38" t="n">
        <f aca="false">'Matrice des notes'!W48</f>
        <v>1</v>
      </c>
      <c r="F1581" s="37" t="s">
        <v>827</v>
      </c>
      <c r="G1581" s="39" t="s">
        <v>872</v>
      </c>
    </row>
    <row r="1582" customFormat="false" ht="15" hidden="false" customHeight="false" outlineLevel="0" collapsed="false">
      <c r="A1582" s="37" t="s">
        <v>207</v>
      </c>
      <c r="B1582" s="37" t="s">
        <v>228</v>
      </c>
      <c r="C1582" s="37" t="s">
        <v>179</v>
      </c>
      <c r="D1582" s="37" t="s">
        <v>71</v>
      </c>
      <c r="E1582" s="38" t="n">
        <f aca="false">'Matrice des notes'!X48</f>
        <v>1</v>
      </c>
      <c r="F1582" s="37" t="s">
        <v>708</v>
      </c>
      <c r="G1582" s="39" t="s">
        <v>857</v>
      </c>
    </row>
    <row r="1583" customFormat="false" ht="15" hidden="false" customHeight="false" outlineLevel="0" collapsed="false">
      <c r="A1583" s="37" t="s">
        <v>207</v>
      </c>
      <c r="B1583" s="37" t="s">
        <v>228</v>
      </c>
      <c r="C1583" s="37" t="s">
        <v>179</v>
      </c>
      <c r="D1583" s="37" t="s">
        <v>74</v>
      </c>
      <c r="E1583" s="38" t="n">
        <f aca="false">'Matrice des notes'!Y48</f>
        <v>1</v>
      </c>
      <c r="F1583" s="37" t="s">
        <v>915</v>
      </c>
      <c r="G1583" s="39" t="s">
        <v>916</v>
      </c>
    </row>
    <row r="1584" customFormat="false" ht="15" hidden="false" customHeight="false" outlineLevel="0" collapsed="false">
      <c r="A1584" s="37" t="s">
        <v>207</v>
      </c>
      <c r="B1584" s="37" t="s">
        <v>228</v>
      </c>
      <c r="C1584" s="37" t="s">
        <v>179</v>
      </c>
      <c r="D1584" s="37" t="s">
        <v>77</v>
      </c>
      <c r="E1584" s="38" t="n">
        <f aca="false">'Matrice des notes'!Z48</f>
        <v>1</v>
      </c>
      <c r="F1584" s="37" t="s">
        <v>842</v>
      </c>
      <c r="G1584" s="39" t="s">
        <v>858</v>
      </c>
    </row>
    <row r="1585" customFormat="false" ht="15" hidden="false" customHeight="false" outlineLevel="0" collapsed="false">
      <c r="A1585" s="37" t="s">
        <v>207</v>
      </c>
      <c r="B1585" s="37" t="s">
        <v>228</v>
      </c>
      <c r="C1585" s="37" t="s">
        <v>179</v>
      </c>
      <c r="D1585" s="37" t="s">
        <v>80</v>
      </c>
      <c r="E1585" s="38" t="n">
        <f aca="false">'Matrice des notes'!AA48</f>
        <v>1</v>
      </c>
      <c r="F1585" s="37" t="s">
        <v>917</v>
      </c>
      <c r="G1585" s="39" t="s">
        <v>918</v>
      </c>
    </row>
    <row r="1586" customFormat="false" ht="15" hidden="false" customHeight="false" outlineLevel="0" collapsed="false">
      <c r="A1586" s="37" t="s">
        <v>207</v>
      </c>
      <c r="B1586" s="37" t="s">
        <v>228</v>
      </c>
      <c r="C1586" s="37" t="s">
        <v>179</v>
      </c>
      <c r="D1586" s="37" t="s">
        <v>83</v>
      </c>
      <c r="E1586" s="38" t="n">
        <f aca="false">'Matrice des notes'!AB48</f>
        <v>1</v>
      </c>
      <c r="F1586" s="37" t="s">
        <v>944</v>
      </c>
      <c r="G1586" s="39" t="s">
        <v>945</v>
      </c>
    </row>
    <row r="1587" customFormat="false" ht="22.35" hidden="false" customHeight="false" outlineLevel="0" collapsed="false">
      <c r="A1587" s="37" t="s">
        <v>207</v>
      </c>
      <c r="B1587" s="37" t="s">
        <v>228</v>
      </c>
      <c r="C1587" s="37" t="s">
        <v>179</v>
      </c>
      <c r="D1587" s="37" t="s">
        <v>86</v>
      </c>
      <c r="E1587" s="38" t="n">
        <f aca="false">'Matrice des notes'!AC48</f>
        <v>2</v>
      </c>
      <c r="F1587" s="37" t="s">
        <v>946</v>
      </c>
      <c r="G1587" s="39" t="s">
        <v>947</v>
      </c>
    </row>
    <row r="1588" customFormat="false" ht="22.35" hidden="false" customHeight="false" outlineLevel="0" collapsed="false">
      <c r="A1588" s="37" t="s">
        <v>207</v>
      </c>
      <c r="B1588" s="37" t="s">
        <v>228</v>
      </c>
      <c r="C1588" s="37" t="s">
        <v>179</v>
      </c>
      <c r="D1588" s="37" t="s">
        <v>89</v>
      </c>
      <c r="E1588" s="38" t="n">
        <f aca="false">'Matrice des notes'!AD48</f>
        <v>2</v>
      </c>
      <c r="F1588" s="37" t="s">
        <v>948</v>
      </c>
      <c r="G1588" s="39" t="s">
        <v>949</v>
      </c>
    </row>
    <row r="1589" customFormat="false" ht="15" hidden="false" customHeight="false" outlineLevel="0" collapsed="false">
      <c r="A1589" s="37" t="s">
        <v>207</v>
      </c>
      <c r="B1589" s="37" t="s">
        <v>228</v>
      </c>
      <c r="C1589" s="37" t="s">
        <v>179</v>
      </c>
      <c r="D1589" s="37" t="s">
        <v>92</v>
      </c>
      <c r="E1589" s="38" t="n">
        <f aca="false">'Matrice des notes'!AE48</f>
        <v>2</v>
      </c>
      <c r="F1589" s="37" t="s">
        <v>950</v>
      </c>
      <c r="G1589" s="39" t="s">
        <v>951</v>
      </c>
    </row>
    <row r="1590" customFormat="false" ht="15" hidden="false" customHeight="false" outlineLevel="0" collapsed="false">
      <c r="A1590" s="37" t="s">
        <v>207</v>
      </c>
      <c r="B1590" s="37" t="s">
        <v>228</v>
      </c>
      <c r="C1590" s="37" t="s">
        <v>180</v>
      </c>
      <c r="D1590" s="37" t="s">
        <v>95</v>
      </c>
      <c r="E1590" s="38" t="n">
        <f aca="false">'Matrice des notes'!AF48</f>
        <v>1</v>
      </c>
      <c r="F1590" s="37" t="s">
        <v>631</v>
      </c>
      <c r="G1590" s="39" t="s">
        <v>654</v>
      </c>
    </row>
    <row r="1591" customFormat="false" ht="15" hidden="false" customHeight="false" outlineLevel="0" collapsed="false">
      <c r="A1591" s="37" t="s">
        <v>207</v>
      </c>
      <c r="B1591" s="37" t="s">
        <v>228</v>
      </c>
      <c r="C1591" s="37" t="s">
        <v>180</v>
      </c>
      <c r="D1591" s="37" t="s">
        <v>99</v>
      </c>
      <c r="E1591" s="38" t="n">
        <f aca="false">'Matrice des notes'!AG48</f>
        <v>1</v>
      </c>
      <c r="F1591" s="37" t="s">
        <v>655</v>
      </c>
      <c r="G1591" s="39" t="s">
        <v>656</v>
      </c>
    </row>
    <row r="1592" customFormat="false" ht="15" hidden="false" customHeight="false" outlineLevel="0" collapsed="false">
      <c r="A1592" s="37" t="s">
        <v>207</v>
      </c>
      <c r="B1592" s="37" t="s">
        <v>228</v>
      </c>
      <c r="C1592" s="37" t="s">
        <v>180</v>
      </c>
      <c r="D1592" s="37" t="s">
        <v>102</v>
      </c>
      <c r="E1592" s="38" t="n">
        <f aca="false">'Matrice des notes'!AH48</f>
        <v>1</v>
      </c>
      <c r="F1592" s="37" t="s">
        <v>655</v>
      </c>
      <c r="G1592" s="39" t="s">
        <v>656</v>
      </c>
    </row>
    <row r="1593" customFormat="false" ht="15" hidden="false" customHeight="false" outlineLevel="0" collapsed="false">
      <c r="A1593" s="37" t="s">
        <v>207</v>
      </c>
      <c r="B1593" s="37" t="s">
        <v>228</v>
      </c>
      <c r="C1593" s="37" t="s">
        <v>180</v>
      </c>
      <c r="D1593" s="37" t="s">
        <v>104</v>
      </c>
      <c r="E1593" s="38" t="n">
        <f aca="false">'Matrice des notes'!AI48</f>
        <v>1</v>
      </c>
      <c r="F1593" s="37" t="s">
        <v>631</v>
      </c>
      <c r="G1593" s="39" t="s">
        <v>654</v>
      </c>
    </row>
    <row r="1594" customFormat="false" ht="15" hidden="false" customHeight="false" outlineLevel="0" collapsed="false">
      <c r="A1594" s="37" t="s">
        <v>207</v>
      </c>
      <c r="B1594" s="37" t="s">
        <v>228</v>
      </c>
      <c r="C1594" s="37" t="s">
        <v>180</v>
      </c>
      <c r="D1594" s="37" t="s">
        <v>107</v>
      </c>
      <c r="E1594" s="38" t="n">
        <f aca="false">'Matrice des notes'!AJ48</f>
        <v>1</v>
      </c>
      <c r="F1594" s="37" t="s">
        <v>631</v>
      </c>
      <c r="G1594" s="39" t="s">
        <v>654</v>
      </c>
    </row>
    <row r="1595" customFormat="false" ht="15" hidden="false" customHeight="false" outlineLevel="0" collapsed="false">
      <c r="A1595" s="37" t="s">
        <v>207</v>
      </c>
      <c r="B1595" s="37" t="s">
        <v>228</v>
      </c>
      <c r="C1595" s="37" t="s">
        <v>180</v>
      </c>
      <c r="D1595" s="37" t="s">
        <v>110</v>
      </c>
      <c r="E1595" s="38" t="n">
        <f aca="false">'Matrice des notes'!AK48</f>
        <v>1</v>
      </c>
      <c r="F1595" s="37" t="s">
        <v>631</v>
      </c>
      <c r="G1595" s="39" t="s">
        <v>654</v>
      </c>
    </row>
    <row r="1596" customFormat="false" ht="15" hidden="false" customHeight="false" outlineLevel="0" collapsed="false">
      <c r="A1596" s="37" t="s">
        <v>207</v>
      </c>
      <c r="B1596" s="37" t="s">
        <v>228</v>
      </c>
      <c r="C1596" s="37" t="s">
        <v>180</v>
      </c>
      <c r="D1596" s="37" t="s">
        <v>113</v>
      </c>
      <c r="E1596" s="38" t="n">
        <f aca="false">'Matrice des notes'!AL48</f>
        <v>1</v>
      </c>
      <c r="F1596" s="37" t="s">
        <v>631</v>
      </c>
      <c r="G1596" s="39" t="s">
        <v>654</v>
      </c>
    </row>
    <row r="1597" customFormat="false" ht="15" hidden="false" customHeight="false" outlineLevel="0" collapsed="false">
      <c r="A1597" s="37" t="s">
        <v>207</v>
      </c>
      <c r="B1597" s="37" t="s">
        <v>228</v>
      </c>
      <c r="C1597" s="37" t="s">
        <v>180</v>
      </c>
      <c r="D1597" s="37" t="s">
        <v>116</v>
      </c>
      <c r="E1597" s="38" t="n">
        <f aca="false">'Matrice des notes'!AM48</f>
        <v>1</v>
      </c>
      <c r="F1597" s="37" t="s">
        <v>655</v>
      </c>
      <c r="G1597" s="39" t="s">
        <v>656</v>
      </c>
    </row>
    <row r="1598" customFormat="false" ht="15" hidden="false" customHeight="false" outlineLevel="0" collapsed="false">
      <c r="A1598" s="37" t="s">
        <v>207</v>
      </c>
      <c r="B1598" s="37" t="s">
        <v>228</v>
      </c>
      <c r="C1598" s="37" t="s">
        <v>180</v>
      </c>
      <c r="D1598" s="37" t="s">
        <v>119</v>
      </c>
      <c r="E1598" s="38" t="n">
        <f aca="false">'Matrice des notes'!AN48</f>
        <v>1</v>
      </c>
      <c r="F1598" s="37" t="s">
        <v>631</v>
      </c>
      <c r="G1598" s="39" t="s">
        <v>654</v>
      </c>
    </row>
    <row r="1599" customFormat="false" ht="15" hidden="false" customHeight="false" outlineLevel="0" collapsed="false">
      <c r="A1599" s="37" t="s">
        <v>207</v>
      </c>
      <c r="B1599" s="37" t="s">
        <v>228</v>
      </c>
      <c r="C1599" s="37" t="s">
        <v>180</v>
      </c>
      <c r="D1599" s="37" t="s">
        <v>121</v>
      </c>
      <c r="E1599" s="38" t="n">
        <f aca="false">'Matrice des notes'!AO48</f>
        <v>1</v>
      </c>
      <c r="F1599" s="37" t="s">
        <v>657</v>
      </c>
      <c r="G1599" s="39" t="s">
        <v>658</v>
      </c>
    </row>
    <row r="1600" customFormat="false" ht="15" hidden="false" customHeight="false" outlineLevel="0" collapsed="false">
      <c r="A1600" s="37" t="s">
        <v>207</v>
      </c>
      <c r="B1600" s="37" t="s">
        <v>228</v>
      </c>
      <c r="C1600" s="37" t="s">
        <v>180</v>
      </c>
      <c r="D1600" s="37" t="s">
        <v>124</v>
      </c>
      <c r="E1600" s="38" t="n">
        <f aca="false">'Matrice des notes'!AP48</f>
        <v>1</v>
      </c>
      <c r="F1600" s="37" t="s">
        <v>863</v>
      </c>
      <c r="G1600" s="39" t="s">
        <v>864</v>
      </c>
    </row>
    <row r="1601" customFormat="false" ht="22.35" hidden="false" customHeight="false" outlineLevel="0" collapsed="false">
      <c r="A1601" s="37" t="s">
        <v>207</v>
      </c>
      <c r="B1601" s="37" t="s">
        <v>229</v>
      </c>
      <c r="C1601" s="37" t="s">
        <v>178</v>
      </c>
      <c r="D1601" s="37" t="s">
        <v>7</v>
      </c>
      <c r="E1601" s="38" t="n">
        <f aca="false">'Matrice des notes'!D49</f>
        <v>1</v>
      </c>
      <c r="F1601" s="37" t="s">
        <v>720</v>
      </c>
      <c r="G1601" s="39" t="s">
        <v>890</v>
      </c>
    </row>
    <row r="1602" customFormat="false" ht="15" hidden="false" customHeight="false" outlineLevel="0" collapsed="false">
      <c r="A1602" s="37" t="s">
        <v>207</v>
      </c>
      <c r="B1602" s="37" t="s">
        <v>229</v>
      </c>
      <c r="C1602" s="37" t="s">
        <v>178</v>
      </c>
      <c r="D1602" s="37" t="s">
        <v>11</v>
      </c>
      <c r="E1602" s="38" t="n">
        <f aca="false">'Matrice des notes'!E49</f>
        <v>1</v>
      </c>
      <c r="F1602" s="37" t="s">
        <v>839</v>
      </c>
      <c r="G1602" s="39" t="s">
        <v>840</v>
      </c>
    </row>
    <row r="1603" customFormat="false" ht="15" hidden="false" customHeight="false" outlineLevel="0" collapsed="false">
      <c r="A1603" s="37" t="s">
        <v>207</v>
      </c>
      <c r="B1603" s="37" t="s">
        <v>229</v>
      </c>
      <c r="C1603" s="37" t="s">
        <v>178</v>
      </c>
      <c r="D1603" s="37" t="s">
        <v>14</v>
      </c>
      <c r="E1603" s="38" t="n">
        <f aca="false">'Matrice des notes'!F49</f>
        <v>1</v>
      </c>
      <c r="F1603" s="37" t="s">
        <v>677</v>
      </c>
      <c r="G1603" s="39" t="s">
        <v>841</v>
      </c>
    </row>
    <row r="1604" customFormat="false" ht="15" hidden="false" customHeight="false" outlineLevel="0" collapsed="false">
      <c r="A1604" s="37" t="s">
        <v>207</v>
      </c>
      <c r="B1604" s="37" t="s">
        <v>229</v>
      </c>
      <c r="C1604" s="37" t="s">
        <v>178</v>
      </c>
      <c r="D1604" s="37" t="s">
        <v>17</v>
      </c>
      <c r="E1604" s="38" t="n">
        <f aca="false">'Matrice des notes'!G49</f>
        <v>1</v>
      </c>
      <c r="F1604" s="37" t="s">
        <v>842</v>
      </c>
      <c r="G1604" s="39" t="s">
        <v>843</v>
      </c>
    </row>
    <row r="1605" customFormat="false" ht="15" hidden="false" customHeight="false" outlineLevel="0" collapsed="false">
      <c r="A1605" s="37" t="s">
        <v>207</v>
      </c>
      <c r="B1605" s="37" t="s">
        <v>229</v>
      </c>
      <c r="C1605" s="37" t="s">
        <v>178</v>
      </c>
      <c r="D1605" s="37" t="s">
        <v>20</v>
      </c>
      <c r="E1605" s="38" t="n">
        <f aca="false">'Matrice des notes'!H49</f>
        <v>1</v>
      </c>
      <c r="F1605" s="37" t="s">
        <v>839</v>
      </c>
      <c r="G1605" s="39" t="s">
        <v>844</v>
      </c>
    </row>
    <row r="1606" customFormat="false" ht="15" hidden="false" customHeight="false" outlineLevel="0" collapsed="false">
      <c r="A1606" s="37" t="s">
        <v>207</v>
      </c>
      <c r="B1606" s="37" t="s">
        <v>229</v>
      </c>
      <c r="C1606" s="37" t="s">
        <v>178</v>
      </c>
      <c r="D1606" s="37" t="s">
        <v>23</v>
      </c>
      <c r="E1606" s="38" t="n">
        <f aca="false">'Matrice des notes'!I49</f>
        <v>1</v>
      </c>
      <c r="F1606" s="37" t="s">
        <v>839</v>
      </c>
      <c r="G1606" s="39" t="s">
        <v>845</v>
      </c>
    </row>
    <row r="1607" customFormat="false" ht="15" hidden="false" customHeight="false" outlineLevel="0" collapsed="false">
      <c r="A1607" s="37" t="s">
        <v>207</v>
      </c>
      <c r="B1607" s="37" t="s">
        <v>229</v>
      </c>
      <c r="C1607" s="37" t="s">
        <v>178</v>
      </c>
      <c r="D1607" s="37" t="s">
        <v>26</v>
      </c>
      <c r="E1607" s="38" t="n">
        <f aca="false">'Matrice des notes'!J49</f>
        <v>1</v>
      </c>
      <c r="F1607" s="37" t="s">
        <v>835</v>
      </c>
      <c r="G1607" s="39" t="s">
        <v>846</v>
      </c>
    </row>
    <row r="1608" customFormat="false" ht="15" hidden="false" customHeight="false" outlineLevel="0" collapsed="false">
      <c r="A1608" s="37" t="s">
        <v>207</v>
      </c>
      <c r="B1608" s="37" t="s">
        <v>229</v>
      </c>
      <c r="C1608" s="37" t="s">
        <v>178</v>
      </c>
      <c r="D1608" s="37" t="s">
        <v>30</v>
      </c>
      <c r="E1608" s="38" t="n">
        <f aca="false">'Matrice des notes'!K49</f>
        <v>1</v>
      </c>
      <c r="F1608" s="37" t="s">
        <v>677</v>
      </c>
      <c r="G1608" s="39" t="s">
        <v>847</v>
      </c>
    </row>
    <row r="1609" customFormat="false" ht="22.35" hidden="false" customHeight="false" outlineLevel="0" collapsed="false">
      <c r="A1609" s="37" t="s">
        <v>207</v>
      </c>
      <c r="B1609" s="37" t="s">
        <v>229</v>
      </c>
      <c r="C1609" s="37" t="s">
        <v>178</v>
      </c>
      <c r="D1609" s="37" t="s">
        <v>34</v>
      </c>
      <c r="E1609" s="38" t="n">
        <f aca="false">'Matrice des notes'!L49</f>
        <v>1</v>
      </c>
      <c r="F1609" s="37" t="s">
        <v>952</v>
      </c>
      <c r="G1609" s="39" t="s">
        <v>953</v>
      </c>
    </row>
    <row r="1610" customFormat="false" ht="15" hidden="false" customHeight="false" outlineLevel="0" collapsed="false">
      <c r="A1610" s="37" t="s">
        <v>207</v>
      </c>
      <c r="B1610" s="37" t="s">
        <v>229</v>
      </c>
      <c r="C1610" s="37" t="s">
        <v>178</v>
      </c>
      <c r="D1610" s="37" t="s">
        <v>37</v>
      </c>
      <c r="E1610" s="38" t="n">
        <f aca="false">'Matrice des notes'!M49</f>
        <v>1</v>
      </c>
      <c r="F1610" s="37" t="s">
        <v>812</v>
      </c>
      <c r="G1610" s="39" t="s">
        <v>813</v>
      </c>
    </row>
    <row r="1611" customFormat="false" ht="15" hidden="false" customHeight="false" outlineLevel="0" collapsed="false">
      <c r="A1611" s="37" t="s">
        <v>207</v>
      </c>
      <c r="B1611" s="37" t="s">
        <v>229</v>
      </c>
      <c r="C1611" s="37" t="s">
        <v>178</v>
      </c>
      <c r="D1611" s="37" t="s">
        <v>40</v>
      </c>
      <c r="E1611" s="38" t="n">
        <f aca="false">'Matrice des notes'!N49</f>
        <v>1</v>
      </c>
      <c r="F1611" s="37" t="s">
        <v>849</v>
      </c>
      <c r="G1611" s="39" t="s">
        <v>850</v>
      </c>
    </row>
    <row r="1612" customFormat="false" ht="15" hidden="false" customHeight="false" outlineLevel="0" collapsed="false">
      <c r="A1612" s="37" t="s">
        <v>207</v>
      </c>
      <c r="B1612" s="37" t="s">
        <v>229</v>
      </c>
      <c r="C1612" s="37" t="s">
        <v>178</v>
      </c>
      <c r="D1612" s="37" t="s">
        <v>43</v>
      </c>
      <c r="E1612" s="38" t="n">
        <f aca="false">'Matrice des notes'!O49</f>
        <v>1</v>
      </c>
      <c r="F1612" s="37" t="s">
        <v>816</v>
      </c>
      <c r="G1612" s="39" t="s">
        <v>866</v>
      </c>
    </row>
    <row r="1613" customFormat="false" ht="15" hidden="false" customHeight="false" outlineLevel="0" collapsed="false">
      <c r="A1613" s="37" t="s">
        <v>207</v>
      </c>
      <c r="B1613" s="37" t="s">
        <v>229</v>
      </c>
      <c r="C1613" s="37" t="s">
        <v>178</v>
      </c>
      <c r="D1613" s="37" t="s">
        <v>46</v>
      </c>
      <c r="E1613" s="38" t="n">
        <f aca="false">'Matrice des notes'!P49</f>
        <v>1</v>
      </c>
      <c r="F1613" s="37" t="s">
        <v>839</v>
      </c>
      <c r="G1613" s="39" t="s">
        <v>851</v>
      </c>
    </row>
    <row r="1614" customFormat="false" ht="22.35" hidden="false" customHeight="false" outlineLevel="0" collapsed="false">
      <c r="A1614" s="37" t="s">
        <v>207</v>
      </c>
      <c r="B1614" s="37" t="s">
        <v>229</v>
      </c>
      <c r="C1614" s="37" t="s">
        <v>179</v>
      </c>
      <c r="D1614" s="37" t="s">
        <v>49</v>
      </c>
      <c r="E1614" s="38" t="n">
        <f aca="false">'Matrice des notes'!Q49</f>
        <v>1</v>
      </c>
      <c r="F1614" s="37" t="s">
        <v>954</v>
      </c>
      <c r="G1614" s="39" t="s">
        <v>955</v>
      </c>
    </row>
    <row r="1615" customFormat="false" ht="22.35" hidden="false" customHeight="false" outlineLevel="0" collapsed="false">
      <c r="A1615" s="37" t="s">
        <v>207</v>
      </c>
      <c r="B1615" s="37" t="s">
        <v>229</v>
      </c>
      <c r="C1615" s="37" t="s">
        <v>179</v>
      </c>
      <c r="D1615" s="37" t="s">
        <v>53</v>
      </c>
      <c r="E1615" s="38" t="n">
        <f aca="false">'Matrice des notes'!R49</f>
        <v>1</v>
      </c>
      <c r="F1615" s="37" t="s">
        <v>952</v>
      </c>
      <c r="G1615" s="39" t="s">
        <v>956</v>
      </c>
    </row>
    <row r="1616" customFormat="false" ht="15" hidden="false" customHeight="false" outlineLevel="0" collapsed="false">
      <c r="A1616" s="37" t="s">
        <v>207</v>
      </c>
      <c r="B1616" s="37" t="s">
        <v>229</v>
      </c>
      <c r="C1616" s="37" t="s">
        <v>179</v>
      </c>
      <c r="D1616" s="37" t="s">
        <v>56</v>
      </c>
      <c r="E1616" s="38" t="n">
        <f aca="false">'Matrice des notes'!S49</f>
        <v>1</v>
      </c>
      <c r="F1616" s="37" t="s">
        <v>839</v>
      </c>
      <c r="G1616" s="39" t="s">
        <v>854</v>
      </c>
    </row>
    <row r="1617" customFormat="false" ht="15" hidden="false" customHeight="false" outlineLevel="0" collapsed="false">
      <c r="A1617" s="37" t="s">
        <v>207</v>
      </c>
      <c r="B1617" s="37" t="s">
        <v>229</v>
      </c>
      <c r="C1617" s="37" t="s">
        <v>179</v>
      </c>
      <c r="D1617" s="37" t="s">
        <v>59</v>
      </c>
      <c r="E1617" s="38" t="n">
        <f aca="false">'Matrice des notes'!T49</f>
        <v>1</v>
      </c>
      <c r="F1617" s="37" t="s">
        <v>839</v>
      </c>
      <c r="G1617" s="39" t="s">
        <v>855</v>
      </c>
    </row>
    <row r="1618" customFormat="false" ht="22.35" hidden="false" customHeight="false" outlineLevel="0" collapsed="false">
      <c r="A1618" s="37" t="s">
        <v>207</v>
      </c>
      <c r="B1618" s="37" t="s">
        <v>229</v>
      </c>
      <c r="C1618" s="37" t="s">
        <v>179</v>
      </c>
      <c r="D1618" s="37" t="s">
        <v>62</v>
      </c>
      <c r="E1618" s="38" t="n">
        <f aca="false">'Matrice des notes'!U49</f>
        <v>1</v>
      </c>
      <c r="F1618" s="37" t="s">
        <v>954</v>
      </c>
      <c r="G1618" s="39" t="s">
        <v>957</v>
      </c>
    </row>
    <row r="1619" customFormat="false" ht="22.35" hidden="false" customHeight="false" outlineLevel="0" collapsed="false">
      <c r="A1619" s="37" t="s">
        <v>207</v>
      </c>
      <c r="B1619" s="37" t="s">
        <v>229</v>
      </c>
      <c r="C1619" s="37" t="s">
        <v>179</v>
      </c>
      <c r="D1619" s="37" t="s">
        <v>65</v>
      </c>
      <c r="E1619" s="38" t="n">
        <f aca="false">'Matrice des notes'!V49</f>
        <v>1</v>
      </c>
      <c r="F1619" s="37" t="s">
        <v>891</v>
      </c>
      <c r="G1619" s="39" t="s">
        <v>914</v>
      </c>
    </row>
    <row r="1620" customFormat="false" ht="15" hidden="false" customHeight="false" outlineLevel="0" collapsed="false">
      <c r="A1620" s="37" t="s">
        <v>207</v>
      </c>
      <c r="B1620" s="37" t="s">
        <v>229</v>
      </c>
      <c r="C1620" s="37" t="s">
        <v>179</v>
      </c>
      <c r="D1620" s="37" t="s">
        <v>68</v>
      </c>
      <c r="E1620" s="38" t="n">
        <f aca="false">'Matrice des notes'!W49</f>
        <v>1</v>
      </c>
      <c r="F1620" s="37" t="s">
        <v>827</v>
      </c>
      <c r="G1620" s="39" t="s">
        <v>872</v>
      </c>
    </row>
    <row r="1621" customFormat="false" ht="15" hidden="false" customHeight="false" outlineLevel="0" collapsed="false">
      <c r="A1621" s="37" t="s">
        <v>207</v>
      </c>
      <c r="B1621" s="37" t="s">
        <v>229</v>
      </c>
      <c r="C1621" s="37" t="s">
        <v>179</v>
      </c>
      <c r="D1621" s="37" t="s">
        <v>71</v>
      </c>
      <c r="E1621" s="38" t="n">
        <f aca="false">'Matrice des notes'!X49</f>
        <v>1</v>
      </c>
      <c r="F1621" s="37" t="s">
        <v>708</v>
      </c>
      <c r="G1621" s="39" t="s">
        <v>857</v>
      </c>
    </row>
    <row r="1622" customFormat="false" ht="15" hidden="false" customHeight="false" outlineLevel="0" collapsed="false">
      <c r="A1622" s="37" t="s">
        <v>207</v>
      </c>
      <c r="B1622" s="37" t="s">
        <v>229</v>
      </c>
      <c r="C1622" s="37" t="s">
        <v>179</v>
      </c>
      <c r="D1622" s="37" t="s">
        <v>74</v>
      </c>
      <c r="E1622" s="38" t="n">
        <f aca="false">'Matrice des notes'!Y49</f>
        <v>1</v>
      </c>
      <c r="F1622" s="37" t="s">
        <v>915</v>
      </c>
      <c r="G1622" s="39" t="s">
        <v>916</v>
      </c>
    </row>
    <row r="1623" customFormat="false" ht="15" hidden="false" customHeight="false" outlineLevel="0" collapsed="false">
      <c r="A1623" s="37" t="s">
        <v>207</v>
      </c>
      <c r="B1623" s="37" t="s">
        <v>229</v>
      </c>
      <c r="C1623" s="37" t="s">
        <v>179</v>
      </c>
      <c r="D1623" s="37" t="s">
        <v>77</v>
      </c>
      <c r="E1623" s="38" t="n">
        <f aca="false">'Matrice des notes'!Z49</f>
        <v>1</v>
      </c>
      <c r="F1623" s="37" t="s">
        <v>842</v>
      </c>
      <c r="G1623" s="39" t="s">
        <v>858</v>
      </c>
    </row>
    <row r="1624" customFormat="false" ht="15" hidden="false" customHeight="false" outlineLevel="0" collapsed="false">
      <c r="A1624" s="37" t="s">
        <v>207</v>
      </c>
      <c r="B1624" s="37" t="s">
        <v>229</v>
      </c>
      <c r="C1624" s="37" t="s">
        <v>179</v>
      </c>
      <c r="D1624" s="37" t="s">
        <v>80</v>
      </c>
      <c r="E1624" s="38" t="n">
        <f aca="false">'Matrice des notes'!AA49</f>
        <v>2</v>
      </c>
      <c r="F1624" s="37" t="s">
        <v>917</v>
      </c>
      <c r="G1624" s="39" t="s">
        <v>918</v>
      </c>
    </row>
    <row r="1625" customFormat="false" ht="22.35" hidden="false" customHeight="false" outlineLevel="0" collapsed="false">
      <c r="A1625" s="37" t="s">
        <v>207</v>
      </c>
      <c r="B1625" s="37" t="s">
        <v>229</v>
      </c>
      <c r="C1625" s="37" t="s">
        <v>179</v>
      </c>
      <c r="D1625" s="37" t="s">
        <v>83</v>
      </c>
      <c r="E1625" s="38" t="n">
        <f aca="false">'Matrice des notes'!AB49</f>
        <v>1</v>
      </c>
      <c r="F1625" s="37" t="s">
        <v>958</v>
      </c>
      <c r="G1625" s="39" t="s">
        <v>959</v>
      </c>
    </row>
    <row r="1626" customFormat="false" ht="15" hidden="false" customHeight="false" outlineLevel="0" collapsed="false">
      <c r="A1626" s="37" t="s">
        <v>207</v>
      </c>
      <c r="B1626" s="37" t="s">
        <v>229</v>
      </c>
      <c r="C1626" s="37" t="s">
        <v>179</v>
      </c>
      <c r="D1626" s="37" t="s">
        <v>86</v>
      </c>
      <c r="E1626" s="38" t="n">
        <f aca="false">'Matrice des notes'!AC49</f>
        <v>2</v>
      </c>
      <c r="F1626" s="37" t="s">
        <v>960</v>
      </c>
      <c r="G1626" s="39" t="s">
        <v>961</v>
      </c>
    </row>
    <row r="1627" customFormat="false" ht="15" hidden="false" customHeight="false" outlineLevel="0" collapsed="false">
      <c r="A1627" s="37" t="s">
        <v>207</v>
      </c>
      <c r="B1627" s="37" t="s">
        <v>229</v>
      </c>
      <c r="C1627" s="37" t="s">
        <v>179</v>
      </c>
      <c r="D1627" s="37" t="s">
        <v>89</v>
      </c>
      <c r="E1627" s="38" t="n">
        <f aca="false">'Matrice des notes'!AD49</f>
        <v>2</v>
      </c>
      <c r="F1627" s="37" t="s">
        <v>891</v>
      </c>
      <c r="G1627" s="39" t="s">
        <v>962</v>
      </c>
    </row>
    <row r="1628" customFormat="false" ht="22.35" hidden="false" customHeight="false" outlineLevel="0" collapsed="false">
      <c r="A1628" s="37" t="s">
        <v>207</v>
      </c>
      <c r="B1628" s="37" t="s">
        <v>229</v>
      </c>
      <c r="C1628" s="37" t="s">
        <v>179</v>
      </c>
      <c r="D1628" s="37" t="s">
        <v>92</v>
      </c>
      <c r="E1628" s="38" t="n">
        <f aca="false">'Matrice des notes'!AE49</f>
        <v>2</v>
      </c>
      <c r="F1628" s="37" t="s">
        <v>923</v>
      </c>
      <c r="G1628" s="39" t="s">
        <v>924</v>
      </c>
    </row>
    <row r="1629" customFormat="false" ht="15" hidden="false" customHeight="false" outlineLevel="0" collapsed="false">
      <c r="A1629" s="37" t="s">
        <v>207</v>
      </c>
      <c r="B1629" s="37" t="s">
        <v>229</v>
      </c>
      <c r="C1629" s="37" t="s">
        <v>180</v>
      </c>
      <c r="D1629" s="37" t="s">
        <v>95</v>
      </c>
      <c r="E1629" s="38" t="n">
        <f aca="false">'Matrice des notes'!AF49</f>
        <v>1</v>
      </c>
      <c r="F1629" s="37" t="s">
        <v>631</v>
      </c>
      <c r="G1629" s="39" t="s">
        <v>654</v>
      </c>
    </row>
    <row r="1630" customFormat="false" ht="15" hidden="false" customHeight="false" outlineLevel="0" collapsed="false">
      <c r="A1630" s="37" t="s">
        <v>207</v>
      </c>
      <c r="B1630" s="37" t="s">
        <v>229</v>
      </c>
      <c r="C1630" s="37" t="s">
        <v>180</v>
      </c>
      <c r="D1630" s="37" t="s">
        <v>99</v>
      </c>
      <c r="E1630" s="38" t="n">
        <f aca="false">'Matrice des notes'!AG49</f>
        <v>1</v>
      </c>
      <c r="F1630" s="37" t="s">
        <v>655</v>
      </c>
      <c r="G1630" s="39" t="s">
        <v>656</v>
      </c>
    </row>
    <row r="1631" customFormat="false" ht="15" hidden="false" customHeight="false" outlineLevel="0" collapsed="false">
      <c r="A1631" s="37" t="s">
        <v>207</v>
      </c>
      <c r="B1631" s="37" t="s">
        <v>229</v>
      </c>
      <c r="C1631" s="37" t="s">
        <v>180</v>
      </c>
      <c r="D1631" s="37" t="s">
        <v>102</v>
      </c>
      <c r="E1631" s="38" t="n">
        <f aca="false">'Matrice des notes'!AH49</f>
        <v>1</v>
      </c>
      <c r="F1631" s="37" t="s">
        <v>655</v>
      </c>
      <c r="G1631" s="39" t="s">
        <v>656</v>
      </c>
    </row>
    <row r="1632" customFormat="false" ht="15" hidden="false" customHeight="false" outlineLevel="0" collapsed="false">
      <c r="A1632" s="37" t="s">
        <v>207</v>
      </c>
      <c r="B1632" s="37" t="s">
        <v>229</v>
      </c>
      <c r="C1632" s="37" t="s">
        <v>180</v>
      </c>
      <c r="D1632" s="37" t="s">
        <v>104</v>
      </c>
      <c r="E1632" s="38" t="n">
        <f aca="false">'Matrice des notes'!AI49</f>
        <v>1</v>
      </c>
      <c r="F1632" s="37" t="s">
        <v>631</v>
      </c>
      <c r="G1632" s="39" t="s">
        <v>654</v>
      </c>
    </row>
    <row r="1633" customFormat="false" ht="15" hidden="false" customHeight="false" outlineLevel="0" collapsed="false">
      <c r="A1633" s="37" t="s">
        <v>207</v>
      </c>
      <c r="B1633" s="37" t="s">
        <v>229</v>
      </c>
      <c r="C1633" s="37" t="s">
        <v>180</v>
      </c>
      <c r="D1633" s="37" t="s">
        <v>107</v>
      </c>
      <c r="E1633" s="38" t="n">
        <f aca="false">'Matrice des notes'!AJ49</f>
        <v>1</v>
      </c>
      <c r="F1633" s="37" t="s">
        <v>631</v>
      </c>
      <c r="G1633" s="39" t="s">
        <v>654</v>
      </c>
    </row>
    <row r="1634" customFormat="false" ht="15" hidden="false" customHeight="false" outlineLevel="0" collapsed="false">
      <c r="A1634" s="37" t="s">
        <v>207</v>
      </c>
      <c r="B1634" s="37" t="s">
        <v>229</v>
      </c>
      <c r="C1634" s="37" t="s">
        <v>180</v>
      </c>
      <c r="D1634" s="37" t="s">
        <v>110</v>
      </c>
      <c r="E1634" s="38" t="n">
        <f aca="false">'Matrice des notes'!AK49</f>
        <v>1</v>
      </c>
      <c r="F1634" s="37" t="s">
        <v>631</v>
      </c>
      <c r="G1634" s="39" t="s">
        <v>654</v>
      </c>
    </row>
    <row r="1635" customFormat="false" ht="15" hidden="false" customHeight="false" outlineLevel="0" collapsed="false">
      <c r="A1635" s="37" t="s">
        <v>207</v>
      </c>
      <c r="B1635" s="37" t="s">
        <v>229</v>
      </c>
      <c r="C1635" s="37" t="s">
        <v>180</v>
      </c>
      <c r="D1635" s="37" t="s">
        <v>113</v>
      </c>
      <c r="E1635" s="38" t="n">
        <f aca="false">'Matrice des notes'!AL49</f>
        <v>1</v>
      </c>
      <c r="F1635" s="37" t="s">
        <v>631</v>
      </c>
      <c r="G1635" s="39" t="s">
        <v>654</v>
      </c>
    </row>
    <row r="1636" customFormat="false" ht="15" hidden="false" customHeight="false" outlineLevel="0" collapsed="false">
      <c r="A1636" s="37" t="s">
        <v>207</v>
      </c>
      <c r="B1636" s="37" t="s">
        <v>229</v>
      </c>
      <c r="C1636" s="37" t="s">
        <v>180</v>
      </c>
      <c r="D1636" s="37" t="s">
        <v>116</v>
      </c>
      <c r="E1636" s="38" t="n">
        <f aca="false">'Matrice des notes'!AM49</f>
        <v>1</v>
      </c>
      <c r="F1636" s="37" t="s">
        <v>655</v>
      </c>
      <c r="G1636" s="39" t="s">
        <v>656</v>
      </c>
    </row>
    <row r="1637" customFormat="false" ht="15" hidden="false" customHeight="false" outlineLevel="0" collapsed="false">
      <c r="A1637" s="37" t="s">
        <v>207</v>
      </c>
      <c r="B1637" s="37" t="s">
        <v>229</v>
      </c>
      <c r="C1637" s="37" t="s">
        <v>180</v>
      </c>
      <c r="D1637" s="37" t="s">
        <v>119</v>
      </c>
      <c r="E1637" s="38" t="n">
        <f aca="false">'Matrice des notes'!AN49</f>
        <v>1</v>
      </c>
      <c r="F1637" s="37" t="s">
        <v>631</v>
      </c>
      <c r="G1637" s="39" t="s">
        <v>654</v>
      </c>
    </row>
    <row r="1638" customFormat="false" ht="15" hidden="false" customHeight="false" outlineLevel="0" collapsed="false">
      <c r="A1638" s="37" t="s">
        <v>207</v>
      </c>
      <c r="B1638" s="37" t="s">
        <v>229</v>
      </c>
      <c r="C1638" s="37" t="s">
        <v>180</v>
      </c>
      <c r="D1638" s="37" t="s">
        <v>121</v>
      </c>
      <c r="E1638" s="38" t="n">
        <f aca="false">'Matrice des notes'!AO49</f>
        <v>1</v>
      </c>
      <c r="F1638" s="37" t="s">
        <v>657</v>
      </c>
      <c r="G1638" s="39" t="s">
        <v>658</v>
      </c>
    </row>
    <row r="1639" customFormat="false" ht="15" hidden="false" customHeight="false" outlineLevel="0" collapsed="false">
      <c r="A1639" s="37" t="s">
        <v>207</v>
      </c>
      <c r="B1639" s="37" t="s">
        <v>229</v>
      </c>
      <c r="C1639" s="37" t="s">
        <v>180</v>
      </c>
      <c r="D1639" s="37" t="s">
        <v>124</v>
      </c>
      <c r="E1639" s="38" t="n">
        <f aca="false">'Matrice des notes'!AP49</f>
        <v>1</v>
      </c>
      <c r="F1639" s="37" t="s">
        <v>863</v>
      </c>
      <c r="G1639" s="39" t="s">
        <v>864</v>
      </c>
    </row>
    <row r="1640" customFormat="false" ht="22.35" hidden="false" customHeight="false" outlineLevel="0" collapsed="false">
      <c r="A1640" s="37" t="s">
        <v>207</v>
      </c>
      <c r="B1640" s="37" t="s">
        <v>230</v>
      </c>
      <c r="C1640" s="37" t="s">
        <v>178</v>
      </c>
      <c r="D1640" s="37" t="s">
        <v>7</v>
      </c>
      <c r="E1640" s="38" t="n">
        <f aca="false">'Matrice des notes'!D50</f>
        <v>1</v>
      </c>
      <c r="F1640" s="37" t="s">
        <v>720</v>
      </c>
      <c r="G1640" s="39" t="s">
        <v>890</v>
      </c>
    </row>
    <row r="1641" customFormat="false" ht="15" hidden="false" customHeight="false" outlineLevel="0" collapsed="false">
      <c r="A1641" s="37" t="s">
        <v>207</v>
      </c>
      <c r="B1641" s="37" t="s">
        <v>230</v>
      </c>
      <c r="C1641" s="37" t="s">
        <v>178</v>
      </c>
      <c r="D1641" s="37" t="s">
        <v>11</v>
      </c>
      <c r="E1641" s="38" t="n">
        <f aca="false">'Matrice des notes'!E50</f>
        <v>1</v>
      </c>
      <c r="F1641" s="37" t="s">
        <v>839</v>
      </c>
      <c r="G1641" s="39" t="s">
        <v>840</v>
      </c>
    </row>
    <row r="1642" customFormat="false" ht="15" hidden="false" customHeight="false" outlineLevel="0" collapsed="false">
      <c r="A1642" s="37" t="s">
        <v>207</v>
      </c>
      <c r="B1642" s="37" t="s">
        <v>230</v>
      </c>
      <c r="C1642" s="37" t="s">
        <v>178</v>
      </c>
      <c r="D1642" s="37" t="s">
        <v>14</v>
      </c>
      <c r="E1642" s="38" t="n">
        <f aca="false">'Matrice des notes'!F50</f>
        <v>1</v>
      </c>
      <c r="F1642" s="37" t="s">
        <v>677</v>
      </c>
      <c r="G1642" s="39" t="s">
        <v>841</v>
      </c>
    </row>
    <row r="1643" customFormat="false" ht="15" hidden="false" customHeight="false" outlineLevel="0" collapsed="false">
      <c r="A1643" s="37" t="s">
        <v>207</v>
      </c>
      <c r="B1643" s="37" t="s">
        <v>230</v>
      </c>
      <c r="C1643" s="37" t="s">
        <v>178</v>
      </c>
      <c r="D1643" s="37" t="s">
        <v>17</v>
      </c>
      <c r="E1643" s="38" t="n">
        <f aca="false">'Matrice des notes'!G50</f>
        <v>1</v>
      </c>
      <c r="F1643" s="37" t="s">
        <v>842</v>
      </c>
      <c r="G1643" s="39" t="s">
        <v>843</v>
      </c>
    </row>
    <row r="1644" customFormat="false" ht="15" hidden="false" customHeight="false" outlineLevel="0" collapsed="false">
      <c r="A1644" s="37" t="s">
        <v>207</v>
      </c>
      <c r="B1644" s="37" t="s">
        <v>230</v>
      </c>
      <c r="C1644" s="37" t="s">
        <v>178</v>
      </c>
      <c r="D1644" s="37" t="s">
        <v>20</v>
      </c>
      <c r="E1644" s="38" t="n">
        <f aca="false">'Matrice des notes'!H50</f>
        <v>1</v>
      </c>
      <c r="F1644" s="37" t="s">
        <v>839</v>
      </c>
      <c r="G1644" s="39" t="s">
        <v>844</v>
      </c>
    </row>
    <row r="1645" customFormat="false" ht="15" hidden="false" customHeight="false" outlineLevel="0" collapsed="false">
      <c r="A1645" s="37" t="s">
        <v>207</v>
      </c>
      <c r="B1645" s="37" t="s">
        <v>230</v>
      </c>
      <c r="C1645" s="37" t="s">
        <v>178</v>
      </c>
      <c r="D1645" s="37" t="s">
        <v>23</v>
      </c>
      <c r="E1645" s="38" t="n">
        <f aca="false">'Matrice des notes'!I50</f>
        <v>1</v>
      </c>
      <c r="F1645" s="37" t="s">
        <v>839</v>
      </c>
      <c r="G1645" s="39" t="s">
        <v>845</v>
      </c>
    </row>
    <row r="1646" customFormat="false" ht="15" hidden="false" customHeight="false" outlineLevel="0" collapsed="false">
      <c r="A1646" s="37" t="s">
        <v>207</v>
      </c>
      <c r="B1646" s="37" t="s">
        <v>230</v>
      </c>
      <c r="C1646" s="37" t="s">
        <v>178</v>
      </c>
      <c r="D1646" s="37" t="s">
        <v>26</v>
      </c>
      <c r="E1646" s="38" t="n">
        <f aca="false">'Matrice des notes'!J50</f>
        <v>1</v>
      </c>
      <c r="F1646" s="37" t="s">
        <v>835</v>
      </c>
      <c r="G1646" s="39" t="s">
        <v>846</v>
      </c>
    </row>
    <row r="1647" customFormat="false" ht="15" hidden="false" customHeight="false" outlineLevel="0" collapsed="false">
      <c r="A1647" s="37" t="s">
        <v>207</v>
      </c>
      <c r="B1647" s="37" t="s">
        <v>230</v>
      </c>
      <c r="C1647" s="37" t="s">
        <v>178</v>
      </c>
      <c r="D1647" s="37" t="s">
        <v>30</v>
      </c>
      <c r="E1647" s="38" t="n">
        <f aca="false">'Matrice des notes'!K50</f>
        <v>1</v>
      </c>
      <c r="F1647" s="37" t="s">
        <v>677</v>
      </c>
      <c r="G1647" s="39" t="s">
        <v>847</v>
      </c>
    </row>
    <row r="1648" customFormat="false" ht="15" hidden="false" customHeight="false" outlineLevel="0" collapsed="false">
      <c r="A1648" s="37" t="s">
        <v>207</v>
      </c>
      <c r="B1648" s="37" t="s">
        <v>230</v>
      </c>
      <c r="C1648" s="37" t="s">
        <v>178</v>
      </c>
      <c r="D1648" s="37" t="s">
        <v>34</v>
      </c>
      <c r="E1648" s="38" t="n">
        <f aca="false">'Matrice des notes'!L50</f>
        <v>1</v>
      </c>
      <c r="F1648" s="37" t="s">
        <v>891</v>
      </c>
      <c r="G1648" s="39" t="s">
        <v>892</v>
      </c>
    </row>
    <row r="1649" customFormat="false" ht="15" hidden="false" customHeight="false" outlineLevel="0" collapsed="false">
      <c r="A1649" s="37" t="s">
        <v>207</v>
      </c>
      <c r="B1649" s="37" t="s">
        <v>230</v>
      </c>
      <c r="C1649" s="37" t="s">
        <v>178</v>
      </c>
      <c r="D1649" s="37" t="s">
        <v>37</v>
      </c>
      <c r="E1649" s="38" t="n">
        <f aca="false">'Matrice des notes'!M50</f>
        <v>1</v>
      </c>
      <c r="F1649" s="37" t="s">
        <v>812</v>
      </c>
      <c r="G1649" s="39" t="s">
        <v>813</v>
      </c>
    </row>
    <row r="1650" customFormat="false" ht="15" hidden="false" customHeight="false" outlineLevel="0" collapsed="false">
      <c r="A1650" s="37" t="s">
        <v>207</v>
      </c>
      <c r="B1650" s="37" t="s">
        <v>230</v>
      </c>
      <c r="C1650" s="37" t="s">
        <v>178</v>
      </c>
      <c r="D1650" s="37" t="s">
        <v>40</v>
      </c>
      <c r="E1650" s="38" t="n">
        <f aca="false">'Matrice des notes'!N50</f>
        <v>1</v>
      </c>
      <c r="F1650" s="37" t="s">
        <v>849</v>
      </c>
      <c r="G1650" s="39" t="s">
        <v>850</v>
      </c>
    </row>
    <row r="1651" customFormat="false" ht="15" hidden="false" customHeight="false" outlineLevel="0" collapsed="false">
      <c r="A1651" s="37" t="s">
        <v>207</v>
      </c>
      <c r="B1651" s="37" t="s">
        <v>230</v>
      </c>
      <c r="C1651" s="37" t="s">
        <v>178</v>
      </c>
      <c r="D1651" s="37" t="s">
        <v>43</v>
      </c>
      <c r="E1651" s="38" t="n">
        <f aca="false">'Matrice des notes'!O50</f>
        <v>1</v>
      </c>
      <c r="F1651" s="37" t="s">
        <v>816</v>
      </c>
      <c r="G1651" s="39" t="s">
        <v>866</v>
      </c>
    </row>
    <row r="1652" customFormat="false" ht="15" hidden="false" customHeight="false" outlineLevel="0" collapsed="false">
      <c r="A1652" s="37" t="s">
        <v>207</v>
      </c>
      <c r="B1652" s="37" t="s">
        <v>230</v>
      </c>
      <c r="C1652" s="37" t="s">
        <v>178</v>
      </c>
      <c r="D1652" s="37" t="s">
        <v>46</v>
      </c>
      <c r="E1652" s="38" t="n">
        <f aca="false">'Matrice des notes'!P50</f>
        <v>1</v>
      </c>
      <c r="F1652" s="37" t="s">
        <v>839</v>
      </c>
      <c r="G1652" s="39" t="s">
        <v>851</v>
      </c>
    </row>
    <row r="1653" customFormat="false" ht="15" hidden="false" customHeight="false" outlineLevel="0" collapsed="false">
      <c r="A1653" s="37" t="s">
        <v>207</v>
      </c>
      <c r="B1653" s="37" t="s">
        <v>230</v>
      </c>
      <c r="C1653" s="37" t="s">
        <v>179</v>
      </c>
      <c r="D1653" s="37" t="s">
        <v>49</v>
      </c>
      <c r="E1653" s="38" t="n">
        <f aca="false">'Matrice des notes'!Q50</f>
        <v>1</v>
      </c>
      <c r="F1653" s="37" t="s">
        <v>927</v>
      </c>
      <c r="G1653" s="39" t="s">
        <v>928</v>
      </c>
    </row>
    <row r="1654" customFormat="false" ht="15" hidden="false" customHeight="false" outlineLevel="0" collapsed="false">
      <c r="A1654" s="37" t="s">
        <v>207</v>
      </c>
      <c r="B1654" s="37" t="s">
        <v>230</v>
      </c>
      <c r="C1654" s="37" t="s">
        <v>179</v>
      </c>
      <c r="D1654" s="37" t="s">
        <v>53</v>
      </c>
      <c r="E1654" s="38" t="n">
        <f aca="false">'Matrice des notes'!R50</f>
        <v>1</v>
      </c>
      <c r="F1654" s="37" t="s">
        <v>891</v>
      </c>
      <c r="G1654" s="39" t="s">
        <v>893</v>
      </c>
    </row>
    <row r="1655" customFormat="false" ht="15" hidden="false" customHeight="false" outlineLevel="0" collapsed="false">
      <c r="A1655" s="37" t="s">
        <v>207</v>
      </c>
      <c r="B1655" s="37" t="s">
        <v>230</v>
      </c>
      <c r="C1655" s="37" t="s">
        <v>179</v>
      </c>
      <c r="D1655" s="37" t="s">
        <v>56</v>
      </c>
      <c r="E1655" s="38" t="n">
        <f aca="false">'Matrice des notes'!S50</f>
        <v>1</v>
      </c>
      <c r="F1655" s="37" t="s">
        <v>839</v>
      </c>
      <c r="G1655" s="39" t="s">
        <v>854</v>
      </c>
    </row>
    <row r="1656" customFormat="false" ht="15" hidden="false" customHeight="false" outlineLevel="0" collapsed="false">
      <c r="A1656" s="37" t="s">
        <v>207</v>
      </c>
      <c r="B1656" s="37" t="s">
        <v>230</v>
      </c>
      <c r="C1656" s="37" t="s">
        <v>179</v>
      </c>
      <c r="D1656" s="37" t="s">
        <v>59</v>
      </c>
      <c r="E1656" s="38" t="n">
        <f aca="false">'Matrice des notes'!T50</f>
        <v>1</v>
      </c>
      <c r="F1656" s="37" t="s">
        <v>839</v>
      </c>
      <c r="G1656" s="39" t="s">
        <v>855</v>
      </c>
    </row>
    <row r="1657" customFormat="false" ht="15" hidden="false" customHeight="false" outlineLevel="0" collapsed="false">
      <c r="A1657" s="37" t="s">
        <v>207</v>
      </c>
      <c r="B1657" s="37" t="s">
        <v>230</v>
      </c>
      <c r="C1657" s="37" t="s">
        <v>179</v>
      </c>
      <c r="D1657" s="37" t="s">
        <v>62</v>
      </c>
      <c r="E1657" s="38" t="n">
        <f aca="false">'Matrice des notes'!U50</f>
        <v>1</v>
      </c>
      <c r="F1657" s="37" t="s">
        <v>927</v>
      </c>
      <c r="G1657" s="39" t="s">
        <v>929</v>
      </c>
    </row>
    <row r="1658" customFormat="false" ht="22.35" hidden="false" customHeight="false" outlineLevel="0" collapsed="false">
      <c r="A1658" s="37" t="s">
        <v>207</v>
      </c>
      <c r="B1658" s="37" t="s">
        <v>230</v>
      </c>
      <c r="C1658" s="37" t="s">
        <v>179</v>
      </c>
      <c r="D1658" s="37" t="s">
        <v>65</v>
      </c>
      <c r="E1658" s="38" t="n">
        <f aca="false">'Matrice des notes'!V50</f>
        <v>1</v>
      </c>
      <c r="F1658" s="37" t="s">
        <v>891</v>
      </c>
      <c r="G1658" s="39" t="s">
        <v>914</v>
      </c>
    </row>
    <row r="1659" customFormat="false" ht="15" hidden="false" customHeight="false" outlineLevel="0" collapsed="false">
      <c r="A1659" s="37" t="s">
        <v>207</v>
      </c>
      <c r="B1659" s="37" t="s">
        <v>230</v>
      </c>
      <c r="C1659" s="37" t="s">
        <v>179</v>
      </c>
      <c r="D1659" s="37" t="s">
        <v>68</v>
      </c>
      <c r="E1659" s="38" t="n">
        <f aca="false">'Matrice des notes'!W50</f>
        <v>1</v>
      </c>
      <c r="F1659" s="37" t="s">
        <v>827</v>
      </c>
      <c r="G1659" s="39" t="s">
        <v>872</v>
      </c>
    </row>
    <row r="1660" customFormat="false" ht="15" hidden="false" customHeight="false" outlineLevel="0" collapsed="false">
      <c r="A1660" s="37" t="s">
        <v>207</v>
      </c>
      <c r="B1660" s="37" t="s">
        <v>230</v>
      </c>
      <c r="C1660" s="37" t="s">
        <v>179</v>
      </c>
      <c r="D1660" s="37" t="s">
        <v>71</v>
      </c>
      <c r="E1660" s="38" t="n">
        <f aca="false">'Matrice des notes'!X50</f>
        <v>1</v>
      </c>
      <c r="F1660" s="37" t="s">
        <v>708</v>
      </c>
      <c r="G1660" s="39" t="s">
        <v>857</v>
      </c>
    </row>
    <row r="1661" customFormat="false" ht="15" hidden="false" customHeight="false" outlineLevel="0" collapsed="false">
      <c r="A1661" s="37" t="s">
        <v>207</v>
      </c>
      <c r="B1661" s="37" t="s">
        <v>230</v>
      </c>
      <c r="C1661" s="37" t="s">
        <v>179</v>
      </c>
      <c r="D1661" s="37" t="s">
        <v>74</v>
      </c>
      <c r="E1661" s="38" t="n">
        <f aca="false">'Matrice des notes'!Y50</f>
        <v>1</v>
      </c>
      <c r="F1661" s="37" t="s">
        <v>915</v>
      </c>
      <c r="G1661" s="39" t="s">
        <v>916</v>
      </c>
    </row>
    <row r="1662" customFormat="false" ht="15" hidden="false" customHeight="false" outlineLevel="0" collapsed="false">
      <c r="A1662" s="37" t="s">
        <v>207</v>
      </c>
      <c r="B1662" s="37" t="s">
        <v>230</v>
      </c>
      <c r="C1662" s="37" t="s">
        <v>179</v>
      </c>
      <c r="D1662" s="37" t="s">
        <v>77</v>
      </c>
      <c r="E1662" s="38" t="n">
        <f aca="false">'Matrice des notes'!Z50</f>
        <v>1</v>
      </c>
      <c r="F1662" s="37" t="s">
        <v>842</v>
      </c>
      <c r="G1662" s="39" t="s">
        <v>858</v>
      </c>
    </row>
    <row r="1663" customFormat="false" ht="15" hidden="false" customHeight="false" outlineLevel="0" collapsed="false">
      <c r="A1663" s="37" t="s">
        <v>207</v>
      </c>
      <c r="B1663" s="37" t="s">
        <v>230</v>
      </c>
      <c r="C1663" s="37" t="s">
        <v>179</v>
      </c>
      <c r="D1663" s="37" t="s">
        <v>80</v>
      </c>
      <c r="E1663" s="38" t="n">
        <f aca="false">'Matrice des notes'!AA50</f>
        <v>1</v>
      </c>
      <c r="F1663" s="37" t="s">
        <v>917</v>
      </c>
      <c r="G1663" s="39" t="s">
        <v>918</v>
      </c>
    </row>
    <row r="1664" customFormat="false" ht="15" hidden="false" customHeight="false" outlineLevel="0" collapsed="false">
      <c r="A1664" s="37" t="s">
        <v>207</v>
      </c>
      <c r="B1664" s="37" t="s">
        <v>230</v>
      </c>
      <c r="C1664" s="37" t="s">
        <v>179</v>
      </c>
      <c r="D1664" s="37" t="s">
        <v>83</v>
      </c>
      <c r="E1664" s="38" t="n">
        <f aca="false">'Matrice des notes'!AB50</f>
        <v>1</v>
      </c>
      <c r="F1664" s="37" t="s">
        <v>944</v>
      </c>
      <c r="G1664" s="39" t="s">
        <v>945</v>
      </c>
    </row>
    <row r="1665" customFormat="false" ht="22.35" hidden="false" customHeight="false" outlineLevel="0" collapsed="false">
      <c r="A1665" s="37" t="s">
        <v>207</v>
      </c>
      <c r="B1665" s="37" t="s">
        <v>230</v>
      </c>
      <c r="C1665" s="37" t="s">
        <v>179</v>
      </c>
      <c r="D1665" s="37" t="s">
        <v>86</v>
      </c>
      <c r="E1665" s="38" t="n">
        <f aca="false">'Matrice des notes'!AC50</f>
        <v>2</v>
      </c>
      <c r="F1665" s="37" t="s">
        <v>946</v>
      </c>
      <c r="G1665" s="39" t="s">
        <v>947</v>
      </c>
    </row>
    <row r="1666" customFormat="false" ht="22.35" hidden="false" customHeight="false" outlineLevel="0" collapsed="false">
      <c r="A1666" s="37" t="s">
        <v>207</v>
      </c>
      <c r="B1666" s="37" t="s">
        <v>230</v>
      </c>
      <c r="C1666" s="37" t="s">
        <v>179</v>
      </c>
      <c r="D1666" s="37" t="s">
        <v>89</v>
      </c>
      <c r="E1666" s="38" t="n">
        <f aca="false">'Matrice des notes'!AD50</f>
        <v>2</v>
      </c>
      <c r="F1666" s="37" t="s">
        <v>948</v>
      </c>
      <c r="G1666" s="39" t="s">
        <v>949</v>
      </c>
    </row>
    <row r="1667" customFormat="false" ht="15" hidden="false" customHeight="false" outlineLevel="0" collapsed="false">
      <c r="A1667" s="37" t="s">
        <v>207</v>
      </c>
      <c r="B1667" s="37" t="s">
        <v>230</v>
      </c>
      <c r="C1667" s="37" t="s">
        <v>179</v>
      </c>
      <c r="D1667" s="37" t="s">
        <v>92</v>
      </c>
      <c r="E1667" s="38" t="n">
        <f aca="false">'Matrice des notes'!AE50</f>
        <v>2</v>
      </c>
      <c r="F1667" s="37" t="s">
        <v>950</v>
      </c>
      <c r="G1667" s="39" t="s">
        <v>951</v>
      </c>
    </row>
    <row r="1668" customFormat="false" ht="15" hidden="false" customHeight="false" outlineLevel="0" collapsed="false">
      <c r="A1668" s="37" t="s">
        <v>207</v>
      </c>
      <c r="B1668" s="37" t="s">
        <v>230</v>
      </c>
      <c r="C1668" s="37" t="s">
        <v>180</v>
      </c>
      <c r="D1668" s="37" t="s">
        <v>95</v>
      </c>
      <c r="E1668" s="38" t="n">
        <f aca="false">'Matrice des notes'!AF50</f>
        <v>1</v>
      </c>
      <c r="F1668" s="37" t="s">
        <v>631</v>
      </c>
      <c r="G1668" s="39" t="s">
        <v>654</v>
      </c>
    </row>
    <row r="1669" customFormat="false" ht="15" hidden="false" customHeight="false" outlineLevel="0" collapsed="false">
      <c r="A1669" s="37" t="s">
        <v>207</v>
      </c>
      <c r="B1669" s="37" t="s">
        <v>230</v>
      </c>
      <c r="C1669" s="37" t="s">
        <v>180</v>
      </c>
      <c r="D1669" s="37" t="s">
        <v>99</v>
      </c>
      <c r="E1669" s="38" t="n">
        <f aca="false">'Matrice des notes'!AG50</f>
        <v>1</v>
      </c>
      <c r="F1669" s="37" t="s">
        <v>655</v>
      </c>
      <c r="G1669" s="39" t="s">
        <v>656</v>
      </c>
    </row>
    <row r="1670" customFormat="false" ht="15" hidden="false" customHeight="false" outlineLevel="0" collapsed="false">
      <c r="A1670" s="37" t="s">
        <v>207</v>
      </c>
      <c r="B1670" s="37" t="s">
        <v>230</v>
      </c>
      <c r="C1670" s="37" t="s">
        <v>180</v>
      </c>
      <c r="D1670" s="37" t="s">
        <v>102</v>
      </c>
      <c r="E1670" s="38" t="n">
        <f aca="false">'Matrice des notes'!AH50</f>
        <v>1</v>
      </c>
      <c r="F1670" s="37" t="s">
        <v>655</v>
      </c>
      <c r="G1670" s="39" t="s">
        <v>656</v>
      </c>
    </row>
    <row r="1671" customFormat="false" ht="15" hidden="false" customHeight="false" outlineLevel="0" collapsed="false">
      <c r="A1671" s="37" t="s">
        <v>207</v>
      </c>
      <c r="B1671" s="37" t="s">
        <v>230</v>
      </c>
      <c r="C1671" s="37" t="s">
        <v>180</v>
      </c>
      <c r="D1671" s="37" t="s">
        <v>104</v>
      </c>
      <c r="E1671" s="38" t="n">
        <f aca="false">'Matrice des notes'!AI50</f>
        <v>1</v>
      </c>
      <c r="F1671" s="37" t="s">
        <v>631</v>
      </c>
      <c r="G1671" s="39" t="s">
        <v>654</v>
      </c>
    </row>
    <row r="1672" customFormat="false" ht="15" hidden="false" customHeight="false" outlineLevel="0" collapsed="false">
      <c r="A1672" s="37" t="s">
        <v>207</v>
      </c>
      <c r="B1672" s="37" t="s">
        <v>230</v>
      </c>
      <c r="C1672" s="37" t="s">
        <v>180</v>
      </c>
      <c r="D1672" s="37" t="s">
        <v>107</v>
      </c>
      <c r="E1672" s="38" t="n">
        <f aca="false">'Matrice des notes'!AJ50</f>
        <v>1</v>
      </c>
      <c r="F1672" s="37" t="s">
        <v>631</v>
      </c>
      <c r="G1672" s="39" t="s">
        <v>654</v>
      </c>
    </row>
    <row r="1673" customFormat="false" ht="15" hidden="false" customHeight="false" outlineLevel="0" collapsed="false">
      <c r="A1673" s="37" t="s">
        <v>207</v>
      </c>
      <c r="B1673" s="37" t="s">
        <v>230</v>
      </c>
      <c r="C1673" s="37" t="s">
        <v>180</v>
      </c>
      <c r="D1673" s="37" t="s">
        <v>110</v>
      </c>
      <c r="E1673" s="38" t="n">
        <f aca="false">'Matrice des notes'!AK50</f>
        <v>1</v>
      </c>
      <c r="F1673" s="37" t="s">
        <v>631</v>
      </c>
      <c r="G1673" s="39" t="s">
        <v>654</v>
      </c>
    </row>
    <row r="1674" customFormat="false" ht="15" hidden="false" customHeight="false" outlineLevel="0" collapsed="false">
      <c r="A1674" s="37" t="s">
        <v>207</v>
      </c>
      <c r="B1674" s="37" t="s">
        <v>230</v>
      </c>
      <c r="C1674" s="37" t="s">
        <v>180</v>
      </c>
      <c r="D1674" s="37" t="s">
        <v>113</v>
      </c>
      <c r="E1674" s="38" t="n">
        <f aca="false">'Matrice des notes'!AL50</f>
        <v>1</v>
      </c>
      <c r="F1674" s="37" t="s">
        <v>631</v>
      </c>
      <c r="G1674" s="39" t="s">
        <v>654</v>
      </c>
    </row>
    <row r="1675" customFormat="false" ht="15" hidden="false" customHeight="false" outlineLevel="0" collapsed="false">
      <c r="A1675" s="37" t="s">
        <v>207</v>
      </c>
      <c r="B1675" s="37" t="s">
        <v>230</v>
      </c>
      <c r="C1675" s="37" t="s">
        <v>180</v>
      </c>
      <c r="D1675" s="37" t="s">
        <v>116</v>
      </c>
      <c r="E1675" s="38" t="n">
        <f aca="false">'Matrice des notes'!AM50</f>
        <v>1</v>
      </c>
      <c r="F1675" s="37" t="s">
        <v>655</v>
      </c>
      <c r="G1675" s="39" t="s">
        <v>656</v>
      </c>
    </row>
    <row r="1676" customFormat="false" ht="15" hidden="false" customHeight="false" outlineLevel="0" collapsed="false">
      <c r="A1676" s="37" t="s">
        <v>207</v>
      </c>
      <c r="B1676" s="37" t="s">
        <v>230</v>
      </c>
      <c r="C1676" s="37" t="s">
        <v>180</v>
      </c>
      <c r="D1676" s="37" t="s">
        <v>119</v>
      </c>
      <c r="E1676" s="38" t="n">
        <f aca="false">'Matrice des notes'!AN50</f>
        <v>1</v>
      </c>
      <c r="F1676" s="37" t="s">
        <v>631</v>
      </c>
      <c r="G1676" s="39" t="s">
        <v>654</v>
      </c>
    </row>
    <row r="1677" customFormat="false" ht="15" hidden="false" customHeight="false" outlineLevel="0" collapsed="false">
      <c r="A1677" s="37" t="s">
        <v>207</v>
      </c>
      <c r="B1677" s="37" t="s">
        <v>230</v>
      </c>
      <c r="C1677" s="37" t="s">
        <v>180</v>
      </c>
      <c r="D1677" s="37" t="s">
        <v>121</v>
      </c>
      <c r="E1677" s="38" t="n">
        <f aca="false">'Matrice des notes'!AO50</f>
        <v>1</v>
      </c>
      <c r="F1677" s="37" t="s">
        <v>657</v>
      </c>
      <c r="G1677" s="39" t="s">
        <v>658</v>
      </c>
    </row>
    <row r="1678" customFormat="false" ht="15" hidden="false" customHeight="false" outlineLevel="0" collapsed="false">
      <c r="A1678" s="37" t="s">
        <v>207</v>
      </c>
      <c r="B1678" s="37" t="s">
        <v>230</v>
      </c>
      <c r="C1678" s="37" t="s">
        <v>180</v>
      </c>
      <c r="D1678" s="37" t="s">
        <v>124</v>
      </c>
      <c r="E1678" s="38" t="n">
        <f aca="false">'Matrice des notes'!AP50</f>
        <v>1</v>
      </c>
      <c r="F1678" s="37" t="s">
        <v>863</v>
      </c>
      <c r="G1678" s="39" t="s">
        <v>864</v>
      </c>
    </row>
    <row r="1679" customFormat="false" ht="15" hidden="false" customHeight="false" outlineLevel="0" collapsed="false">
      <c r="A1679" s="37" t="s">
        <v>207</v>
      </c>
      <c r="B1679" s="37" t="s">
        <v>231</v>
      </c>
      <c r="C1679" s="37" t="s">
        <v>178</v>
      </c>
      <c r="D1679" s="37" t="s">
        <v>7</v>
      </c>
      <c r="E1679" s="38" t="n">
        <f aca="false">'Matrice des notes'!D51</f>
        <v>2</v>
      </c>
      <c r="F1679" s="37" t="s">
        <v>673</v>
      </c>
      <c r="G1679" s="39" t="s">
        <v>674</v>
      </c>
    </row>
    <row r="1680" customFormat="false" ht="15" hidden="false" customHeight="false" outlineLevel="0" collapsed="false">
      <c r="A1680" s="37" t="s">
        <v>207</v>
      </c>
      <c r="B1680" s="37" t="s">
        <v>231</v>
      </c>
      <c r="C1680" s="37" t="s">
        <v>178</v>
      </c>
      <c r="D1680" s="37" t="s">
        <v>11</v>
      </c>
      <c r="E1680" s="38" t="n">
        <f aca="false">'Matrice des notes'!E51</f>
        <v>1</v>
      </c>
      <c r="F1680" s="37" t="s">
        <v>839</v>
      </c>
      <c r="G1680" s="39" t="s">
        <v>840</v>
      </c>
    </row>
    <row r="1681" customFormat="false" ht="15" hidden="false" customHeight="false" outlineLevel="0" collapsed="false">
      <c r="A1681" s="37" t="s">
        <v>207</v>
      </c>
      <c r="B1681" s="37" t="s">
        <v>231</v>
      </c>
      <c r="C1681" s="37" t="s">
        <v>178</v>
      </c>
      <c r="D1681" s="37" t="s">
        <v>14</v>
      </c>
      <c r="E1681" s="38" t="n">
        <f aca="false">'Matrice des notes'!F51</f>
        <v>1</v>
      </c>
      <c r="F1681" s="37" t="s">
        <v>677</v>
      </c>
      <c r="G1681" s="39" t="s">
        <v>841</v>
      </c>
    </row>
    <row r="1682" customFormat="false" ht="15" hidden="false" customHeight="false" outlineLevel="0" collapsed="false">
      <c r="A1682" s="37" t="s">
        <v>207</v>
      </c>
      <c r="B1682" s="37" t="s">
        <v>231</v>
      </c>
      <c r="C1682" s="37" t="s">
        <v>178</v>
      </c>
      <c r="D1682" s="37" t="s">
        <v>17</v>
      </c>
      <c r="E1682" s="38" t="n">
        <f aca="false">'Matrice des notes'!G51</f>
        <v>1</v>
      </c>
      <c r="F1682" s="37" t="s">
        <v>842</v>
      </c>
      <c r="G1682" s="39" t="s">
        <v>843</v>
      </c>
    </row>
    <row r="1683" customFormat="false" ht="15" hidden="false" customHeight="false" outlineLevel="0" collapsed="false">
      <c r="A1683" s="37" t="s">
        <v>207</v>
      </c>
      <c r="B1683" s="37" t="s">
        <v>231</v>
      </c>
      <c r="C1683" s="37" t="s">
        <v>178</v>
      </c>
      <c r="D1683" s="37" t="s">
        <v>20</v>
      </c>
      <c r="E1683" s="38" t="n">
        <f aca="false">'Matrice des notes'!H51</f>
        <v>1</v>
      </c>
      <c r="F1683" s="37" t="s">
        <v>839</v>
      </c>
      <c r="G1683" s="39" t="s">
        <v>844</v>
      </c>
    </row>
    <row r="1684" customFormat="false" ht="15" hidden="false" customHeight="false" outlineLevel="0" collapsed="false">
      <c r="A1684" s="37" t="s">
        <v>207</v>
      </c>
      <c r="B1684" s="37" t="s">
        <v>231</v>
      </c>
      <c r="C1684" s="37" t="s">
        <v>178</v>
      </c>
      <c r="D1684" s="37" t="s">
        <v>23</v>
      </c>
      <c r="E1684" s="38" t="n">
        <f aca="false">'Matrice des notes'!I51</f>
        <v>1</v>
      </c>
      <c r="F1684" s="37" t="s">
        <v>839</v>
      </c>
      <c r="G1684" s="39" t="s">
        <v>845</v>
      </c>
    </row>
    <row r="1685" customFormat="false" ht="15" hidden="false" customHeight="false" outlineLevel="0" collapsed="false">
      <c r="A1685" s="37" t="s">
        <v>207</v>
      </c>
      <c r="B1685" s="37" t="s">
        <v>231</v>
      </c>
      <c r="C1685" s="37" t="s">
        <v>178</v>
      </c>
      <c r="D1685" s="37" t="s">
        <v>26</v>
      </c>
      <c r="E1685" s="38" t="n">
        <f aca="false">'Matrice des notes'!J51</f>
        <v>1</v>
      </c>
      <c r="F1685" s="37" t="s">
        <v>835</v>
      </c>
      <c r="G1685" s="39" t="s">
        <v>846</v>
      </c>
    </row>
    <row r="1686" customFormat="false" ht="15" hidden="false" customHeight="false" outlineLevel="0" collapsed="false">
      <c r="A1686" s="37" t="s">
        <v>207</v>
      </c>
      <c r="B1686" s="37" t="s">
        <v>231</v>
      </c>
      <c r="C1686" s="37" t="s">
        <v>178</v>
      </c>
      <c r="D1686" s="37" t="s">
        <v>30</v>
      </c>
      <c r="E1686" s="38" t="n">
        <f aca="false">'Matrice des notes'!K51</f>
        <v>1</v>
      </c>
      <c r="F1686" s="37" t="s">
        <v>677</v>
      </c>
      <c r="G1686" s="39" t="s">
        <v>847</v>
      </c>
    </row>
    <row r="1687" customFormat="false" ht="15" hidden="false" customHeight="false" outlineLevel="0" collapsed="false">
      <c r="A1687" s="37" t="s">
        <v>207</v>
      </c>
      <c r="B1687" s="37" t="s">
        <v>231</v>
      </c>
      <c r="C1687" s="37" t="s">
        <v>178</v>
      </c>
      <c r="D1687" s="37" t="s">
        <v>34</v>
      </c>
      <c r="E1687" s="38" t="n">
        <f aca="false">'Matrice des notes'!L51</f>
        <v>3</v>
      </c>
      <c r="F1687" s="37" t="s">
        <v>675</v>
      </c>
      <c r="G1687" s="39" t="s">
        <v>676</v>
      </c>
    </row>
    <row r="1688" customFormat="false" ht="15" hidden="false" customHeight="false" outlineLevel="0" collapsed="false">
      <c r="A1688" s="37" t="s">
        <v>207</v>
      </c>
      <c r="B1688" s="37" t="s">
        <v>231</v>
      </c>
      <c r="C1688" s="37" t="s">
        <v>178</v>
      </c>
      <c r="D1688" s="37" t="s">
        <v>37</v>
      </c>
      <c r="E1688" s="38" t="n">
        <f aca="false">'Matrice des notes'!M51</f>
        <v>1</v>
      </c>
      <c r="F1688" s="37" t="s">
        <v>812</v>
      </c>
      <c r="G1688" s="39" t="s">
        <v>813</v>
      </c>
    </row>
    <row r="1689" customFormat="false" ht="15" hidden="false" customHeight="false" outlineLevel="0" collapsed="false">
      <c r="A1689" s="37" t="s">
        <v>207</v>
      </c>
      <c r="B1689" s="37" t="s">
        <v>231</v>
      </c>
      <c r="C1689" s="37" t="s">
        <v>178</v>
      </c>
      <c r="D1689" s="37" t="s">
        <v>40</v>
      </c>
      <c r="E1689" s="38" t="n">
        <f aca="false">'Matrice des notes'!N51</f>
        <v>1</v>
      </c>
      <c r="F1689" s="37" t="s">
        <v>849</v>
      </c>
      <c r="G1689" s="39" t="s">
        <v>850</v>
      </c>
    </row>
    <row r="1690" customFormat="false" ht="15" hidden="false" customHeight="false" outlineLevel="0" collapsed="false">
      <c r="A1690" s="37" t="s">
        <v>207</v>
      </c>
      <c r="B1690" s="37" t="s">
        <v>231</v>
      </c>
      <c r="C1690" s="37" t="s">
        <v>178</v>
      </c>
      <c r="D1690" s="37" t="s">
        <v>43</v>
      </c>
      <c r="E1690" s="38" t="n">
        <f aca="false">'Matrice des notes'!O51</f>
        <v>1</v>
      </c>
      <c r="F1690" s="37" t="s">
        <v>816</v>
      </c>
      <c r="G1690" s="39" t="s">
        <v>866</v>
      </c>
    </row>
    <row r="1691" customFormat="false" ht="15" hidden="false" customHeight="false" outlineLevel="0" collapsed="false">
      <c r="A1691" s="37" t="s">
        <v>207</v>
      </c>
      <c r="B1691" s="37" t="s">
        <v>231</v>
      </c>
      <c r="C1691" s="37" t="s">
        <v>178</v>
      </c>
      <c r="D1691" s="37" t="s">
        <v>46</v>
      </c>
      <c r="E1691" s="38" t="n">
        <f aca="false">'Matrice des notes'!P51</f>
        <v>1</v>
      </c>
      <c r="F1691" s="37" t="s">
        <v>839</v>
      </c>
      <c r="G1691" s="39" t="s">
        <v>851</v>
      </c>
    </row>
    <row r="1692" customFormat="false" ht="22.35" hidden="false" customHeight="false" outlineLevel="0" collapsed="false">
      <c r="A1692" s="37" t="s">
        <v>207</v>
      </c>
      <c r="B1692" s="37" t="s">
        <v>231</v>
      </c>
      <c r="C1692" s="37" t="s">
        <v>179</v>
      </c>
      <c r="D1692" s="37" t="s">
        <v>49</v>
      </c>
      <c r="E1692" s="38" t="n">
        <f aca="false">'Matrice des notes'!Q51</f>
        <v>1</v>
      </c>
      <c r="F1692" s="37" t="s">
        <v>887</v>
      </c>
      <c r="G1692" s="39" t="s">
        <v>888</v>
      </c>
    </row>
    <row r="1693" customFormat="false" ht="15" hidden="false" customHeight="false" outlineLevel="0" collapsed="false">
      <c r="A1693" s="37" t="s">
        <v>207</v>
      </c>
      <c r="B1693" s="37" t="s">
        <v>231</v>
      </c>
      <c r="C1693" s="37" t="s">
        <v>179</v>
      </c>
      <c r="D1693" s="37" t="s">
        <v>53</v>
      </c>
      <c r="E1693" s="38" t="n">
        <f aca="false">'Matrice des notes'!R51</f>
        <v>3</v>
      </c>
      <c r="F1693" s="37" t="s">
        <v>675</v>
      </c>
      <c r="G1693" s="39" t="s">
        <v>676</v>
      </c>
    </row>
    <row r="1694" customFormat="false" ht="15" hidden="false" customHeight="false" outlineLevel="0" collapsed="false">
      <c r="A1694" s="37" t="s">
        <v>207</v>
      </c>
      <c r="B1694" s="37" t="s">
        <v>231</v>
      </c>
      <c r="C1694" s="37" t="s">
        <v>179</v>
      </c>
      <c r="D1694" s="37" t="s">
        <v>56</v>
      </c>
      <c r="E1694" s="38" t="n">
        <f aca="false">'Matrice des notes'!S51</f>
        <v>1</v>
      </c>
      <c r="F1694" s="37" t="s">
        <v>839</v>
      </c>
      <c r="G1694" s="39" t="s">
        <v>854</v>
      </c>
    </row>
    <row r="1695" customFormat="false" ht="15" hidden="false" customHeight="false" outlineLevel="0" collapsed="false">
      <c r="A1695" s="37" t="s">
        <v>207</v>
      </c>
      <c r="B1695" s="37" t="s">
        <v>231</v>
      </c>
      <c r="C1695" s="37" t="s">
        <v>179</v>
      </c>
      <c r="D1695" s="37" t="s">
        <v>59</v>
      </c>
      <c r="E1695" s="38" t="n">
        <f aca="false">'Matrice des notes'!T51</f>
        <v>1</v>
      </c>
      <c r="F1695" s="37" t="s">
        <v>839</v>
      </c>
      <c r="G1695" s="39" t="s">
        <v>855</v>
      </c>
    </row>
    <row r="1696" customFormat="false" ht="22.35" hidden="false" customHeight="false" outlineLevel="0" collapsed="false">
      <c r="A1696" s="37" t="s">
        <v>207</v>
      </c>
      <c r="B1696" s="37" t="s">
        <v>231</v>
      </c>
      <c r="C1696" s="37" t="s">
        <v>179</v>
      </c>
      <c r="D1696" s="37" t="s">
        <v>62</v>
      </c>
      <c r="E1696" s="38" t="n">
        <f aca="false">'Matrice des notes'!U51</f>
        <v>1</v>
      </c>
      <c r="F1696" s="37" t="s">
        <v>887</v>
      </c>
      <c r="G1696" s="39" t="s">
        <v>889</v>
      </c>
    </row>
    <row r="1697" customFormat="false" ht="15" hidden="false" customHeight="false" outlineLevel="0" collapsed="false">
      <c r="A1697" s="37" t="s">
        <v>207</v>
      </c>
      <c r="B1697" s="37" t="s">
        <v>231</v>
      </c>
      <c r="C1697" s="37" t="s">
        <v>179</v>
      </c>
      <c r="D1697" s="37" t="s">
        <v>65</v>
      </c>
      <c r="E1697" s="38" t="n">
        <f aca="false">'Matrice des notes'!V51</f>
        <v>4</v>
      </c>
      <c r="F1697" s="37" t="s">
        <v>810</v>
      </c>
      <c r="G1697" s="39" t="s">
        <v>963</v>
      </c>
    </row>
    <row r="1698" customFormat="false" ht="15" hidden="false" customHeight="false" outlineLevel="0" collapsed="false">
      <c r="A1698" s="37" t="s">
        <v>207</v>
      </c>
      <c r="B1698" s="37" t="s">
        <v>231</v>
      </c>
      <c r="C1698" s="37" t="s">
        <v>179</v>
      </c>
      <c r="D1698" s="37" t="s">
        <v>68</v>
      </c>
      <c r="E1698" s="38" t="n">
        <f aca="false">'Matrice des notes'!W51</f>
        <v>1</v>
      </c>
      <c r="F1698" s="37" t="s">
        <v>827</v>
      </c>
      <c r="G1698" s="39" t="s">
        <v>872</v>
      </c>
    </row>
    <row r="1699" customFormat="false" ht="15" hidden="false" customHeight="false" outlineLevel="0" collapsed="false">
      <c r="A1699" s="37" t="s">
        <v>207</v>
      </c>
      <c r="B1699" s="37" t="s">
        <v>231</v>
      </c>
      <c r="C1699" s="37" t="s">
        <v>179</v>
      </c>
      <c r="D1699" s="37" t="s">
        <v>71</v>
      </c>
      <c r="E1699" s="38" t="n">
        <f aca="false">'Matrice des notes'!X51</f>
        <v>1</v>
      </c>
      <c r="F1699" s="37" t="s">
        <v>708</v>
      </c>
      <c r="G1699" s="39" t="s">
        <v>857</v>
      </c>
    </row>
    <row r="1700" customFormat="false" ht="15" hidden="false" customHeight="false" outlineLevel="0" collapsed="false">
      <c r="A1700" s="37" t="s">
        <v>207</v>
      </c>
      <c r="B1700" s="37" t="s">
        <v>231</v>
      </c>
      <c r="C1700" s="37" t="s">
        <v>179</v>
      </c>
      <c r="D1700" s="37" t="s">
        <v>74</v>
      </c>
      <c r="E1700" s="38" t="n">
        <f aca="false">'Matrice des notes'!Y51</f>
        <v>4</v>
      </c>
      <c r="F1700" s="37" t="s">
        <v>837</v>
      </c>
      <c r="G1700" s="39" t="s">
        <v>964</v>
      </c>
    </row>
    <row r="1701" customFormat="false" ht="15" hidden="false" customHeight="false" outlineLevel="0" collapsed="false">
      <c r="A1701" s="37" t="s">
        <v>207</v>
      </c>
      <c r="B1701" s="37" t="s">
        <v>231</v>
      </c>
      <c r="C1701" s="37" t="s">
        <v>179</v>
      </c>
      <c r="D1701" s="37" t="s">
        <v>77</v>
      </c>
      <c r="E1701" s="38" t="n">
        <f aca="false">'Matrice des notes'!Z51</f>
        <v>1</v>
      </c>
      <c r="F1701" s="37" t="s">
        <v>842</v>
      </c>
      <c r="G1701" s="39" t="s">
        <v>858</v>
      </c>
    </row>
    <row r="1702" customFormat="false" ht="15" hidden="false" customHeight="false" outlineLevel="0" collapsed="false">
      <c r="A1702" s="37" t="s">
        <v>207</v>
      </c>
      <c r="B1702" s="37" t="s">
        <v>231</v>
      </c>
      <c r="C1702" s="37" t="s">
        <v>179</v>
      </c>
      <c r="D1702" s="37" t="s">
        <v>80</v>
      </c>
      <c r="E1702" s="38" t="n">
        <f aca="false">'Matrice des notes'!AA51</f>
        <v>5</v>
      </c>
      <c r="F1702" s="37" t="s">
        <v>874</v>
      </c>
      <c r="G1702" s="39" t="s">
        <v>875</v>
      </c>
    </row>
    <row r="1703" customFormat="false" ht="15" hidden="false" customHeight="false" outlineLevel="0" collapsed="false">
      <c r="A1703" s="37" t="s">
        <v>207</v>
      </c>
      <c r="B1703" s="37" t="s">
        <v>231</v>
      </c>
      <c r="C1703" s="37" t="s">
        <v>179</v>
      </c>
      <c r="D1703" s="37" t="s">
        <v>83</v>
      </c>
      <c r="E1703" s="38" t="n">
        <f aca="false">'Matrice des notes'!AB51</f>
        <v>2</v>
      </c>
      <c r="F1703" s="37" t="s">
        <v>693</v>
      </c>
      <c r="G1703" s="39" t="s">
        <v>737</v>
      </c>
    </row>
    <row r="1704" customFormat="false" ht="15" hidden="false" customHeight="false" outlineLevel="0" collapsed="false">
      <c r="A1704" s="37" t="s">
        <v>207</v>
      </c>
      <c r="B1704" s="37" t="s">
        <v>231</v>
      </c>
      <c r="C1704" s="37" t="s">
        <v>179</v>
      </c>
      <c r="D1704" s="37" t="s">
        <v>86</v>
      </c>
      <c r="E1704" s="38" t="n">
        <f aca="false">'Matrice des notes'!AC51</f>
        <v>5</v>
      </c>
      <c r="F1704" s="37" t="s">
        <v>876</v>
      </c>
      <c r="G1704" s="39" t="s">
        <v>877</v>
      </c>
    </row>
    <row r="1705" customFormat="false" ht="15" hidden="false" customHeight="false" outlineLevel="0" collapsed="false">
      <c r="A1705" s="37" t="s">
        <v>207</v>
      </c>
      <c r="B1705" s="37" t="s">
        <v>231</v>
      </c>
      <c r="C1705" s="37" t="s">
        <v>179</v>
      </c>
      <c r="D1705" s="37" t="s">
        <v>89</v>
      </c>
      <c r="E1705" s="38" t="n">
        <f aca="false">'Matrice des notes'!AD51</f>
        <v>4</v>
      </c>
      <c r="F1705" s="37" t="s">
        <v>810</v>
      </c>
      <c r="G1705" s="39" t="s">
        <v>963</v>
      </c>
    </row>
    <row r="1706" customFormat="false" ht="15" hidden="false" customHeight="false" outlineLevel="0" collapsed="false">
      <c r="A1706" s="37" t="s">
        <v>207</v>
      </c>
      <c r="B1706" s="37" t="s">
        <v>231</v>
      </c>
      <c r="C1706" s="37" t="s">
        <v>179</v>
      </c>
      <c r="D1706" s="37" t="s">
        <v>92</v>
      </c>
      <c r="E1706" s="38" t="n">
        <f aca="false">'Matrice des notes'!AE51</f>
        <v>3</v>
      </c>
      <c r="F1706" s="37" t="s">
        <v>708</v>
      </c>
      <c r="G1706" s="39" t="s">
        <v>714</v>
      </c>
    </row>
    <row r="1707" customFormat="false" ht="15" hidden="false" customHeight="false" outlineLevel="0" collapsed="false">
      <c r="A1707" s="37" t="s">
        <v>207</v>
      </c>
      <c r="B1707" s="37" t="s">
        <v>231</v>
      </c>
      <c r="C1707" s="37" t="s">
        <v>180</v>
      </c>
      <c r="D1707" s="37" t="s">
        <v>95</v>
      </c>
      <c r="E1707" s="38" t="n">
        <f aca="false">'Matrice des notes'!AF51</f>
        <v>1</v>
      </c>
      <c r="F1707" s="37" t="s">
        <v>631</v>
      </c>
      <c r="G1707" s="39" t="s">
        <v>654</v>
      </c>
    </row>
    <row r="1708" customFormat="false" ht="15" hidden="false" customHeight="false" outlineLevel="0" collapsed="false">
      <c r="A1708" s="37" t="s">
        <v>207</v>
      </c>
      <c r="B1708" s="37" t="s">
        <v>231</v>
      </c>
      <c r="C1708" s="37" t="s">
        <v>180</v>
      </c>
      <c r="D1708" s="37" t="s">
        <v>99</v>
      </c>
      <c r="E1708" s="38" t="n">
        <f aca="false">'Matrice des notes'!AG51</f>
        <v>1</v>
      </c>
      <c r="F1708" s="37" t="s">
        <v>655</v>
      </c>
      <c r="G1708" s="39" t="s">
        <v>656</v>
      </c>
    </row>
    <row r="1709" customFormat="false" ht="15" hidden="false" customHeight="false" outlineLevel="0" collapsed="false">
      <c r="A1709" s="37" t="s">
        <v>207</v>
      </c>
      <c r="B1709" s="37" t="s">
        <v>231</v>
      </c>
      <c r="C1709" s="37" t="s">
        <v>180</v>
      </c>
      <c r="D1709" s="37" t="s">
        <v>102</v>
      </c>
      <c r="E1709" s="38" t="n">
        <f aca="false">'Matrice des notes'!AH51</f>
        <v>1</v>
      </c>
      <c r="F1709" s="37" t="s">
        <v>655</v>
      </c>
      <c r="G1709" s="39" t="s">
        <v>656</v>
      </c>
    </row>
    <row r="1710" customFormat="false" ht="15" hidden="false" customHeight="false" outlineLevel="0" collapsed="false">
      <c r="A1710" s="37" t="s">
        <v>207</v>
      </c>
      <c r="B1710" s="37" t="s">
        <v>231</v>
      </c>
      <c r="C1710" s="37" t="s">
        <v>180</v>
      </c>
      <c r="D1710" s="37" t="s">
        <v>104</v>
      </c>
      <c r="E1710" s="38" t="n">
        <f aca="false">'Matrice des notes'!AI51</f>
        <v>1</v>
      </c>
      <c r="F1710" s="37" t="s">
        <v>631</v>
      </c>
      <c r="G1710" s="39" t="s">
        <v>654</v>
      </c>
    </row>
    <row r="1711" customFormat="false" ht="15" hidden="false" customHeight="false" outlineLevel="0" collapsed="false">
      <c r="A1711" s="37" t="s">
        <v>207</v>
      </c>
      <c r="B1711" s="37" t="s">
        <v>231</v>
      </c>
      <c r="C1711" s="37" t="s">
        <v>180</v>
      </c>
      <c r="D1711" s="37" t="s">
        <v>107</v>
      </c>
      <c r="E1711" s="38" t="n">
        <f aca="false">'Matrice des notes'!AJ51</f>
        <v>1</v>
      </c>
      <c r="F1711" s="37" t="s">
        <v>631</v>
      </c>
      <c r="G1711" s="39" t="s">
        <v>654</v>
      </c>
    </row>
    <row r="1712" customFormat="false" ht="15" hidden="false" customHeight="false" outlineLevel="0" collapsed="false">
      <c r="A1712" s="37" t="s">
        <v>207</v>
      </c>
      <c r="B1712" s="37" t="s">
        <v>231</v>
      </c>
      <c r="C1712" s="37" t="s">
        <v>180</v>
      </c>
      <c r="D1712" s="37" t="s">
        <v>110</v>
      </c>
      <c r="E1712" s="38" t="n">
        <f aca="false">'Matrice des notes'!AK51</f>
        <v>1</v>
      </c>
      <c r="F1712" s="37" t="s">
        <v>631</v>
      </c>
      <c r="G1712" s="39" t="s">
        <v>654</v>
      </c>
    </row>
    <row r="1713" customFormat="false" ht="15" hidden="false" customHeight="false" outlineLevel="0" collapsed="false">
      <c r="A1713" s="37" t="s">
        <v>207</v>
      </c>
      <c r="B1713" s="37" t="s">
        <v>231</v>
      </c>
      <c r="C1713" s="37" t="s">
        <v>180</v>
      </c>
      <c r="D1713" s="37" t="s">
        <v>113</v>
      </c>
      <c r="E1713" s="38" t="n">
        <f aca="false">'Matrice des notes'!AL51</f>
        <v>1</v>
      </c>
      <c r="F1713" s="37" t="s">
        <v>631</v>
      </c>
      <c r="G1713" s="39" t="s">
        <v>654</v>
      </c>
    </row>
    <row r="1714" customFormat="false" ht="15" hidden="false" customHeight="false" outlineLevel="0" collapsed="false">
      <c r="A1714" s="37" t="s">
        <v>207</v>
      </c>
      <c r="B1714" s="37" t="s">
        <v>231</v>
      </c>
      <c r="C1714" s="37" t="s">
        <v>180</v>
      </c>
      <c r="D1714" s="37" t="s">
        <v>116</v>
      </c>
      <c r="E1714" s="38" t="n">
        <f aca="false">'Matrice des notes'!AM51</f>
        <v>1</v>
      </c>
      <c r="F1714" s="37" t="s">
        <v>655</v>
      </c>
      <c r="G1714" s="39" t="s">
        <v>656</v>
      </c>
    </row>
    <row r="1715" customFormat="false" ht="15" hidden="false" customHeight="false" outlineLevel="0" collapsed="false">
      <c r="A1715" s="37" t="s">
        <v>207</v>
      </c>
      <c r="B1715" s="37" t="s">
        <v>231</v>
      </c>
      <c r="C1715" s="37" t="s">
        <v>180</v>
      </c>
      <c r="D1715" s="37" t="s">
        <v>119</v>
      </c>
      <c r="E1715" s="38" t="n">
        <f aca="false">'Matrice des notes'!AN51</f>
        <v>1</v>
      </c>
      <c r="F1715" s="37" t="s">
        <v>631</v>
      </c>
      <c r="G1715" s="39" t="s">
        <v>654</v>
      </c>
    </row>
    <row r="1716" customFormat="false" ht="15" hidden="false" customHeight="false" outlineLevel="0" collapsed="false">
      <c r="A1716" s="37" t="s">
        <v>207</v>
      </c>
      <c r="B1716" s="37" t="s">
        <v>231</v>
      </c>
      <c r="C1716" s="37" t="s">
        <v>180</v>
      </c>
      <c r="D1716" s="37" t="s">
        <v>121</v>
      </c>
      <c r="E1716" s="38" t="n">
        <f aca="false">'Matrice des notes'!AO51</f>
        <v>1</v>
      </c>
      <c r="F1716" s="37" t="s">
        <v>657</v>
      </c>
      <c r="G1716" s="39" t="s">
        <v>658</v>
      </c>
    </row>
    <row r="1717" customFormat="false" ht="15" hidden="false" customHeight="false" outlineLevel="0" collapsed="false">
      <c r="A1717" s="37" t="s">
        <v>207</v>
      </c>
      <c r="B1717" s="37" t="s">
        <v>231</v>
      </c>
      <c r="C1717" s="37" t="s">
        <v>180</v>
      </c>
      <c r="D1717" s="37" t="s">
        <v>124</v>
      </c>
      <c r="E1717" s="38" t="n">
        <f aca="false">'Matrice des notes'!AP51</f>
        <v>2</v>
      </c>
      <c r="F1717" s="37" t="s">
        <v>659</v>
      </c>
      <c r="G1717" s="39" t="s">
        <v>965</v>
      </c>
    </row>
    <row r="1718" customFormat="false" ht="22.35" hidden="false" customHeight="false" outlineLevel="0" collapsed="false">
      <c r="A1718" s="37" t="s">
        <v>207</v>
      </c>
      <c r="B1718" s="37" t="s">
        <v>232</v>
      </c>
      <c r="C1718" s="37" t="s">
        <v>178</v>
      </c>
      <c r="D1718" s="37" t="s">
        <v>7</v>
      </c>
      <c r="E1718" s="38" t="n">
        <f aca="false">'Matrice des notes'!D52</f>
        <v>1</v>
      </c>
      <c r="F1718" s="37" t="s">
        <v>720</v>
      </c>
      <c r="G1718" s="39" t="s">
        <v>890</v>
      </c>
    </row>
    <row r="1719" customFormat="false" ht="15" hidden="false" customHeight="false" outlineLevel="0" collapsed="false">
      <c r="A1719" s="37" t="s">
        <v>207</v>
      </c>
      <c r="B1719" s="37" t="s">
        <v>232</v>
      </c>
      <c r="C1719" s="37" t="s">
        <v>178</v>
      </c>
      <c r="D1719" s="37" t="s">
        <v>11</v>
      </c>
      <c r="E1719" s="38" t="n">
        <f aca="false">'Matrice des notes'!E52</f>
        <v>1</v>
      </c>
      <c r="F1719" s="37" t="s">
        <v>839</v>
      </c>
      <c r="G1719" s="39" t="s">
        <v>840</v>
      </c>
    </row>
    <row r="1720" customFormat="false" ht="15" hidden="false" customHeight="false" outlineLevel="0" collapsed="false">
      <c r="A1720" s="37" t="s">
        <v>207</v>
      </c>
      <c r="B1720" s="37" t="s">
        <v>232</v>
      </c>
      <c r="C1720" s="37" t="s">
        <v>178</v>
      </c>
      <c r="D1720" s="37" t="s">
        <v>14</v>
      </c>
      <c r="E1720" s="38" t="n">
        <f aca="false">'Matrice des notes'!F52</f>
        <v>1</v>
      </c>
      <c r="F1720" s="37" t="s">
        <v>677</v>
      </c>
      <c r="G1720" s="39" t="s">
        <v>841</v>
      </c>
    </row>
    <row r="1721" customFormat="false" ht="15" hidden="false" customHeight="false" outlineLevel="0" collapsed="false">
      <c r="A1721" s="37" t="s">
        <v>207</v>
      </c>
      <c r="B1721" s="37" t="s">
        <v>232</v>
      </c>
      <c r="C1721" s="37" t="s">
        <v>178</v>
      </c>
      <c r="D1721" s="37" t="s">
        <v>17</v>
      </c>
      <c r="E1721" s="38" t="n">
        <f aca="false">'Matrice des notes'!G52</f>
        <v>1</v>
      </c>
      <c r="F1721" s="37" t="s">
        <v>842</v>
      </c>
      <c r="G1721" s="39" t="s">
        <v>843</v>
      </c>
    </row>
    <row r="1722" customFormat="false" ht="15" hidden="false" customHeight="false" outlineLevel="0" collapsed="false">
      <c r="A1722" s="37" t="s">
        <v>207</v>
      </c>
      <c r="B1722" s="37" t="s">
        <v>232</v>
      </c>
      <c r="C1722" s="37" t="s">
        <v>178</v>
      </c>
      <c r="D1722" s="37" t="s">
        <v>20</v>
      </c>
      <c r="E1722" s="38" t="n">
        <f aca="false">'Matrice des notes'!H52</f>
        <v>1</v>
      </c>
      <c r="F1722" s="37" t="s">
        <v>839</v>
      </c>
      <c r="G1722" s="39" t="s">
        <v>844</v>
      </c>
    </row>
    <row r="1723" customFormat="false" ht="15" hidden="false" customHeight="false" outlineLevel="0" collapsed="false">
      <c r="A1723" s="37" t="s">
        <v>207</v>
      </c>
      <c r="B1723" s="37" t="s">
        <v>232</v>
      </c>
      <c r="C1723" s="37" t="s">
        <v>178</v>
      </c>
      <c r="D1723" s="37" t="s">
        <v>23</v>
      </c>
      <c r="E1723" s="38" t="n">
        <f aca="false">'Matrice des notes'!I52</f>
        <v>1</v>
      </c>
      <c r="F1723" s="37" t="s">
        <v>839</v>
      </c>
      <c r="G1723" s="39" t="s">
        <v>845</v>
      </c>
    </row>
    <row r="1724" customFormat="false" ht="15" hidden="false" customHeight="false" outlineLevel="0" collapsed="false">
      <c r="A1724" s="37" t="s">
        <v>207</v>
      </c>
      <c r="B1724" s="37" t="s">
        <v>232</v>
      </c>
      <c r="C1724" s="37" t="s">
        <v>178</v>
      </c>
      <c r="D1724" s="37" t="s">
        <v>26</v>
      </c>
      <c r="E1724" s="38" t="n">
        <f aca="false">'Matrice des notes'!J52</f>
        <v>1</v>
      </c>
      <c r="F1724" s="37" t="s">
        <v>835</v>
      </c>
      <c r="G1724" s="39" t="s">
        <v>846</v>
      </c>
    </row>
    <row r="1725" customFormat="false" ht="15" hidden="false" customHeight="false" outlineLevel="0" collapsed="false">
      <c r="A1725" s="37" t="s">
        <v>207</v>
      </c>
      <c r="B1725" s="37" t="s">
        <v>232</v>
      </c>
      <c r="C1725" s="37" t="s">
        <v>178</v>
      </c>
      <c r="D1725" s="37" t="s">
        <v>30</v>
      </c>
      <c r="E1725" s="38" t="n">
        <f aca="false">'Matrice des notes'!K52</f>
        <v>1</v>
      </c>
      <c r="F1725" s="37" t="s">
        <v>677</v>
      </c>
      <c r="G1725" s="39" t="s">
        <v>847</v>
      </c>
    </row>
    <row r="1726" customFormat="false" ht="15" hidden="false" customHeight="false" outlineLevel="0" collapsed="false">
      <c r="A1726" s="37" t="s">
        <v>207</v>
      </c>
      <c r="B1726" s="37" t="s">
        <v>232</v>
      </c>
      <c r="C1726" s="37" t="s">
        <v>178</v>
      </c>
      <c r="D1726" s="37" t="s">
        <v>34</v>
      </c>
      <c r="E1726" s="38" t="n">
        <f aca="false">'Matrice des notes'!L52</f>
        <v>2</v>
      </c>
      <c r="F1726" s="37" t="s">
        <v>891</v>
      </c>
      <c r="G1726" s="39" t="s">
        <v>892</v>
      </c>
    </row>
    <row r="1727" customFormat="false" ht="15" hidden="false" customHeight="false" outlineLevel="0" collapsed="false">
      <c r="A1727" s="37" t="s">
        <v>207</v>
      </c>
      <c r="B1727" s="37" t="s">
        <v>232</v>
      </c>
      <c r="C1727" s="37" t="s">
        <v>178</v>
      </c>
      <c r="D1727" s="37" t="s">
        <v>37</v>
      </c>
      <c r="E1727" s="38" t="n">
        <f aca="false">'Matrice des notes'!M52</f>
        <v>1</v>
      </c>
      <c r="F1727" s="37" t="s">
        <v>812</v>
      </c>
      <c r="G1727" s="39" t="s">
        <v>813</v>
      </c>
    </row>
    <row r="1728" customFormat="false" ht="15" hidden="false" customHeight="false" outlineLevel="0" collapsed="false">
      <c r="A1728" s="37" t="s">
        <v>207</v>
      </c>
      <c r="B1728" s="37" t="s">
        <v>232</v>
      </c>
      <c r="C1728" s="37" t="s">
        <v>178</v>
      </c>
      <c r="D1728" s="37" t="s">
        <v>40</v>
      </c>
      <c r="E1728" s="38" t="n">
        <f aca="false">'Matrice des notes'!N52</f>
        <v>1</v>
      </c>
      <c r="F1728" s="37" t="s">
        <v>849</v>
      </c>
      <c r="G1728" s="39" t="s">
        <v>850</v>
      </c>
    </row>
    <row r="1729" customFormat="false" ht="15" hidden="false" customHeight="false" outlineLevel="0" collapsed="false">
      <c r="A1729" s="37" t="s">
        <v>207</v>
      </c>
      <c r="B1729" s="37" t="s">
        <v>232</v>
      </c>
      <c r="C1729" s="37" t="s">
        <v>178</v>
      </c>
      <c r="D1729" s="37" t="s">
        <v>43</v>
      </c>
      <c r="E1729" s="38" t="n">
        <f aca="false">'Matrice des notes'!O52</f>
        <v>1</v>
      </c>
      <c r="F1729" s="37" t="s">
        <v>816</v>
      </c>
      <c r="G1729" s="39" t="s">
        <v>866</v>
      </c>
    </row>
    <row r="1730" customFormat="false" ht="15" hidden="false" customHeight="false" outlineLevel="0" collapsed="false">
      <c r="A1730" s="37" t="s">
        <v>207</v>
      </c>
      <c r="B1730" s="37" t="s">
        <v>232</v>
      </c>
      <c r="C1730" s="37" t="s">
        <v>178</v>
      </c>
      <c r="D1730" s="37" t="s">
        <v>46</v>
      </c>
      <c r="E1730" s="38" t="n">
        <f aca="false">'Matrice des notes'!P52</f>
        <v>1</v>
      </c>
      <c r="F1730" s="37" t="s">
        <v>839</v>
      </c>
      <c r="G1730" s="39" t="s">
        <v>851</v>
      </c>
    </row>
    <row r="1731" customFormat="false" ht="22.35" hidden="false" customHeight="false" outlineLevel="0" collapsed="false">
      <c r="A1731" s="37" t="s">
        <v>207</v>
      </c>
      <c r="B1731" s="37" t="s">
        <v>232</v>
      </c>
      <c r="C1731" s="37" t="s">
        <v>179</v>
      </c>
      <c r="D1731" s="37" t="s">
        <v>49</v>
      </c>
      <c r="E1731" s="38" t="n">
        <f aca="false">'Matrice des notes'!Q52</f>
        <v>1</v>
      </c>
      <c r="F1731" s="37" t="s">
        <v>867</v>
      </c>
      <c r="G1731" s="39" t="s">
        <v>868</v>
      </c>
    </row>
    <row r="1732" customFormat="false" ht="15" hidden="false" customHeight="false" outlineLevel="0" collapsed="false">
      <c r="A1732" s="37" t="s">
        <v>207</v>
      </c>
      <c r="B1732" s="37" t="s">
        <v>232</v>
      </c>
      <c r="C1732" s="37" t="s">
        <v>179</v>
      </c>
      <c r="D1732" s="37" t="s">
        <v>53</v>
      </c>
      <c r="E1732" s="38" t="n">
        <f aca="false">'Matrice des notes'!R52</f>
        <v>2</v>
      </c>
      <c r="F1732" s="37" t="s">
        <v>891</v>
      </c>
      <c r="G1732" s="39" t="s">
        <v>893</v>
      </c>
    </row>
    <row r="1733" customFormat="false" ht="15" hidden="false" customHeight="false" outlineLevel="0" collapsed="false">
      <c r="A1733" s="37" t="s">
        <v>207</v>
      </c>
      <c r="B1733" s="37" t="s">
        <v>232</v>
      </c>
      <c r="C1733" s="37" t="s">
        <v>179</v>
      </c>
      <c r="D1733" s="37" t="s">
        <v>56</v>
      </c>
      <c r="E1733" s="38" t="n">
        <f aca="false">'Matrice des notes'!S52</f>
        <v>1</v>
      </c>
      <c r="F1733" s="37" t="s">
        <v>839</v>
      </c>
      <c r="G1733" s="39" t="s">
        <v>854</v>
      </c>
    </row>
    <row r="1734" customFormat="false" ht="15" hidden="false" customHeight="false" outlineLevel="0" collapsed="false">
      <c r="A1734" s="37" t="s">
        <v>207</v>
      </c>
      <c r="B1734" s="37" t="s">
        <v>232</v>
      </c>
      <c r="C1734" s="37" t="s">
        <v>179</v>
      </c>
      <c r="D1734" s="37" t="s">
        <v>59</v>
      </c>
      <c r="E1734" s="38" t="n">
        <f aca="false">'Matrice des notes'!T52</f>
        <v>1</v>
      </c>
      <c r="F1734" s="37" t="s">
        <v>839</v>
      </c>
      <c r="G1734" s="39" t="s">
        <v>855</v>
      </c>
    </row>
    <row r="1735" customFormat="false" ht="22.35" hidden="false" customHeight="false" outlineLevel="0" collapsed="false">
      <c r="A1735" s="37" t="s">
        <v>207</v>
      </c>
      <c r="B1735" s="37" t="s">
        <v>232</v>
      </c>
      <c r="C1735" s="37" t="s">
        <v>179</v>
      </c>
      <c r="D1735" s="37" t="s">
        <v>62</v>
      </c>
      <c r="E1735" s="38" t="n">
        <f aca="false">'Matrice des notes'!U52</f>
        <v>1</v>
      </c>
      <c r="F1735" s="37" t="s">
        <v>867</v>
      </c>
      <c r="G1735" s="39" t="s">
        <v>869</v>
      </c>
    </row>
    <row r="1736" customFormat="false" ht="15" hidden="false" customHeight="false" outlineLevel="0" collapsed="false">
      <c r="A1736" s="37" t="s">
        <v>207</v>
      </c>
      <c r="B1736" s="37" t="s">
        <v>232</v>
      </c>
      <c r="C1736" s="37" t="s">
        <v>179</v>
      </c>
      <c r="D1736" s="37" t="s">
        <v>65</v>
      </c>
      <c r="E1736" s="38" t="n">
        <f aca="false">'Matrice des notes'!V52</f>
        <v>3</v>
      </c>
      <c r="F1736" s="37" t="s">
        <v>903</v>
      </c>
      <c r="G1736" s="39" t="s">
        <v>904</v>
      </c>
    </row>
    <row r="1737" customFormat="false" ht="15" hidden="false" customHeight="false" outlineLevel="0" collapsed="false">
      <c r="A1737" s="37" t="s">
        <v>207</v>
      </c>
      <c r="B1737" s="37" t="s">
        <v>232</v>
      </c>
      <c r="C1737" s="37" t="s">
        <v>179</v>
      </c>
      <c r="D1737" s="37" t="s">
        <v>68</v>
      </c>
      <c r="E1737" s="38" t="n">
        <f aca="false">'Matrice des notes'!W52</f>
        <v>1</v>
      </c>
      <c r="F1737" s="37" t="s">
        <v>827</v>
      </c>
      <c r="G1737" s="39" t="s">
        <v>872</v>
      </c>
    </row>
    <row r="1738" customFormat="false" ht="15" hidden="false" customHeight="false" outlineLevel="0" collapsed="false">
      <c r="A1738" s="37" t="s">
        <v>207</v>
      </c>
      <c r="B1738" s="37" t="s">
        <v>232</v>
      </c>
      <c r="C1738" s="37" t="s">
        <v>179</v>
      </c>
      <c r="D1738" s="37" t="s">
        <v>71</v>
      </c>
      <c r="E1738" s="38" t="n">
        <f aca="false">'Matrice des notes'!X52</f>
        <v>1</v>
      </c>
      <c r="F1738" s="37" t="s">
        <v>708</v>
      </c>
      <c r="G1738" s="39" t="s">
        <v>857</v>
      </c>
    </row>
    <row r="1739" customFormat="false" ht="15" hidden="false" customHeight="false" outlineLevel="0" collapsed="false">
      <c r="A1739" s="37" t="s">
        <v>207</v>
      </c>
      <c r="B1739" s="37" t="s">
        <v>232</v>
      </c>
      <c r="C1739" s="37" t="s">
        <v>179</v>
      </c>
      <c r="D1739" s="37" t="s">
        <v>74</v>
      </c>
      <c r="E1739" s="38" t="n">
        <f aca="false">'Matrice des notes'!Y52</f>
        <v>3</v>
      </c>
      <c r="F1739" s="37" t="s">
        <v>673</v>
      </c>
      <c r="G1739" s="39" t="s">
        <v>896</v>
      </c>
    </row>
    <row r="1740" customFormat="false" ht="15" hidden="false" customHeight="false" outlineLevel="0" collapsed="false">
      <c r="A1740" s="37" t="s">
        <v>207</v>
      </c>
      <c r="B1740" s="37" t="s">
        <v>232</v>
      </c>
      <c r="C1740" s="37" t="s">
        <v>179</v>
      </c>
      <c r="D1740" s="37" t="s">
        <v>77</v>
      </c>
      <c r="E1740" s="38" t="n">
        <f aca="false">'Matrice des notes'!Z52</f>
        <v>1</v>
      </c>
      <c r="F1740" s="37" t="s">
        <v>842</v>
      </c>
      <c r="G1740" s="39" t="s">
        <v>858</v>
      </c>
    </row>
    <row r="1741" customFormat="false" ht="15" hidden="false" customHeight="false" outlineLevel="0" collapsed="false">
      <c r="A1741" s="37" t="s">
        <v>207</v>
      </c>
      <c r="B1741" s="37" t="s">
        <v>232</v>
      </c>
      <c r="C1741" s="37" t="s">
        <v>179</v>
      </c>
      <c r="D1741" s="37" t="s">
        <v>80</v>
      </c>
      <c r="E1741" s="38" t="n">
        <f aca="false">'Matrice des notes'!AA52</f>
        <v>3</v>
      </c>
      <c r="F1741" s="37" t="s">
        <v>907</v>
      </c>
      <c r="G1741" s="39" t="s">
        <v>908</v>
      </c>
    </row>
    <row r="1742" customFormat="false" ht="22.35" hidden="false" customHeight="false" outlineLevel="0" collapsed="false">
      <c r="A1742" s="37" t="s">
        <v>207</v>
      </c>
      <c r="B1742" s="37" t="s">
        <v>232</v>
      </c>
      <c r="C1742" s="37" t="s">
        <v>179</v>
      </c>
      <c r="D1742" s="37" t="s">
        <v>83</v>
      </c>
      <c r="E1742" s="38" t="n">
        <f aca="false">'Matrice des notes'!AB52</f>
        <v>1</v>
      </c>
      <c r="F1742" s="37" t="s">
        <v>898</v>
      </c>
      <c r="G1742" s="39" t="s">
        <v>899</v>
      </c>
    </row>
    <row r="1743" customFormat="false" ht="15" hidden="false" customHeight="false" outlineLevel="0" collapsed="false">
      <c r="A1743" s="37" t="s">
        <v>207</v>
      </c>
      <c r="B1743" s="37" t="s">
        <v>232</v>
      </c>
      <c r="C1743" s="37" t="s">
        <v>179</v>
      </c>
      <c r="D1743" s="37" t="s">
        <v>86</v>
      </c>
      <c r="E1743" s="38" t="n">
        <f aca="false">'Matrice des notes'!AC52</f>
        <v>3</v>
      </c>
      <c r="F1743" s="37" t="s">
        <v>935</v>
      </c>
      <c r="G1743" s="39" t="s">
        <v>936</v>
      </c>
    </row>
    <row r="1744" customFormat="false" ht="15" hidden="false" customHeight="false" outlineLevel="0" collapsed="false">
      <c r="A1744" s="37" t="s">
        <v>207</v>
      </c>
      <c r="B1744" s="37" t="s">
        <v>232</v>
      </c>
      <c r="C1744" s="37" t="s">
        <v>179</v>
      </c>
      <c r="D1744" s="37" t="s">
        <v>89</v>
      </c>
      <c r="E1744" s="38" t="n">
        <f aca="false">'Matrice des notes'!AD52</f>
        <v>3</v>
      </c>
      <c r="F1744" s="37" t="s">
        <v>937</v>
      </c>
      <c r="G1744" s="39" t="s">
        <v>938</v>
      </c>
    </row>
    <row r="1745" customFormat="false" ht="15" hidden="false" customHeight="false" outlineLevel="0" collapsed="false">
      <c r="A1745" s="37" t="s">
        <v>207</v>
      </c>
      <c r="B1745" s="37" t="s">
        <v>232</v>
      </c>
      <c r="C1745" s="37" t="s">
        <v>179</v>
      </c>
      <c r="D1745" s="37" t="s">
        <v>92</v>
      </c>
      <c r="E1745" s="38" t="n">
        <f aca="false">'Matrice des notes'!AE52</f>
        <v>2</v>
      </c>
      <c r="F1745" s="37" t="s">
        <v>900</v>
      </c>
      <c r="G1745" s="39" t="s">
        <v>901</v>
      </c>
    </row>
    <row r="1746" customFormat="false" ht="15" hidden="false" customHeight="false" outlineLevel="0" collapsed="false">
      <c r="A1746" s="37" t="s">
        <v>207</v>
      </c>
      <c r="B1746" s="37" t="s">
        <v>232</v>
      </c>
      <c r="C1746" s="37" t="s">
        <v>180</v>
      </c>
      <c r="D1746" s="37" t="s">
        <v>95</v>
      </c>
      <c r="E1746" s="38" t="n">
        <f aca="false">'Matrice des notes'!AF52</f>
        <v>1</v>
      </c>
      <c r="F1746" s="37" t="s">
        <v>631</v>
      </c>
      <c r="G1746" s="39" t="s">
        <v>654</v>
      </c>
    </row>
    <row r="1747" customFormat="false" ht="15" hidden="false" customHeight="false" outlineLevel="0" collapsed="false">
      <c r="A1747" s="37" t="s">
        <v>207</v>
      </c>
      <c r="B1747" s="37" t="s">
        <v>232</v>
      </c>
      <c r="C1747" s="37" t="s">
        <v>180</v>
      </c>
      <c r="D1747" s="37" t="s">
        <v>99</v>
      </c>
      <c r="E1747" s="38" t="n">
        <f aca="false">'Matrice des notes'!AG52</f>
        <v>1</v>
      </c>
      <c r="F1747" s="37" t="s">
        <v>655</v>
      </c>
      <c r="G1747" s="39" t="s">
        <v>656</v>
      </c>
    </row>
    <row r="1748" customFormat="false" ht="15" hidden="false" customHeight="false" outlineLevel="0" collapsed="false">
      <c r="A1748" s="37" t="s">
        <v>207</v>
      </c>
      <c r="B1748" s="37" t="s">
        <v>232</v>
      </c>
      <c r="C1748" s="37" t="s">
        <v>180</v>
      </c>
      <c r="D1748" s="37" t="s">
        <v>102</v>
      </c>
      <c r="E1748" s="38" t="n">
        <f aca="false">'Matrice des notes'!AH52</f>
        <v>1</v>
      </c>
      <c r="F1748" s="37" t="s">
        <v>655</v>
      </c>
      <c r="G1748" s="39" t="s">
        <v>656</v>
      </c>
    </row>
    <row r="1749" customFormat="false" ht="15" hidden="false" customHeight="false" outlineLevel="0" collapsed="false">
      <c r="A1749" s="37" t="s">
        <v>207</v>
      </c>
      <c r="B1749" s="37" t="s">
        <v>232</v>
      </c>
      <c r="C1749" s="37" t="s">
        <v>180</v>
      </c>
      <c r="D1749" s="37" t="s">
        <v>104</v>
      </c>
      <c r="E1749" s="38" t="n">
        <f aca="false">'Matrice des notes'!AI52</f>
        <v>1</v>
      </c>
      <c r="F1749" s="37" t="s">
        <v>631</v>
      </c>
      <c r="G1749" s="39" t="s">
        <v>654</v>
      </c>
    </row>
    <row r="1750" customFormat="false" ht="15" hidden="false" customHeight="false" outlineLevel="0" collapsed="false">
      <c r="A1750" s="37" t="s">
        <v>207</v>
      </c>
      <c r="B1750" s="37" t="s">
        <v>232</v>
      </c>
      <c r="C1750" s="37" t="s">
        <v>180</v>
      </c>
      <c r="D1750" s="37" t="s">
        <v>107</v>
      </c>
      <c r="E1750" s="38" t="n">
        <f aca="false">'Matrice des notes'!AJ52</f>
        <v>1</v>
      </c>
      <c r="F1750" s="37" t="s">
        <v>631</v>
      </c>
      <c r="G1750" s="39" t="s">
        <v>654</v>
      </c>
    </row>
    <row r="1751" customFormat="false" ht="15" hidden="false" customHeight="false" outlineLevel="0" collapsed="false">
      <c r="A1751" s="37" t="s">
        <v>207</v>
      </c>
      <c r="B1751" s="37" t="s">
        <v>232</v>
      </c>
      <c r="C1751" s="37" t="s">
        <v>180</v>
      </c>
      <c r="D1751" s="37" t="s">
        <v>110</v>
      </c>
      <c r="E1751" s="38" t="n">
        <f aca="false">'Matrice des notes'!AK52</f>
        <v>1</v>
      </c>
      <c r="F1751" s="37" t="s">
        <v>631</v>
      </c>
      <c r="G1751" s="39" t="s">
        <v>654</v>
      </c>
    </row>
    <row r="1752" customFormat="false" ht="15" hidden="false" customHeight="false" outlineLevel="0" collapsed="false">
      <c r="A1752" s="37" t="s">
        <v>207</v>
      </c>
      <c r="B1752" s="37" t="s">
        <v>232</v>
      </c>
      <c r="C1752" s="37" t="s">
        <v>180</v>
      </c>
      <c r="D1752" s="37" t="s">
        <v>113</v>
      </c>
      <c r="E1752" s="38" t="n">
        <f aca="false">'Matrice des notes'!AL52</f>
        <v>1</v>
      </c>
      <c r="F1752" s="37" t="s">
        <v>631</v>
      </c>
      <c r="G1752" s="39" t="s">
        <v>654</v>
      </c>
    </row>
    <row r="1753" customFormat="false" ht="15" hidden="false" customHeight="false" outlineLevel="0" collapsed="false">
      <c r="A1753" s="37" t="s">
        <v>207</v>
      </c>
      <c r="B1753" s="37" t="s">
        <v>232</v>
      </c>
      <c r="C1753" s="37" t="s">
        <v>180</v>
      </c>
      <c r="D1753" s="37" t="s">
        <v>116</v>
      </c>
      <c r="E1753" s="38" t="n">
        <f aca="false">'Matrice des notes'!AM52</f>
        <v>1</v>
      </c>
      <c r="F1753" s="37" t="s">
        <v>655</v>
      </c>
      <c r="G1753" s="39" t="s">
        <v>656</v>
      </c>
    </row>
    <row r="1754" customFormat="false" ht="15" hidden="false" customHeight="false" outlineLevel="0" collapsed="false">
      <c r="A1754" s="37" t="s">
        <v>207</v>
      </c>
      <c r="B1754" s="37" t="s">
        <v>232</v>
      </c>
      <c r="C1754" s="37" t="s">
        <v>180</v>
      </c>
      <c r="D1754" s="37" t="s">
        <v>119</v>
      </c>
      <c r="E1754" s="38" t="n">
        <f aca="false">'Matrice des notes'!AN52</f>
        <v>1</v>
      </c>
      <c r="F1754" s="37" t="s">
        <v>631</v>
      </c>
      <c r="G1754" s="39" t="s">
        <v>654</v>
      </c>
    </row>
    <row r="1755" customFormat="false" ht="15" hidden="false" customHeight="false" outlineLevel="0" collapsed="false">
      <c r="A1755" s="37" t="s">
        <v>207</v>
      </c>
      <c r="B1755" s="37" t="s">
        <v>232</v>
      </c>
      <c r="C1755" s="37" t="s">
        <v>180</v>
      </c>
      <c r="D1755" s="37" t="s">
        <v>121</v>
      </c>
      <c r="E1755" s="38" t="n">
        <f aca="false">'Matrice des notes'!AO52</f>
        <v>1</v>
      </c>
      <c r="F1755" s="37" t="s">
        <v>657</v>
      </c>
      <c r="G1755" s="39" t="s">
        <v>658</v>
      </c>
    </row>
    <row r="1756" customFormat="false" ht="15" hidden="false" customHeight="false" outlineLevel="0" collapsed="false">
      <c r="A1756" s="37" t="s">
        <v>207</v>
      </c>
      <c r="B1756" s="37" t="s">
        <v>232</v>
      </c>
      <c r="C1756" s="37" t="s">
        <v>180</v>
      </c>
      <c r="D1756" s="37" t="s">
        <v>124</v>
      </c>
      <c r="E1756" s="38" t="n">
        <f aca="false">'Matrice des notes'!AP52</f>
        <v>1</v>
      </c>
      <c r="F1756" s="37" t="s">
        <v>863</v>
      </c>
      <c r="G1756" s="39" t="s">
        <v>864</v>
      </c>
    </row>
    <row r="1757" customFormat="false" ht="15" hidden="false" customHeight="false" outlineLevel="0" collapsed="false">
      <c r="A1757" s="37" t="s">
        <v>207</v>
      </c>
      <c r="B1757" s="37" t="s">
        <v>233</v>
      </c>
      <c r="C1757" s="37" t="s">
        <v>178</v>
      </c>
      <c r="D1757" s="37" t="s">
        <v>7</v>
      </c>
      <c r="E1757" s="38" t="n">
        <f aca="false">'Matrice des notes'!D53</f>
        <v>1</v>
      </c>
      <c r="F1757" s="37" t="s">
        <v>673</v>
      </c>
      <c r="G1757" s="39" t="s">
        <v>902</v>
      </c>
    </row>
    <row r="1758" customFormat="false" ht="15" hidden="false" customHeight="false" outlineLevel="0" collapsed="false">
      <c r="A1758" s="37" t="s">
        <v>207</v>
      </c>
      <c r="B1758" s="37" t="s">
        <v>233</v>
      </c>
      <c r="C1758" s="37" t="s">
        <v>178</v>
      </c>
      <c r="D1758" s="37" t="s">
        <v>11</v>
      </c>
      <c r="E1758" s="38" t="n">
        <f aca="false">'Matrice des notes'!E53</f>
        <v>1</v>
      </c>
      <c r="F1758" s="37" t="s">
        <v>839</v>
      </c>
      <c r="G1758" s="39" t="s">
        <v>840</v>
      </c>
    </row>
    <row r="1759" customFormat="false" ht="15" hidden="false" customHeight="false" outlineLevel="0" collapsed="false">
      <c r="A1759" s="37" t="s">
        <v>207</v>
      </c>
      <c r="B1759" s="37" t="s">
        <v>233</v>
      </c>
      <c r="C1759" s="37" t="s">
        <v>178</v>
      </c>
      <c r="D1759" s="37" t="s">
        <v>14</v>
      </c>
      <c r="E1759" s="38" t="n">
        <f aca="false">'Matrice des notes'!F53</f>
        <v>1</v>
      </c>
      <c r="F1759" s="37" t="s">
        <v>677</v>
      </c>
      <c r="G1759" s="39" t="s">
        <v>841</v>
      </c>
    </row>
    <row r="1760" customFormat="false" ht="15" hidden="false" customHeight="false" outlineLevel="0" collapsed="false">
      <c r="A1760" s="37" t="s">
        <v>207</v>
      </c>
      <c r="B1760" s="37" t="s">
        <v>233</v>
      </c>
      <c r="C1760" s="37" t="s">
        <v>178</v>
      </c>
      <c r="D1760" s="37" t="s">
        <v>17</v>
      </c>
      <c r="E1760" s="38" t="n">
        <f aca="false">'Matrice des notes'!G53</f>
        <v>1</v>
      </c>
      <c r="F1760" s="37" t="s">
        <v>842</v>
      </c>
      <c r="G1760" s="39" t="s">
        <v>843</v>
      </c>
    </row>
    <row r="1761" customFormat="false" ht="15" hidden="false" customHeight="false" outlineLevel="0" collapsed="false">
      <c r="A1761" s="37" t="s">
        <v>207</v>
      </c>
      <c r="B1761" s="37" t="s">
        <v>233</v>
      </c>
      <c r="C1761" s="37" t="s">
        <v>178</v>
      </c>
      <c r="D1761" s="37" t="s">
        <v>20</v>
      </c>
      <c r="E1761" s="38" t="n">
        <f aca="false">'Matrice des notes'!H53</f>
        <v>1</v>
      </c>
      <c r="F1761" s="37" t="s">
        <v>839</v>
      </c>
      <c r="G1761" s="39" t="s">
        <v>844</v>
      </c>
    </row>
    <row r="1762" customFormat="false" ht="15" hidden="false" customHeight="false" outlineLevel="0" collapsed="false">
      <c r="A1762" s="37" t="s">
        <v>207</v>
      </c>
      <c r="B1762" s="37" t="s">
        <v>233</v>
      </c>
      <c r="C1762" s="37" t="s">
        <v>178</v>
      </c>
      <c r="D1762" s="37" t="s">
        <v>23</v>
      </c>
      <c r="E1762" s="38" t="n">
        <f aca="false">'Matrice des notes'!I53</f>
        <v>1</v>
      </c>
      <c r="F1762" s="37" t="s">
        <v>839</v>
      </c>
      <c r="G1762" s="39" t="s">
        <v>845</v>
      </c>
    </row>
    <row r="1763" customFormat="false" ht="15" hidden="false" customHeight="false" outlineLevel="0" collapsed="false">
      <c r="A1763" s="37" t="s">
        <v>207</v>
      </c>
      <c r="B1763" s="37" t="s">
        <v>233</v>
      </c>
      <c r="C1763" s="37" t="s">
        <v>178</v>
      </c>
      <c r="D1763" s="37" t="s">
        <v>26</v>
      </c>
      <c r="E1763" s="38" t="n">
        <f aca="false">'Matrice des notes'!J53</f>
        <v>1</v>
      </c>
      <c r="F1763" s="37" t="s">
        <v>835</v>
      </c>
      <c r="G1763" s="39" t="s">
        <v>846</v>
      </c>
    </row>
    <row r="1764" customFormat="false" ht="15" hidden="false" customHeight="false" outlineLevel="0" collapsed="false">
      <c r="A1764" s="37" t="s">
        <v>207</v>
      </c>
      <c r="B1764" s="37" t="s">
        <v>233</v>
      </c>
      <c r="C1764" s="37" t="s">
        <v>178</v>
      </c>
      <c r="D1764" s="37" t="s">
        <v>30</v>
      </c>
      <c r="E1764" s="38" t="n">
        <f aca="false">'Matrice des notes'!K53</f>
        <v>1</v>
      </c>
      <c r="F1764" s="37" t="s">
        <v>677</v>
      </c>
      <c r="G1764" s="39" t="s">
        <v>847</v>
      </c>
    </row>
    <row r="1765" customFormat="false" ht="15" hidden="false" customHeight="false" outlineLevel="0" collapsed="false">
      <c r="A1765" s="37" t="s">
        <v>207</v>
      </c>
      <c r="B1765" s="37" t="s">
        <v>233</v>
      </c>
      <c r="C1765" s="37" t="s">
        <v>178</v>
      </c>
      <c r="D1765" s="37" t="s">
        <v>34</v>
      </c>
      <c r="E1765" s="38" t="n">
        <f aca="false">'Matrice des notes'!L53</f>
        <v>2</v>
      </c>
      <c r="F1765" s="37" t="s">
        <v>891</v>
      </c>
      <c r="G1765" s="39" t="s">
        <v>892</v>
      </c>
    </row>
    <row r="1766" customFormat="false" ht="15" hidden="false" customHeight="false" outlineLevel="0" collapsed="false">
      <c r="A1766" s="37" t="s">
        <v>207</v>
      </c>
      <c r="B1766" s="37" t="s">
        <v>233</v>
      </c>
      <c r="C1766" s="37" t="s">
        <v>178</v>
      </c>
      <c r="D1766" s="37" t="s">
        <v>37</v>
      </c>
      <c r="E1766" s="38" t="n">
        <f aca="false">'Matrice des notes'!M53</f>
        <v>1</v>
      </c>
      <c r="F1766" s="37" t="s">
        <v>812</v>
      </c>
      <c r="G1766" s="39" t="s">
        <v>813</v>
      </c>
    </row>
    <row r="1767" customFormat="false" ht="15" hidden="false" customHeight="false" outlineLevel="0" collapsed="false">
      <c r="A1767" s="37" t="s">
        <v>207</v>
      </c>
      <c r="B1767" s="37" t="s">
        <v>233</v>
      </c>
      <c r="C1767" s="37" t="s">
        <v>178</v>
      </c>
      <c r="D1767" s="37" t="s">
        <v>40</v>
      </c>
      <c r="E1767" s="38" t="n">
        <f aca="false">'Matrice des notes'!N53</f>
        <v>1</v>
      </c>
      <c r="F1767" s="37" t="s">
        <v>849</v>
      </c>
      <c r="G1767" s="39" t="s">
        <v>850</v>
      </c>
    </row>
    <row r="1768" customFormat="false" ht="15" hidden="false" customHeight="false" outlineLevel="0" collapsed="false">
      <c r="A1768" s="37" t="s">
        <v>207</v>
      </c>
      <c r="B1768" s="37" t="s">
        <v>233</v>
      </c>
      <c r="C1768" s="37" t="s">
        <v>178</v>
      </c>
      <c r="D1768" s="37" t="s">
        <v>43</v>
      </c>
      <c r="E1768" s="38" t="n">
        <f aca="false">'Matrice des notes'!O53</f>
        <v>1</v>
      </c>
      <c r="F1768" s="37" t="s">
        <v>816</v>
      </c>
      <c r="G1768" s="39" t="s">
        <v>866</v>
      </c>
    </row>
    <row r="1769" customFormat="false" ht="15" hidden="false" customHeight="false" outlineLevel="0" collapsed="false">
      <c r="A1769" s="37" t="s">
        <v>207</v>
      </c>
      <c r="B1769" s="37" t="s">
        <v>233</v>
      </c>
      <c r="C1769" s="37" t="s">
        <v>178</v>
      </c>
      <c r="D1769" s="37" t="s">
        <v>46</v>
      </c>
      <c r="E1769" s="38" t="n">
        <f aca="false">'Matrice des notes'!P53</f>
        <v>1</v>
      </c>
      <c r="F1769" s="37" t="s">
        <v>839</v>
      </c>
      <c r="G1769" s="39" t="s">
        <v>851</v>
      </c>
    </row>
    <row r="1770" customFormat="false" ht="22.35" hidden="false" customHeight="false" outlineLevel="0" collapsed="false">
      <c r="A1770" s="37" t="s">
        <v>207</v>
      </c>
      <c r="B1770" s="37" t="s">
        <v>233</v>
      </c>
      <c r="C1770" s="37" t="s">
        <v>179</v>
      </c>
      <c r="D1770" s="37" t="s">
        <v>49</v>
      </c>
      <c r="E1770" s="38" t="n">
        <f aca="false">'Matrice des notes'!Q53</f>
        <v>1</v>
      </c>
      <c r="F1770" s="37" t="s">
        <v>867</v>
      </c>
      <c r="G1770" s="39" t="s">
        <v>868</v>
      </c>
    </row>
    <row r="1771" customFormat="false" ht="15" hidden="false" customHeight="false" outlineLevel="0" collapsed="false">
      <c r="A1771" s="37" t="s">
        <v>207</v>
      </c>
      <c r="B1771" s="37" t="s">
        <v>233</v>
      </c>
      <c r="C1771" s="37" t="s">
        <v>179</v>
      </c>
      <c r="D1771" s="37" t="s">
        <v>53</v>
      </c>
      <c r="E1771" s="38" t="n">
        <f aca="false">'Matrice des notes'!R53</f>
        <v>2</v>
      </c>
      <c r="F1771" s="37" t="s">
        <v>891</v>
      </c>
      <c r="G1771" s="39" t="s">
        <v>893</v>
      </c>
    </row>
    <row r="1772" customFormat="false" ht="15" hidden="false" customHeight="false" outlineLevel="0" collapsed="false">
      <c r="A1772" s="37" t="s">
        <v>207</v>
      </c>
      <c r="B1772" s="37" t="s">
        <v>233</v>
      </c>
      <c r="C1772" s="37" t="s">
        <v>179</v>
      </c>
      <c r="D1772" s="37" t="s">
        <v>56</v>
      </c>
      <c r="E1772" s="38" t="n">
        <f aca="false">'Matrice des notes'!S53</f>
        <v>1</v>
      </c>
      <c r="F1772" s="37" t="s">
        <v>839</v>
      </c>
      <c r="G1772" s="39" t="s">
        <v>854</v>
      </c>
    </row>
    <row r="1773" customFormat="false" ht="15" hidden="false" customHeight="false" outlineLevel="0" collapsed="false">
      <c r="A1773" s="37" t="s">
        <v>207</v>
      </c>
      <c r="B1773" s="37" t="s">
        <v>233</v>
      </c>
      <c r="C1773" s="37" t="s">
        <v>179</v>
      </c>
      <c r="D1773" s="37" t="s">
        <v>59</v>
      </c>
      <c r="E1773" s="38" t="n">
        <f aca="false">'Matrice des notes'!T53</f>
        <v>1</v>
      </c>
      <c r="F1773" s="37" t="s">
        <v>839</v>
      </c>
      <c r="G1773" s="39" t="s">
        <v>855</v>
      </c>
    </row>
    <row r="1774" customFormat="false" ht="22.35" hidden="false" customHeight="false" outlineLevel="0" collapsed="false">
      <c r="A1774" s="37" t="s">
        <v>207</v>
      </c>
      <c r="B1774" s="37" t="s">
        <v>233</v>
      </c>
      <c r="C1774" s="37" t="s">
        <v>179</v>
      </c>
      <c r="D1774" s="37" t="s">
        <v>62</v>
      </c>
      <c r="E1774" s="38" t="n">
        <f aca="false">'Matrice des notes'!U53</f>
        <v>1</v>
      </c>
      <c r="F1774" s="37" t="s">
        <v>867</v>
      </c>
      <c r="G1774" s="39" t="s">
        <v>869</v>
      </c>
    </row>
    <row r="1775" customFormat="false" ht="15" hidden="false" customHeight="false" outlineLevel="0" collapsed="false">
      <c r="A1775" s="37" t="s">
        <v>207</v>
      </c>
      <c r="B1775" s="37" t="s">
        <v>233</v>
      </c>
      <c r="C1775" s="37" t="s">
        <v>179</v>
      </c>
      <c r="D1775" s="37" t="s">
        <v>65</v>
      </c>
      <c r="E1775" s="38" t="n">
        <f aca="false">'Matrice des notes'!V53</f>
        <v>3</v>
      </c>
      <c r="F1775" s="37" t="s">
        <v>903</v>
      </c>
      <c r="G1775" s="39" t="s">
        <v>904</v>
      </c>
    </row>
    <row r="1776" customFormat="false" ht="15" hidden="false" customHeight="false" outlineLevel="0" collapsed="false">
      <c r="A1776" s="37" t="s">
        <v>207</v>
      </c>
      <c r="B1776" s="37" t="s">
        <v>233</v>
      </c>
      <c r="C1776" s="37" t="s">
        <v>179</v>
      </c>
      <c r="D1776" s="37" t="s">
        <v>68</v>
      </c>
      <c r="E1776" s="38" t="n">
        <f aca="false">'Matrice des notes'!W53</f>
        <v>1</v>
      </c>
      <c r="F1776" s="37" t="s">
        <v>827</v>
      </c>
      <c r="G1776" s="39" t="s">
        <v>872</v>
      </c>
    </row>
    <row r="1777" customFormat="false" ht="15" hidden="false" customHeight="false" outlineLevel="0" collapsed="false">
      <c r="A1777" s="37" t="s">
        <v>207</v>
      </c>
      <c r="B1777" s="37" t="s">
        <v>233</v>
      </c>
      <c r="C1777" s="37" t="s">
        <v>179</v>
      </c>
      <c r="D1777" s="37" t="s">
        <v>71</v>
      </c>
      <c r="E1777" s="38" t="n">
        <f aca="false">'Matrice des notes'!X53</f>
        <v>1</v>
      </c>
      <c r="F1777" s="37" t="s">
        <v>708</v>
      </c>
      <c r="G1777" s="39" t="s">
        <v>857</v>
      </c>
    </row>
    <row r="1778" customFormat="false" ht="15" hidden="false" customHeight="false" outlineLevel="0" collapsed="false">
      <c r="A1778" s="37" t="s">
        <v>207</v>
      </c>
      <c r="B1778" s="37" t="s">
        <v>233</v>
      </c>
      <c r="C1778" s="37" t="s">
        <v>179</v>
      </c>
      <c r="D1778" s="37" t="s">
        <v>74</v>
      </c>
      <c r="E1778" s="38" t="n">
        <f aca="false">'Matrice des notes'!Y53</f>
        <v>3</v>
      </c>
      <c r="F1778" s="37" t="s">
        <v>673</v>
      </c>
      <c r="G1778" s="39" t="s">
        <v>896</v>
      </c>
    </row>
    <row r="1779" customFormat="false" ht="15" hidden="false" customHeight="false" outlineLevel="0" collapsed="false">
      <c r="A1779" s="37" t="s">
        <v>207</v>
      </c>
      <c r="B1779" s="37" t="s">
        <v>233</v>
      </c>
      <c r="C1779" s="37" t="s">
        <v>179</v>
      </c>
      <c r="D1779" s="37" t="s">
        <v>77</v>
      </c>
      <c r="E1779" s="38" t="n">
        <f aca="false">'Matrice des notes'!Z53</f>
        <v>1</v>
      </c>
      <c r="F1779" s="37" t="s">
        <v>842</v>
      </c>
      <c r="G1779" s="39" t="s">
        <v>858</v>
      </c>
    </row>
    <row r="1780" customFormat="false" ht="22.35" hidden="false" customHeight="false" outlineLevel="0" collapsed="false">
      <c r="A1780" s="37" t="s">
        <v>207</v>
      </c>
      <c r="B1780" s="37" t="s">
        <v>233</v>
      </c>
      <c r="C1780" s="37" t="s">
        <v>179</v>
      </c>
      <c r="D1780" s="37" t="s">
        <v>80</v>
      </c>
      <c r="E1780" s="38" t="n">
        <f aca="false">'Matrice des notes'!AA53</f>
        <v>4</v>
      </c>
      <c r="F1780" s="37" t="s">
        <v>874</v>
      </c>
      <c r="G1780" s="39" t="s">
        <v>897</v>
      </c>
    </row>
    <row r="1781" customFormat="false" ht="22.35" hidden="false" customHeight="false" outlineLevel="0" collapsed="false">
      <c r="A1781" s="37" t="s">
        <v>207</v>
      </c>
      <c r="B1781" s="37" t="s">
        <v>233</v>
      </c>
      <c r="C1781" s="37" t="s">
        <v>179</v>
      </c>
      <c r="D1781" s="37" t="s">
        <v>83</v>
      </c>
      <c r="E1781" s="38" t="n">
        <f aca="false">'Matrice des notes'!AB53</f>
        <v>1</v>
      </c>
      <c r="F1781" s="37" t="s">
        <v>898</v>
      </c>
      <c r="G1781" s="39" t="s">
        <v>899</v>
      </c>
    </row>
    <row r="1782" customFormat="false" ht="15" hidden="false" customHeight="false" outlineLevel="0" collapsed="false">
      <c r="A1782" s="37" t="s">
        <v>207</v>
      </c>
      <c r="B1782" s="37" t="s">
        <v>233</v>
      </c>
      <c r="C1782" s="37" t="s">
        <v>179</v>
      </c>
      <c r="D1782" s="37" t="s">
        <v>86</v>
      </c>
      <c r="E1782" s="38" t="n">
        <f aca="false">'Matrice des notes'!AC53</f>
        <v>4</v>
      </c>
      <c r="F1782" s="37" t="s">
        <v>861</v>
      </c>
      <c r="G1782" s="39" t="s">
        <v>943</v>
      </c>
    </row>
    <row r="1783" customFormat="false" ht="15" hidden="false" customHeight="false" outlineLevel="0" collapsed="false">
      <c r="A1783" s="37" t="s">
        <v>207</v>
      </c>
      <c r="B1783" s="37" t="s">
        <v>233</v>
      </c>
      <c r="C1783" s="37" t="s">
        <v>179</v>
      </c>
      <c r="D1783" s="37" t="s">
        <v>89</v>
      </c>
      <c r="E1783" s="38" t="n">
        <f aca="false">'Matrice des notes'!AD53</f>
        <v>4</v>
      </c>
      <c r="F1783" s="37" t="s">
        <v>810</v>
      </c>
      <c r="G1783" s="39" t="s">
        <v>905</v>
      </c>
    </row>
    <row r="1784" customFormat="false" ht="15" hidden="false" customHeight="false" outlineLevel="0" collapsed="false">
      <c r="A1784" s="37" t="s">
        <v>207</v>
      </c>
      <c r="B1784" s="37" t="s">
        <v>233</v>
      </c>
      <c r="C1784" s="37" t="s">
        <v>179</v>
      </c>
      <c r="D1784" s="37" t="s">
        <v>92</v>
      </c>
      <c r="E1784" s="38" t="n">
        <f aca="false">'Matrice des notes'!AE53</f>
        <v>2</v>
      </c>
      <c r="F1784" s="37" t="s">
        <v>900</v>
      </c>
      <c r="G1784" s="39" t="s">
        <v>901</v>
      </c>
    </row>
    <row r="1785" customFormat="false" ht="15" hidden="false" customHeight="false" outlineLevel="0" collapsed="false">
      <c r="A1785" s="37" t="s">
        <v>207</v>
      </c>
      <c r="B1785" s="37" t="s">
        <v>233</v>
      </c>
      <c r="C1785" s="37" t="s">
        <v>180</v>
      </c>
      <c r="D1785" s="37" t="s">
        <v>95</v>
      </c>
      <c r="E1785" s="38" t="n">
        <f aca="false">'Matrice des notes'!AF53</f>
        <v>1</v>
      </c>
      <c r="F1785" s="37" t="s">
        <v>631</v>
      </c>
      <c r="G1785" s="39" t="s">
        <v>654</v>
      </c>
    </row>
    <row r="1786" customFormat="false" ht="15" hidden="false" customHeight="false" outlineLevel="0" collapsed="false">
      <c r="A1786" s="37" t="s">
        <v>207</v>
      </c>
      <c r="B1786" s="37" t="s">
        <v>233</v>
      </c>
      <c r="C1786" s="37" t="s">
        <v>180</v>
      </c>
      <c r="D1786" s="37" t="s">
        <v>99</v>
      </c>
      <c r="E1786" s="38" t="n">
        <f aca="false">'Matrice des notes'!AG53</f>
        <v>1</v>
      </c>
      <c r="F1786" s="37" t="s">
        <v>655</v>
      </c>
      <c r="G1786" s="39" t="s">
        <v>656</v>
      </c>
    </row>
    <row r="1787" customFormat="false" ht="15" hidden="false" customHeight="false" outlineLevel="0" collapsed="false">
      <c r="A1787" s="37" t="s">
        <v>207</v>
      </c>
      <c r="B1787" s="37" t="s">
        <v>233</v>
      </c>
      <c r="C1787" s="37" t="s">
        <v>180</v>
      </c>
      <c r="D1787" s="37" t="s">
        <v>102</v>
      </c>
      <c r="E1787" s="38" t="n">
        <f aca="false">'Matrice des notes'!AH53</f>
        <v>1</v>
      </c>
      <c r="F1787" s="37" t="s">
        <v>655</v>
      </c>
      <c r="G1787" s="39" t="s">
        <v>656</v>
      </c>
    </row>
    <row r="1788" customFormat="false" ht="15" hidden="false" customHeight="false" outlineLevel="0" collapsed="false">
      <c r="A1788" s="37" t="s">
        <v>207</v>
      </c>
      <c r="B1788" s="37" t="s">
        <v>233</v>
      </c>
      <c r="C1788" s="37" t="s">
        <v>180</v>
      </c>
      <c r="D1788" s="37" t="s">
        <v>104</v>
      </c>
      <c r="E1788" s="38" t="n">
        <f aca="false">'Matrice des notes'!AI53</f>
        <v>1</v>
      </c>
      <c r="F1788" s="37" t="s">
        <v>631</v>
      </c>
      <c r="G1788" s="39" t="s">
        <v>654</v>
      </c>
    </row>
    <row r="1789" customFormat="false" ht="15" hidden="false" customHeight="false" outlineLevel="0" collapsed="false">
      <c r="A1789" s="37" t="s">
        <v>207</v>
      </c>
      <c r="B1789" s="37" t="s">
        <v>233</v>
      </c>
      <c r="C1789" s="37" t="s">
        <v>180</v>
      </c>
      <c r="D1789" s="37" t="s">
        <v>107</v>
      </c>
      <c r="E1789" s="38" t="n">
        <f aca="false">'Matrice des notes'!AJ53</f>
        <v>1</v>
      </c>
      <c r="F1789" s="37" t="s">
        <v>631</v>
      </c>
      <c r="G1789" s="39" t="s">
        <v>654</v>
      </c>
    </row>
    <row r="1790" customFormat="false" ht="15" hidden="false" customHeight="false" outlineLevel="0" collapsed="false">
      <c r="A1790" s="37" t="s">
        <v>207</v>
      </c>
      <c r="B1790" s="37" t="s">
        <v>233</v>
      </c>
      <c r="C1790" s="37" t="s">
        <v>180</v>
      </c>
      <c r="D1790" s="37" t="s">
        <v>110</v>
      </c>
      <c r="E1790" s="38" t="n">
        <f aca="false">'Matrice des notes'!AK53</f>
        <v>1</v>
      </c>
      <c r="F1790" s="37" t="s">
        <v>631</v>
      </c>
      <c r="G1790" s="39" t="s">
        <v>654</v>
      </c>
    </row>
    <row r="1791" customFormat="false" ht="15" hidden="false" customHeight="false" outlineLevel="0" collapsed="false">
      <c r="A1791" s="37" t="s">
        <v>207</v>
      </c>
      <c r="B1791" s="37" t="s">
        <v>233</v>
      </c>
      <c r="C1791" s="37" t="s">
        <v>180</v>
      </c>
      <c r="D1791" s="37" t="s">
        <v>113</v>
      </c>
      <c r="E1791" s="38" t="n">
        <f aca="false">'Matrice des notes'!AL53</f>
        <v>1</v>
      </c>
      <c r="F1791" s="37" t="s">
        <v>631</v>
      </c>
      <c r="G1791" s="39" t="s">
        <v>654</v>
      </c>
    </row>
    <row r="1792" customFormat="false" ht="15" hidden="false" customHeight="false" outlineLevel="0" collapsed="false">
      <c r="A1792" s="37" t="s">
        <v>207</v>
      </c>
      <c r="B1792" s="37" t="s">
        <v>233</v>
      </c>
      <c r="C1792" s="37" t="s">
        <v>180</v>
      </c>
      <c r="D1792" s="37" t="s">
        <v>116</v>
      </c>
      <c r="E1792" s="38" t="n">
        <f aca="false">'Matrice des notes'!AM53</f>
        <v>1</v>
      </c>
      <c r="F1792" s="37" t="s">
        <v>655</v>
      </c>
      <c r="G1792" s="39" t="s">
        <v>656</v>
      </c>
    </row>
    <row r="1793" customFormat="false" ht="15" hidden="false" customHeight="false" outlineLevel="0" collapsed="false">
      <c r="A1793" s="37" t="s">
        <v>207</v>
      </c>
      <c r="B1793" s="37" t="s">
        <v>233</v>
      </c>
      <c r="C1793" s="37" t="s">
        <v>180</v>
      </c>
      <c r="D1793" s="37" t="s">
        <v>119</v>
      </c>
      <c r="E1793" s="38" t="n">
        <f aca="false">'Matrice des notes'!AN53</f>
        <v>1</v>
      </c>
      <c r="F1793" s="37" t="s">
        <v>631</v>
      </c>
      <c r="G1793" s="39" t="s">
        <v>654</v>
      </c>
    </row>
    <row r="1794" customFormat="false" ht="15" hidden="false" customHeight="false" outlineLevel="0" collapsed="false">
      <c r="A1794" s="37" t="s">
        <v>207</v>
      </c>
      <c r="B1794" s="37" t="s">
        <v>233</v>
      </c>
      <c r="C1794" s="37" t="s">
        <v>180</v>
      </c>
      <c r="D1794" s="37" t="s">
        <v>121</v>
      </c>
      <c r="E1794" s="38" t="n">
        <f aca="false">'Matrice des notes'!AO53</f>
        <v>1</v>
      </c>
      <c r="F1794" s="37" t="s">
        <v>657</v>
      </c>
      <c r="G1794" s="39" t="s">
        <v>658</v>
      </c>
    </row>
    <row r="1795" customFormat="false" ht="15" hidden="false" customHeight="false" outlineLevel="0" collapsed="false">
      <c r="A1795" s="37" t="s">
        <v>207</v>
      </c>
      <c r="B1795" s="37" t="s">
        <v>233</v>
      </c>
      <c r="C1795" s="37" t="s">
        <v>180</v>
      </c>
      <c r="D1795" s="37" t="s">
        <v>124</v>
      </c>
      <c r="E1795" s="38" t="n">
        <f aca="false">'Matrice des notes'!AP53</f>
        <v>1</v>
      </c>
      <c r="F1795" s="37" t="s">
        <v>863</v>
      </c>
      <c r="G1795" s="39" t="s">
        <v>864</v>
      </c>
    </row>
    <row r="1796" customFormat="false" ht="22.35" hidden="false" customHeight="false" outlineLevel="0" collapsed="false">
      <c r="A1796" s="37" t="s">
        <v>207</v>
      </c>
      <c r="B1796" s="37" t="s">
        <v>234</v>
      </c>
      <c r="C1796" s="37" t="s">
        <v>178</v>
      </c>
      <c r="D1796" s="37" t="s">
        <v>7</v>
      </c>
      <c r="E1796" s="38" t="n">
        <f aca="false">'Matrice des notes'!D54</f>
        <v>1</v>
      </c>
      <c r="F1796" s="37" t="s">
        <v>720</v>
      </c>
      <c r="G1796" s="39" t="s">
        <v>906</v>
      </c>
    </row>
    <row r="1797" customFormat="false" ht="15" hidden="false" customHeight="false" outlineLevel="0" collapsed="false">
      <c r="A1797" s="37" t="s">
        <v>207</v>
      </c>
      <c r="B1797" s="37" t="s">
        <v>234</v>
      </c>
      <c r="C1797" s="37" t="s">
        <v>178</v>
      </c>
      <c r="D1797" s="37" t="s">
        <v>11</v>
      </c>
      <c r="E1797" s="38" t="n">
        <f aca="false">'Matrice des notes'!E54</f>
        <v>1</v>
      </c>
      <c r="F1797" s="37" t="s">
        <v>839</v>
      </c>
      <c r="G1797" s="39" t="s">
        <v>840</v>
      </c>
    </row>
    <row r="1798" customFormat="false" ht="15" hidden="false" customHeight="false" outlineLevel="0" collapsed="false">
      <c r="A1798" s="37" t="s">
        <v>207</v>
      </c>
      <c r="B1798" s="37" t="s">
        <v>234</v>
      </c>
      <c r="C1798" s="37" t="s">
        <v>178</v>
      </c>
      <c r="D1798" s="37" t="s">
        <v>14</v>
      </c>
      <c r="E1798" s="38" t="n">
        <f aca="false">'Matrice des notes'!F54</f>
        <v>1</v>
      </c>
      <c r="F1798" s="37" t="s">
        <v>677</v>
      </c>
      <c r="G1798" s="39" t="s">
        <v>841</v>
      </c>
    </row>
    <row r="1799" customFormat="false" ht="15" hidden="false" customHeight="false" outlineLevel="0" collapsed="false">
      <c r="A1799" s="37" t="s">
        <v>207</v>
      </c>
      <c r="B1799" s="37" t="s">
        <v>234</v>
      </c>
      <c r="C1799" s="37" t="s">
        <v>178</v>
      </c>
      <c r="D1799" s="37" t="s">
        <v>17</v>
      </c>
      <c r="E1799" s="38" t="n">
        <f aca="false">'Matrice des notes'!G54</f>
        <v>1</v>
      </c>
      <c r="F1799" s="37" t="s">
        <v>842</v>
      </c>
      <c r="G1799" s="39" t="s">
        <v>843</v>
      </c>
    </row>
    <row r="1800" customFormat="false" ht="15" hidden="false" customHeight="false" outlineLevel="0" collapsed="false">
      <c r="A1800" s="37" t="s">
        <v>207</v>
      </c>
      <c r="B1800" s="37" t="s">
        <v>234</v>
      </c>
      <c r="C1800" s="37" t="s">
        <v>178</v>
      </c>
      <c r="D1800" s="37" t="s">
        <v>20</v>
      </c>
      <c r="E1800" s="38" t="n">
        <f aca="false">'Matrice des notes'!H54</f>
        <v>1</v>
      </c>
      <c r="F1800" s="37" t="s">
        <v>839</v>
      </c>
      <c r="G1800" s="39" t="s">
        <v>844</v>
      </c>
    </row>
    <row r="1801" customFormat="false" ht="15" hidden="false" customHeight="false" outlineLevel="0" collapsed="false">
      <c r="A1801" s="37" t="s">
        <v>207</v>
      </c>
      <c r="B1801" s="37" t="s">
        <v>234</v>
      </c>
      <c r="C1801" s="37" t="s">
        <v>178</v>
      </c>
      <c r="D1801" s="37" t="s">
        <v>23</v>
      </c>
      <c r="E1801" s="38" t="n">
        <f aca="false">'Matrice des notes'!I54</f>
        <v>1</v>
      </c>
      <c r="F1801" s="37" t="s">
        <v>839</v>
      </c>
      <c r="G1801" s="39" t="s">
        <v>845</v>
      </c>
    </row>
    <row r="1802" customFormat="false" ht="15" hidden="false" customHeight="false" outlineLevel="0" collapsed="false">
      <c r="A1802" s="37" t="s">
        <v>207</v>
      </c>
      <c r="B1802" s="37" t="s">
        <v>234</v>
      </c>
      <c r="C1802" s="37" t="s">
        <v>178</v>
      </c>
      <c r="D1802" s="37" t="s">
        <v>26</v>
      </c>
      <c r="E1802" s="38" t="n">
        <f aca="false">'Matrice des notes'!J54</f>
        <v>1</v>
      </c>
      <c r="F1802" s="37" t="s">
        <v>835</v>
      </c>
      <c r="G1802" s="39" t="s">
        <v>846</v>
      </c>
    </row>
    <row r="1803" customFormat="false" ht="15" hidden="false" customHeight="false" outlineLevel="0" collapsed="false">
      <c r="A1803" s="37" t="s">
        <v>207</v>
      </c>
      <c r="B1803" s="37" t="s">
        <v>234</v>
      </c>
      <c r="C1803" s="37" t="s">
        <v>178</v>
      </c>
      <c r="D1803" s="37" t="s">
        <v>30</v>
      </c>
      <c r="E1803" s="38" t="n">
        <f aca="false">'Matrice des notes'!K54</f>
        <v>1</v>
      </c>
      <c r="F1803" s="37" t="s">
        <v>677</v>
      </c>
      <c r="G1803" s="39" t="s">
        <v>847</v>
      </c>
    </row>
    <row r="1804" customFormat="false" ht="15" hidden="false" customHeight="false" outlineLevel="0" collapsed="false">
      <c r="A1804" s="37" t="s">
        <v>207</v>
      </c>
      <c r="B1804" s="37" t="s">
        <v>234</v>
      </c>
      <c r="C1804" s="37" t="s">
        <v>178</v>
      </c>
      <c r="D1804" s="37" t="s">
        <v>34</v>
      </c>
      <c r="E1804" s="38" t="n">
        <f aca="false">'Matrice des notes'!L54</f>
        <v>1</v>
      </c>
      <c r="F1804" s="37" t="s">
        <v>891</v>
      </c>
      <c r="G1804" s="39" t="s">
        <v>892</v>
      </c>
    </row>
    <row r="1805" customFormat="false" ht="15" hidden="false" customHeight="false" outlineLevel="0" collapsed="false">
      <c r="A1805" s="37" t="s">
        <v>207</v>
      </c>
      <c r="B1805" s="37" t="s">
        <v>234</v>
      </c>
      <c r="C1805" s="37" t="s">
        <v>178</v>
      </c>
      <c r="D1805" s="37" t="s">
        <v>37</v>
      </c>
      <c r="E1805" s="38" t="n">
        <f aca="false">'Matrice des notes'!M54</f>
        <v>1</v>
      </c>
      <c r="F1805" s="37" t="s">
        <v>812</v>
      </c>
      <c r="G1805" s="39" t="s">
        <v>813</v>
      </c>
    </row>
    <row r="1806" customFormat="false" ht="15" hidden="false" customHeight="false" outlineLevel="0" collapsed="false">
      <c r="A1806" s="37" t="s">
        <v>207</v>
      </c>
      <c r="B1806" s="37" t="s">
        <v>234</v>
      </c>
      <c r="C1806" s="37" t="s">
        <v>178</v>
      </c>
      <c r="D1806" s="37" t="s">
        <v>40</v>
      </c>
      <c r="E1806" s="38" t="n">
        <f aca="false">'Matrice des notes'!N54</f>
        <v>1</v>
      </c>
      <c r="F1806" s="37" t="s">
        <v>849</v>
      </c>
      <c r="G1806" s="39" t="s">
        <v>850</v>
      </c>
    </row>
    <row r="1807" customFormat="false" ht="15" hidden="false" customHeight="false" outlineLevel="0" collapsed="false">
      <c r="A1807" s="37" t="s">
        <v>207</v>
      </c>
      <c r="B1807" s="37" t="s">
        <v>234</v>
      </c>
      <c r="C1807" s="37" t="s">
        <v>178</v>
      </c>
      <c r="D1807" s="37" t="s">
        <v>43</v>
      </c>
      <c r="E1807" s="38" t="n">
        <f aca="false">'Matrice des notes'!O54</f>
        <v>1</v>
      </c>
      <c r="F1807" s="37" t="s">
        <v>816</v>
      </c>
      <c r="G1807" s="39" t="s">
        <v>866</v>
      </c>
    </row>
    <row r="1808" customFormat="false" ht="15" hidden="false" customHeight="false" outlineLevel="0" collapsed="false">
      <c r="A1808" s="37" t="s">
        <v>207</v>
      </c>
      <c r="B1808" s="37" t="s">
        <v>234</v>
      </c>
      <c r="C1808" s="37" t="s">
        <v>178</v>
      </c>
      <c r="D1808" s="37" t="s">
        <v>46</v>
      </c>
      <c r="E1808" s="38" t="n">
        <f aca="false">'Matrice des notes'!P54</f>
        <v>1</v>
      </c>
      <c r="F1808" s="37" t="s">
        <v>839</v>
      </c>
      <c r="G1808" s="39" t="s">
        <v>851</v>
      </c>
    </row>
    <row r="1809" customFormat="false" ht="15" hidden="false" customHeight="false" outlineLevel="0" collapsed="false">
      <c r="A1809" s="37" t="s">
        <v>207</v>
      </c>
      <c r="B1809" s="37" t="s">
        <v>234</v>
      </c>
      <c r="C1809" s="37" t="s">
        <v>179</v>
      </c>
      <c r="D1809" s="37" t="s">
        <v>49</v>
      </c>
      <c r="E1809" s="38" t="n">
        <f aca="false">'Matrice des notes'!Q54</f>
        <v>1</v>
      </c>
      <c r="F1809" s="37" t="s">
        <v>927</v>
      </c>
      <c r="G1809" s="39" t="s">
        <v>928</v>
      </c>
    </row>
    <row r="1810" customFormat="false" ht="15" hidden="false" customHeight="false" outlineLevel="0" collapsed="false">
      <c r="A1810" s="37" t="s">
        <v>207</v>
      </c>
      <c r="B1810" s="37" t="s">
        <v>234</v>
      </c>
      <c r="C1810" s="37" t="s">
        <v>179</v>
      </c>
      <c r="D1810" s="37" t="s">
        <v>53</v>
      </c>
      <c r="E1810" s="38" t="n">
        <f aca="false">'Matrice des notes'!R54</f>
        <v>1</v>
      </c>
      <c r="F1810" s="37" t="s">
        <v>891</v>
      </c>
      <c r="G1810" s="39" t="s">
        <v>893</v>
      </c>
    </row>
    <row r="1811" customFormat="false" ht="15" hidden="false" customHeight="false" outlineLevel="0" collapsed="false">
      <c r="A1811" s="37" t="s">
        <v>207</v>
      </c>
      <c r="B1811" s="37" t="s">
        <v>234</v>
      </c>
      <c r="C1811" s="37" t="s">
        <v>179</v>
      </c>
      <c r="D1811" s="37" t="s">
        <v>56</v>
      </c>
      <c r="E1811" s="38" t="n">
        <f aca="false">'Matrice des notes'!S54</f>
        <v>1</v>
      </c>
      <c r="F1811" s="37" t="s">
        <v>839</v>
      </c>
      <c r="G1811" s="39" t="s">
        <v>854</v>
      </c>
    </row>
    <row r="1812" customFormat="false" ht="15" hidden="false" customHeight="false" outlineLevel="0" collapsed="false">
      <c r="A1812" s="37" t="s">
        <v>207</v>
      </c>
      <c r="B1812" s="37" t="s">
        <v>234</v>
      </c>
      <c r="C1812" s="37" t="s">
        <v>179</v>
      </c>
      <c r="D1812" s="37" t="s">
        <v>59</v>
      </c>
      <c r="E1812" s="38" t="n">
        <f aca="false">'Matrice des notes'!T54</f>
        <v>1</v>
      </c>
      <c r="F1812" s="37" t="s">
        <v>839</v>
      </c>
      <c r="G1812" s="39" t="s">
        <v>855</v>
      </c>
    </row>
    <row r="1813" customFormat="false" ht="15" hidden="false" customHeight="false" outlineLevel="0" collapsed="false">
      <c r="A1813" s="37" t="s">
        <v>207</v>
      </c>
      <c r="B1813" s="37" t="s">
        <v>234</v>
      </c>
      <c r="C1813" s="37" t="s">
        <v>179</v>
      </c>
      <c r="D1813" s="37" t="s">
        <v>62</v>
      </c>
      <c r="E1813" s="38" t="n">
        <f aca="false">'Matrice des notes'!U54</f>
        <v>1</v>
      </c>
      <c r="F1813" s="37" t="s">
        <v>927</v>
      </c>
      <c r="G1813" s="39" t="s">
        <v>929</v>
      </c>
    </row>
    <row r="1814" customFormat="false" ht="15" hidden="false" customHeight="false" outlineLevel="0" collapsed="false">
      <c r="A1814" s="37" t="s">
        <v>207</v>
      </c>
      <c r="B1814" s="37" t="s">
        <v>234</v>
      </c>
      <c r="C1814" s="37" t="s">
        <v>179</v>
      </c>
      <c r="D1814" s="37" t="s">
        <v>65</v>
      </c>
      <c r="E1814" s="38" t="n">
        <f aca="false">'Matrice des notes'!V54</f>
        <v>2</v>
      </c>
      <c r="F1814" s="37" t="s">
        <v>903</v>
      </c>
      <c r="G1814" s="39" t="s">
        <v>904</v>
      </c>
    </row>
    <row r="1815" customFormat="false" ht="15" hidden="false" customHeight="false" outlineLevel="0" collapsed="false">
      <c r="A1815" s="37" t="s">
        <v>207</v>
      </c>
      <c r="B1815" s="37" t="s">
        <v>234</v>
      </c>
      <c r="C1815" s="37" t="s">
        <v>179</v>
      </c>
      <c r="D1815" s="37" t="s">
        <v>68</v>
      </c>
      <c r="E1815" s="38" t="n">
        <f aca="false">'Matrice des notes'!W54</f>
        <v>1</v>
      </c>
      <c r="F1815" s="37" t="s">
        <v>827</v>
      </c>
      <c r="G1815" s="39" t="s">
        <v>872</v>
      </c>
    </row>
    <row r="1816" customFormat="false" ht="15" hidden="false" customHeight="false" outlineLevel="0" collapsed="false">
      <c r="A1816" s="37" t="s">
        <v>207</v>
      </c>
      <c r="B1816" s="37" t="s">
        <v>234</v>
      </c>
      <c r="C1816" s="37" t="s">
        <v>179</v>
      </c>
      <c r="D1816" s="37" t="s">
        <v>71</v>
      </c>
      <c r="E1816" s="38" t="n">
        <f aca="false">'Matrice des notes'!X54</f>
        <v>1</v>
      </c>
      <c r="F1816" s="37" t="s">
        <v>708</v>
      </c>
      <c r="G1816" s="39" t="s">
        <v>857</v>
      </c>
    </row>
    <row r="1817" customFormat="false" ht="15" hidden="false" customHeight="false" outlineLevel="0" collapsed="false">
      <c r="A1817" s="37" t="s">
        <v>207</v>
      </c>
      <c r="B1817" s="37" t="s">
        <v>234</v>
      </c>
      <c r="C1817" s="37" t="s">
        <v>179</v>
      </c>
      <c r="D1817" s="37" t="s">
        <v>74</v>
      </c>
      <c r="E1817" s="38" t="n">
        <f aca="false">'Matrice des notes'!Y54</f>
        <v>2</v>
      </c>
      <c r="F1817" s="37" t="s">
        <v>673</v>
      </c>
      <c r="G1817" s="39" t="s">
        <v>896</v>
      </c>
    </row>
    <row r="1818" customFormat="false" ht="15" hidden="false" customHeight="false" outlineLevel="0" collapsed="false">
      <c r="A1818" s="37" t="s">
        <v>207</v>
      </c>
      <c r="B1818" s="37" t="s">
        <v>234</v>
      </c>
      <c r="C1818" s="37" t="s">
        <v>179</v>
      </c>
      <c r="D1818" s="37" t="s">
        <v>77</v>
      </c>
      <c r="E1818" s="38" t="n">
        <f aca="false">'Matrice des notes'!Z54</f>
        <v>1</v>
      </c>
      <c r="F1818" s="37" t="s">
        <v>842</v>
      </c>
      <c r="G1818" s="39" t="s">
        <v>858</v>
      </c>
    </row>
    <row r="1819" customFormat="false" ht="15" hidden="false" customHeight="false" outlineLevel="0" collapsed="false">
      <c r="A1819" s="37" t="s">
        <v>207</v>
      </c>
      <c r="B1819" s="37" t="s">
        <v>234</v>
      </c>
      <c r="C1819" s="37" t="s">
        <v>179</v>
      </c>
      <c r="D1819" s="37" t="s">
        <v>80</v>
      </c>
      <c r="E1819" s="38" t="n">
        <f aca="false">'Matrice des notes'!AA54</f>
        <v>3</v>
      </c>
      <c r="F1819" s="37" t="s">
        <v>907</v>
      </c>
      <c r="G1819" s="39" t="s">
        <v>908</v>
      </c>
    </row>
    <row r="1820" customFormat="false" ht="15" hidden="false" customHeight="false" outlineLevel="0" collapsed="false">
      <c r="A1820" s="37" t="s">
        <v>207</v>
      </c>
      <c r="B1820" s="37" t="s">
        <v>234</v>
      </c>
      <c r="C1820" s="37" t="s">
        <v>179</v>
      </c>
      <c r="D1820" s="37" t="s">
        <v>83</v>
      </c>
      <c r="E1820" s="38" t="n">
        <f aca="false">'Matrice des notes'!AB54</f>
        <v>1</v>
      </c>
      <c r="F1820" s="37" t="s">
        <v>944</v>
      </c>
      <c r="G1820" s="39" t="s">
        <v>945</v>
      </c>
    </row>
    <row r="1821" customFormat="false" ht="15" hidden="false" customHeight="false" outlineLevel="0" collapsed="false">
      <c r="A1821" s="37" t="s">
        <v>207</v>
      </c>
      <c r="B1821" s="37" t="s">
        <v>234</v>
      </c>
      <c r="C1821" s="37" t="s">
        <v>179</v>
      </c>
      <c r="D1821" s="37" t="s">
        <v>86</v>
      </c>
      <c r="E1821" s="38" t="n">
        <f aca="false">'Matrice des notes'!AC54</f>
        <v>3</v>
      </c>
      <c r="F1821" s="37" t="s">
        <v>772</v>
      </c>
      <c r="G1821" s="39" t="s">
        <v>909</v>
      </c>
    </row>
    <row r="1822" customFormat="false" ht="15" hidden="false" customHeight="false" outlineLevel="0" collapsed="false">
      <c r="A1822" s="37" t="s">
        <v>207</v>
      </c>
      <c r="B1822" s="37" t="s">
        <v>234</v>
      </c>
      <c r="C1822" s="37" t="s">
        <v>179</v>
      </c>
      <c r="D1822" s="37" t="s">
        <v>89</v>
      </c>
      <c r="E1822" s="38" t="n">
        <f aca="false">'Matrice des notes'!AD54</f>
        <v>3</v>
      </c>
      <c r="F1822" s="37" t="s">
        <v>903</v>
      </c>
      <c r="G1822" s="39" t="s">
        <v>910</v>
      </c>
    </row>
    <row r="1823" customFormat="false" ht="15" hidden="false" customHeight="false" outlineLevel="0" collapsed="false">
      <c r="A1823" s="37" t="s">
        <v>207</v>
      </c>
      <c r="B1823" s="37" t="s">
        <v>234</v>
      </c>
      <c r="C1823" s="37" t="s">
        <v>179</v>
      </c>
      <c r="D1823" s="37" t="s">
        <v>92</v>
      </c>
      <c r="E1823" s="38" t="n">
        <f aca="false">'Matrice des notes'!AE54</f>
        <v>2</v>
      </c>
      <c r="F1823" s="37" t="s">
        <v>966</v>
      </c>
      <c r="G1823" s="39" t="s">
        <v>967</v>
      </c>
    </row>
    <row r="1824" customFormat="false" ht="15" hidden="false" customHeight="false" outlineLevel="0" collapsed="false">
      <c r="A1824" s="37" t="s">
        <v>207</v>
      </c>
      <c r="B1824" s="37" t="s">
        <v>234</v>
      </c>
      <c r="C1824" s="37" t="s">
        <v>180</v>
      </c>
      <c r="D1824" s="37" t="s">
        <v>95</v>
      </c>
      <c r="E1824" s="38" t="n">
        <f aca="false">'Matrice des notes'!AF54</f>
        <v>1</v>
      </c>
      <c r="F1824" s="37" t="s">
        <v>631</v>
      </c>
      <c r="G1824" s="39" t="s">
        <v>654</v>
      </c>
    </row>
    <row r="1825" customFormat="false" ht="15" hidden="false" customHeight="false" outlineLevel="0" collapsed="false">
      <c r="A1825" s="37" t="s">
        <v>207</v>
      </c>
      <c r="B1825" s="37" t="s">
        <v>234</v>
      </c>
      <c r="C1825" s="37" t="s">
        <v>180</v>
      </c>
      <c r="D1825" s="37" t="s">
        <v>99</v>
      </c>
      <c r="E1825" s="38" t="n">
        <f aca="false">'Matrice des notes'!AG54</f>
        <v>1</v>
      </c>
      <c r="F1825" s="37" t="s">
        <v>655</v>
      </c>
      <c r="G1825" s="39" t="s">
        <v>656</v>
      </c>
    </row>
    <row r="1826" customFormat="false" ht="15" hidden="false" customHeight="false" outlineLevel="0" collapsed="false">
      <c r="A1826" s="37" t="s">
        <v>207</v>
      </c>
      <c r="B1826" s="37" t="s">
        <v>234</v>
      </c>
      <c r="C1826" s="37" t="s">
        <v>180</v>
      </c>
      <c r="D1826" s="37" t="s">
        <v>102</v>
      </c>
      <c r="E1826" s="38" t="n">
        <f aca="false">'Matrice des notes'!AH54</f>
        <v>1</v>
      </c>
      <c r="F1826" s="37" t="s">
        <v>655</v>
      </c>
      <c r="G1826" s="39" t="s">
        <v>656</v>
      </c>
    </row>
    <row r="1827" customFormat="false" ht="15" hidden="false" customHeight="false" outlineLevel="0" collapsed="false">
      <c r="A1827" s="37" t="s">
        <v>207</v>
      </c>
      <c r="B1827" s="37" t="s">
        <v>234</v>
      </c>
      <c r="C1827" s="37" t="s">
        <v>180</v>
      </c>
      <c r="D1827" s="37" t="s">
        <v>104</v>
      </c>
      <c r="E1827" s="38" t="n">
        <f aca="false">'Matrice des notes'!AI54</f>
        <v>1</v>
      </c>
      <c r="F1827" s="37" t="s">
        <v>631</v>
      </c>
      <c r="G1827" s="39" t="s">
        <v>654</v>
      </c>
    </row>
    <row r="1828" customFormat="false" ht="15" hidden="false" customHeight="false" outlineLevel="0" collapsed="false">
      <c r="A1828" s="37" t="s">
        <v>207</v>
      </c>
      <c r="B1828" s="37" t="s">
        <v>234</v>
      </c>
      <c r="C1828" s="37" t="s">
        <v>180</v>
      </c>
      <c r="D1828" s="37" t="s">
        <v>107</v>
      </c>
      <c r="E1828" s="38" t="n">
        <f aca="false">'Matrice des notes'!AJ54</f>
        <v>1</v>
      </c>
      <c r="F1828" s="37" t="s">
        <v>631</v>
      </c>
      <c r="G1828" s="39" t="s">
        <v>654</v>
      </c>
    </row>
    <row r="1829" customFormat="false" ht="15" hidden="false" customHeight="false" outlineLevel="0" collapsed="false">
      <c r="A1829" s="37" t="s">
        <v>207</v>
      </c>
      <c r="B1829" s="37" t="s">
        <v>234</v>
      </c>
      <c r="C1829" s="37" t="s">
        <v>180</v>
      </c>
      <c r="D1829" s="37" t="s">
        <v>110</v>
      </c>
      <c r="E1829" s="38" t="n">
        <f aca="false">'Matrice des notes'!AK54</f>
        <v>1</v>
      </c>
      <c r="F1829" s="37" t="s">
        <v>631</v>
      </c>
      <c r="G1829" s="39" t="s">
        <v>654</v>
      </c>
    </row>
    <row r="1830" customFormat="false" ht="15" hidden="false" customHeight="false" outlineLevel="0" collapsed="false">
      <c r="A1830" s="37" t="s">
        <v>207</v>
      </c>
      <c r="B1830" s="37" t="s">
        <v>234</v>
      </c>
      <c r="C1830" s="37" t="s">
        <v>180</v>
      </c>
      <c r="D1830" s="37" t="s">
        <v>113</v>
      </c>
      <c r="E1830" s="38" t="n">
        <f aca="false">'Matrice des notes'!AL54</f>
        <v>1</v>
      </c>
      <c r="F1830" s="37" t="s">
        <v>631</v>
      </c>
      <c r="G1830" s="39" t="s">
        <v>654</v>
      </c>
    </row>
    <row r="1831" customFormat="false" ht="15" hidden="false" customHeight="false" outlineLevel="0" collapsed="false">
      <c r="A1831" s="37" t="s">
        <v>207</v>
      </c>
      <c r="B1831" s="37" t="s">
        <v>234</v>
      </c>
      <c r="C1831" s="37" t="s">
        <v>180</v>
      </c>
      <c r="D1831" s="37" t="s">
        <v>116</v>
      </c>
      <c r="E1831" s="38" t="n">
        <f aca="false">'Matrice des notes'!AM54</f>
        <v>1</v>
      </c>
      <c r="F1831" s="37" t="s">
        <v>655</v>
      </c>
      <c r="G1831" s="39" t="s">
        <v>656</v>
      </c>
    </row>
    <row r="1832" customFormat="false" ht="15" hidden="false" customHeight="false" outlineLevel="0" collapsed="false">
      <c r="A1832" s="37" t="s">
        <v>207</v>
      </c>
      <c r="B1832" s="37" t="s">
        <v>234</v>
      </c>
      <c r="C1832" s="37" t="s">
        <v>180</v>
      </c>
      <c r="D1832" s="37" t="s">
        <v>119</v>
      </c>
      <c r="E1832" s="38" t="n">
        <f aca="false">'Matrice des notes'!AN54</f>
        <v>1</v>
      </c>
      <c r="F1832" s="37" t="s">
        <v>631</v>
      </c>
      <c r="G1832" s="39" t="s">
        <v>654</v>
      </c>
    </row>
    <row r="1833" customFormat="false" ht="15" hidden="false" customHeight="false" outlineLevel="0" collapsed="false">
      <c r="A1833" s="37" t="s">
        <v>207</v>
      </c>
      <c r="B1833" s="37" t="s">
        <v>234</v>
      </c>
      <c r="C1833" s="37" t="s">
        <v>180</v>
      </c>
      <c r="D1833" s="37" t="s">
        <v>121</v>
      </c>
      <c r="E1833" s="38" t="n">
        <f aca="false">'Matrice des notes'!AO54</f>
        <v>1</v>
      </c>
      <c r="F1833" s="37" t="s">
        <v>657</v>
      </c>
      <c r="G1833" s="39" t="s">
        <v>658</v>
      </c>
    </row>
    <row r="1834" customFormat="false" ht="15" hidden="false" customHeight="false" outlineLevel="0" collapsed="false">
      <c r="A1834" s="37" t="s">
        <v>207</v>
      </c>
      <c r="B1834" s="37" t="s">
        <v>234</v>
      </c>
      <c r="C1834" s="37" t="s">
        <v>180</v>
      </c>
      <c r="D1834" s="37" t="s">
        <v>124</v>
      </c>
      <c r="E1834" s="38" t="n">
        <f aca="false">'Matrice des notes'!AP54</f>
        <v>1</v>
      </c>
      <c r="F1834" s="37" t="s">
        <v>863</v>
      </c>
      <c r="G1834" s="39" t="s">
        <v>864</v>
      </c>
    </row>
    <row r="1835" customFormat="false" ht="22.35" hidden="false" customHeight="false" outlineLevel="0" collapsed="false">
      <c r="A1835" s="37" t="s">
        <v>207</v>
      </c>
      <c r="B1835" s="37" t="s">
        <v>235</v>
      </c>
      <c r="C1835" s="37" t="s">
        <v>178</v>
      </c>
      <c r="D1835" s="37" t="s">
        <v>7</v>
      </c>
      <c r="E1835" s="38" t="n">
        <f aca="false">'Matrice des notes'!D55</f>
        <v>1</v>
      </c>
      <c r="F1835" s="37" t="s">
        <v>720</v>
      </c>
      <c r="G1835" s="39" t="s">
        <v>906</v>
      </c>
    </row>
    <row r="1836" customFormat="false" ht="15" hidden="false" customHeight="false" outlineLevel="0" collapsed="false">
      <c r="A1836" s="37" t="s">
        <v>207</v>
      </c>
      <c r="B1836" s="37" t="s">
        <v>235</v>
      </c>
      <c r="C1836" s="37" t="s">
        <v>178</v>
      </c>
      <c r="D1836" s="37" t="s">
        <v>11</v>
      </c>
      <c r="E1836" s="38" t="n">
        <f aca="false">'Matrice des notes'!E55</f>
        <v>1</v>
      </c>
      <c r="F1836" s="37" t="s">
        <v>839</v>
      </c>
      <c r="G1836" s="39" t="s">
        <v>840</v>
      </c>
    </row>
    <row r="1837" customFormat="false" ht="15" hidden="false" customHeight="false" outlineLevel="0" collapsed="false">
      <c r="A1837" s="37" t="s">
        <v>207</v>
      </c>
      <c r="B1837" s="37" t="s">
        <v>235</v>
      </c>
      <c r="C1837" s="37" t="s">
        <v>178</v>
      </c>
      <c r="D1837" s="37" t="s">
        <v>14</v>
      </c>
      <c r="E1837" s="38" t="n">
        <f aca="false">'Matrice des notes'!F55</f>
        <v>1</v>
      </c>
      <c r="F1837" s="37" t="s">
        <v>677</v>
      </c>
      <c r="G1837" s="39" t="s">
        <v>841</v>
      </c>
    </row>
    <row r="1838" customFormat="false" ht="15" hidden="false" customHeight="false" outlineLevel="0" collapsed="false">
      <c r="A1838" s="37" t="s">
        <v>207</v>
      </c>
      <c r="B1838" s="37" t="s">
        <v>235</v>
      </c>
      <c r="C1838" s="37" t="s">
        <v>178</v>
      </c>
      <c r="D1838" s="37" t="s">
        <v>17</v>
      </c>
      <c r="E1838" s="38" t="n">
        <f aca="false">'Matrice des notes'!G55</f>
        <v>1</v>
      </c>
      <c r="F1838" s="37" t="s">
        <v>842</v>
      </c>
      <c r="G1838" s="39" t="s">
        <v>843</v>
      </c>
    </row>
    <row r="1839" customFormat="false" ht="15" hidden="false" customHeight="false" outlineLevel="0" collapsed="false">
      <c r="A1839" s="37" t="s">
        <v>207</v>
      </c>
      <c r="B1839" s="37" t="s">
        <v>235</v>
      </c>
      <c r="C1839" s="37" t="s">
        <v>178</v>
      </c>
      <c r="D1839" s="37" t="s">
        <v>20</v>
      </c>
      <c r="E1839" s="38" t="n">
        <f aca="false">'Matrice des notes'!H55</f>
        <v>1</v>
      </c>
      <c r="F1839" s="37" t="s">
        <v>839</v>
      </c>
      <c r="G1839" s="39" t="s">
        <v>844</v>
      </c>
    </row>
    <row r="1840" customFormat="false" ht="15" hidden="false" customHeight="false" outlineLevel="0" collapsed="false">
      <c r="A1840" s="37" t="s">
        <v>207</v>
      </c>
      <c r="B1840" s="37" t="s">
        <v>235</v>
      </c>
      <c r="C1840" s="37" t="s">
        <v>178</v>
      </c>
      <c r="D1840" s="37" t="s">
        <v>23</v>
      </c>
      <c r="E1840" s="38" t="n">
        <f aca="false">'Matrice des notes'!I55</f>
        <v>1</v>
      </c>
      <c r="F1840" s="37" t="s">
        <v>839</v>
      </c>
      <c r="G1840" s="39" t="s">
        <v>845</v>
      </c>
    </row>
    <row r="1841" customFormat="false" ht="15" hidden="false" customHeight="false" outlineLevel="0" collapsed="false">
      <c r="A1841" s="37" t="s">
        <v>207</v>
      </c>
      <c r="B1841" s="37" t="s">
        <v>235</v>
      </c>
      <c r="C1841" s="37" t="s">
        <v>178</v>
      </c>
      <c r="D1841" s="37" t="s">
        <v>26</v>
      </c>
      <c r="E1841" s="38" t="n">
        <f aca="false">'Matrice des notes'!J55</f>
        <v>1</v>
      </c>
      <c r="F1841" s="37" t="s">
        <v>835</v>
      </c>
      <c r="G1841" s="39" t="s">
        <v>846</v>
      </c>
    </row>
    <row r="1842" customFormat="false" ht="15" hidden="false" customHeight="false" outlineLevel="0" collapsed="false">
      <c r="A1842" s="37" t="s">
        <v>207</v>
      </c>
      <c r="B1842" s="37" t="s">
        <v>235</v>
      </c>
      <c r="C1842" s="37" t="s">
        <v>178</v>
      </c>
      <c r="D1842" s="37" t="s">
        <v>30</v>
      </c>
      <c r="E1842" s="38" t="n">
        <f aca="false">'Matrice des notes'!K55</f>
        <v>1</v>
      </c>
      <c r="F1842" s="37" t="s">
        <v>677</v>
      </c>
      <c r="G1842" s="39" t="s">
        <v>847</v>
      </c>
    </row>
    <row r="1843" customFormat="false" ht="15" hidden="false" customHeight="false" outlineLevel="0" collapsed="false">
      <c r="A1843" s="37" t="s">
        <v>207</v>
      </c>
      <c r="B1843" s="37" t="s">
        <v>235</v>
      </c>
      <c r="C1843" s="37" t="s">
        <v>178</v>
      </c>
      <c r="D1843" s="37" t="s">
        <v>34</v>
      </c>
      <c r="E1843" s="38" t="n">
        <f aca="false">'Matrice des notes'!L55</f>
        <v>1</v>
      </c>
      <c r="F1843" s="37" t="s">
        <v>891</v>
      </c>
      <c r="G1843" s="39" t="s">
        <v>892</v>
      </c>
    </row>
    <row r="1844" customFormat="false" ht="15" hidden="false" customHeight="false" outlineLevel="0" collapsed="false">
      <c r="A1844" s="37" t="s">
        <v>207</v>
      </c>
      <c r="B1844" s="37" t="s">
        <v>235</v>
      </c>
      <c r="C1844" s="37" t="s">
        <v>178</v>
      </c>
      <c r="D1844" s="37" t="s">
        <v>37</v>
      </c>
      <c r="E1844" s="38" t="n">
        <f aca="false">'Matrice des notes'!M55</f>
        <v>1</v>
      </c>
      <c r="F1844" s="37" t="s">
        <v>812</v>
      </c>
      <c r="G1844" s="39" t="s">
        <v>813</v>
      </c>
    </row>
    <row r="1845" customFormat="false" ht="15" hidden="false" customHeight="false" outlineLevel="0" collapsed="false">
      <c r="A1845" s="37" t="s">
        <v>207</v>
      </c>
      <c r="B1845" s="37" t="s">
        <v>235</v>
      </c>
      <c r="C1845" s="37" t="s">
        <v>178</v>
      </c>
      <c r="D1845" s="37" t="s">
        <v>40</v>
      </c>
      <c r="E1845" s="38" t="n">
        <f aca="false">'Matrice des notes'!N55</f>
        <v>1</v>
      </c>
      <c r="F1845" s="37" t="s">
        <v>849</v>
      </c>
      <c r="G1845" s="39" t="s">
        <v>850</v>
      </c>
    </row>
    <row r="1846" customFormat="false" ht="15" hidden="false" customHeight="false" outlineLevel="0" collapsed="false">
      <c r="A1846" s="37" t="s">
        <v>207</v>
      </c>
      <c r="B1846" s="37" t="s">
        <v>235</v>
      </c>
      <c r="C1846" s="37" t="s">
        <v>178</v>
      </c>
      <c r="D1846" s="37" t="s">
        <v>43</v>
      </c>
      <c r="E1846" s="38" t="n">
        <f aca="false">'Matrice des notes'!O55</f>
        <v>1</v>
      </c>
      <c r="F1846" s="37" t="s">
        <v>816</v>
      </c>
      <c r="G1846" s="39" t="s">
        <v>866</v>
      </c>
    </row>
    <row r="1847" customFormat="false" ht="15" hidden="false" customHeight="false" outlineLevel="0" collapsed="false">
      <c r="A1847" s="37" t="s">
        <v>207</v>
      </c>
      <c r="B1847" s="37" t="s">
        <v>235</v>
      </c>
      <c r="C1847" s="37" t="s">
        <v>178</v>
      </c>
      <c r="D1847" s="37" t="s">
        <v>46</v>
      </c>
      <c r="E1847" s="38" t="n">
        <f aca="false">'Matrice des notes'!P55</f>
        <v>1</v>
      </c>
      <c r="F1847" s="37" t="s">
        <v>839</v>
      </c>
      <c r="G1847" s="39" t="s">
        <v>851</v>
      </c>
    </row>
    <row r="1848" customFormat="false" ht="22.35" hidden="false" customHeight="false" outlineLevel="0" collapsed="false">
      <c r="A1848" s="37" t="s">
        <v>207</v>
      </c>
      <c r="B1848" s="37" t="s">
        <v>235</v>
      </c>
      <c r="C1848" s="37" t="s">
        <v>179</v>
      </c>
      <c r="D1848" s="37" t="s">
        <v>49</v>
      </c>
      <c r="E1848" s="38" t="n">
        <f aca="false">'Matrice des notes'!Q55</f>
        <v>1</v>
      </c>
      <c r="F1848" s="37" t="s">
        <v>867</v>
      </c>
      <c r="G1848" s="39" t="s">
        <v>868</v>
      </c>
    </row>
    <row r="1849" customFormat="false" ht="15" hidden="false" customHeight="false" outlineLevel="0" collapsed="false">
      <c r="A1849" s="37" t="s">
        <v>207</v>
      </c>
      <c r="B1849" s="37" t="s">
        <v>235</v>
      </c>
      <c r="C1849" s="37" t="s">
        <v>179</v>
      </c>
      <c r="D1849" s="37" t="s">
        <v>53</v>
      </c>
      <c r="E1849" s="38" t="n">
        <f aca="false">'Matrice des notes'!R55</f>
        <v>1</v>
      </c>
      <c r="F1849" s="37" t="s">
        <v>891</v>
      </c>
      <c r="G1849" s="39" t="s">
        <v>893</v>
      </c>
    </row>
    <row r="1850" customFormat="false" ht="15" hidden="false" customHeight="false" outlineLevel="0" collapsed="false">
      <c r="A1850" s="37" t="s">
        <v>207</v>
      </c>
      <c r="B1850" s="37" t="s">
        <v>235</v>
      </c>
      <c r="C1850" s="37" t="s">
        <v>179</v>
      </c>
      <c r="D1850" s="37" t="s">
        <v>56</v>
      </c>
      <c r="E1850" s="38" t="n">
        <f aca="false">'Matrice des notes'!S55</f>
        <v>1</v>
      </c>
      <c r="F1850" s="37" t="s">
        <v>839</v>
      </c>
      <c r="G1850" s="39" t="s">
        <v>854</v>
      </c>
    </row>
    <row r="1851" customFormat="false" ht="15" hidden="false" customHeight="false" outlineLevel="0" collapsed="false">
      <c r="A1851" s="37" t="s">
        <v>207</v>
      </c>
      <c r="B1851" s="37" t="s">
        <v>235</v>
      </c>
      <c r="C1851" s="37" t="s">
        <v>179</v>
      </c>
      <c r="D1851" s="37" t="s">
        <v>59</v>
      </c>
      <c r="E1851" s="38" t="n">
        <f aca="false">'Matrice des notes'!T55</f>
        <v>1</v>
      </c>
      <c r="F1851" s="37" t="s">
        <v>839</v>
      </c>
      <c r="G1851" s="39" t="s">
        <v>855</v>
      </c>
    </row>
    <row r="1852" customFormat="false" ht="22.35" hidden="false" customHeight="false" outlineLevel="0" collapsed="false">
      <c r="A1852" s="37" t="s">
        <v>207</v>
      </c>
      <c r="B1852" s="37" t="s">
        <v>235</v>
      </c>
      <c r="C1852" s="37" t="s">
        <v>179</v>
      </c>
      <c r="D1852" s="37" t="s">
        <v>62</v>
      </c>
      <c r="E1852" s="38" t="n">
        <f aca="false">'Matrice des notes'!U55</f>
        <v>1</v>
      </c>
      <c r="F1852" s="37" t="s">
        <v>867</v>
      </c>
      <c r="G1852" s="39" t="s">
        <v>869</v>
      </c>
    </row>
    <row r="1853" customFormat="false" ht="15" hidden="false" customHeight="false" outlineLevel="0" collapsed="false">
      <c r="A1853" s="37" t="s">
        <v>207</v>
      </c>
      <c r="B1853" s="37" t="s">
        <v>235</v>
      </c>
      <c r="C1853" s="37" t="s">
        <v>179</v>
      </c>
      <c r="D1853" s="37" t="s">
        <v>65</v>
      </c>
      <c r="E1853" s="38" t="n">
        <f aca="false">'Matrice des notes'!V55</f>
        <v>2</v>
      </c>
      <c r="F1853" s="37" t="s">
        <v>903</v>
      </c>
      <c r="G1853" s="39" t="s">
        <v>904</v>
      </c>
    </row>
    <row r="1854" customFormat="false" ht="15" hidden="false" customHeight="false" outlineLevel="0" collapsed="false">
      <c r="A1854" s="37" t="s">
        <v>207</v>
      </c>
      <c r="B1854" s="37" t="s">
        <v>235</v>
      </c>
      <c r="C1854" s="37" t="s">
        <v>179</v>
      </c>
      <c r="D1854" s="37" t="s">
        <v>68</v>
      </c>
      <c r="E1854" s="38" t="n">
        <f aca="false">'Matrice des notes'!W55</f>
        <v>1</v>
      </c>
      <c r="F1854" s="37" t="s">
        <v>827</v>
      </c>
      <c r="G1854" s="39" t="s">
        <v>872</v>
      </c>
    </row>
    <row r="1855" customFormat="false" ht="15" hidden="false" customHeight="false" outlineLevel="0" collapsed="false">
      <c r="A1855" s="37" t="s">
        <v>207</v>
      </c>
      <c r="B1855" s="37" t="s">
        <v>235</v>
      </c>
      <c r="C1855" s="37" t="s">
        <v>179</v>
      </c>
      <c r="D1855" s="37" t="s">
        <v>71</v>
      </c>
      <c r="E1855" s="38" t="n">
        <f aca="false">'Matrice des notes'!X55</f>
        <v>1</v>
      </c>
      <c r="F1855" s="37" t="s">
        <v>708</v>
      </c>
      <c r="G1855" s="39" t="s">
        <v>857</v>
      </c>
    </row>
    <row r="1856" customFormat="false" ht="15" hidden="false" customHeight="false" outlineLevel="0" collapsed="false">
      <c r="A1856" s="37" t="s">
        <v>207</v>
      </c>
      <c r="B1856" s="37" t="s">
        <v>235</v>
      </c>
      <c r="C1856" s="37" t="s">
        <v>179</v>
      </c>
      <c r="D1856" s="37" t="s">
        <v>74</v>
      </c>
      <c r="E1856" s="38" t="n">
        <f aca="false">'Matrice des notes'!Y55</f>
        <v>2</v>
      </c>
      <c r="F1856" s="37" t="s">
        <v>673</v>
      </c>
      <c r="G1856" s="39" t="s">
        <v>896</v>
      </c>
    </row>
    <row r="1857" customFormat="false" ht="15" hidden="false" customHeight="false" outlineLevel="0" collapsed="false">
      <c r="A1857" s="37" t="s">
        <v>207</v>
      </c>
      <c r="B1857" s="37" t="s">
        <v>235</v>
      </c>
      <c r="C1857" s="37" t="s">
        <v>179</v>
      </c>
      <c r="D1857" s="37" t="s">
        <v>77</v>
      </c>
      <c r="E1857" s="38" t="n">
        <f aca="false">'Matrice des notes'!Z55</f>
        <v>1</v>
      </c>
      <c r="F1857" s="37" t="s">
        <v>842</v>
      </c>
      <c r="G1857" s="39" t="s">
        <v>858</v>
      </c>
    </row>
    <row r="1858" customFormat="false" ht="15" hidden="false" customHeight="false" outlineLevel="0" collapsed="false">
      <c r="A1858" s="37" t="s">
        <v>207</v>
      </c>
      <c r="B1858" s="37" t="s">
        <v>235</v>
      </c>
      <c r="C1858" s="37" t="s">
        <v>179</v>
      </c>
      <c r="D1858" s="37" t="s">
        <v>80</v>
      </c>
      <c r="E1858" s="38" t="n">
        <f aca="false">'Matrice des notes'!AA55</f>
        <v>2</v>
      </c>
      <c r="F1858" s="37" t="s">
        <v>907</v>
      </c>
      <c r="G1858" s="39" t="s">
        <v>908</v>
      </c>
    </row>
    <row r="1859" customFormat="false" ht="22.35" hidden="false" customHeight="false" outlineLevel="0" collapsed="false">
      <c r="A1859" s="37" t="s">
        <v>207</v>
      </c>
      <c r="B1859" s="37" t="s">
        <v>235</v>
      </c>
      <c r="C1859" s="37" t="s">
        <v>179</v>
      </c>
      <c r="D1859" s="37" t="s">
        <v>83</v>
      </c>
      <c r="E1859" s="38" t="n">
        <f aca="false">'Matrice des notes'!AB55</f>
        <v>1</v>
      </c>
      <c r="F1859" s="37" t="s">
        <v>898</v>
      </c>
      <c r="G1859" s="39" t="s">
        <v>899</v>
      </c>
    </row>
    <row r="1860" customFormat="false" ht="15" hidden="false" customHeight="false" outlineLevel="0" collapsed="false">
      <c r="A1860" s="37" t="s">
        <v>207</v>
      </c>
      <c r="B1860" s="37" t="s">
        <v>235</v>
      </c>
      <c r="C1860" s="37" t="s">
        <v>179</v>
      </c>
      <c r="D1860" s="37" t="s">
        <v>86</v>
      </c>
      <c r="E1860" s="38" t="n">
        <f aca="false">'Matrice des notes'!AC55</f>
        <v>2</v>
      </c>
      <c r="F1860" s="37" t="s">
        <v>935</v>
      </c>
      <c r="G1860" s="39" t="s">
        <v>968</v>
      </c>
    </row>
    <row r="1861" customFormat="false" ht="15" hidden="false" customHeight="false" outlineLevel="0" collapsed="false">
      <c r="A1861" s="37" t="s">
        <v>207</v>
      </c>
      <c r="B1861" s="37" t="s">
        <v>235</v>
      </c>
      <c r="C1861" s="37" t="s">
        <v>179</v>
      </c>
      <c r="D1861" s="37" t="s">
        <v>89</v>
      </c>
      <c r="E1861" s="38" t="n">
        <f aca="false">'Matrice des notes'!AD55</f>
        <v>2</v>
      </c>
      <c r="F1861" s="37" t="s">
        <v>937</v>
      </c>
      <c r="G1861" s="39" t="s">
        <v>969</v>
      </c>
    </row>
    <row r="1862" customFormat="false" ht="15" hidden="false" customHeight="false" outlineLevel="0" collapsed="false">
      <c r="A1862" s="37" t="s">
        <v>207</v>
      </c>
      <c r="B1862" s="37" t="s">
        <v>235</v>
      </c>
      <c r="C1862" s="37" t="s">
        <v>179</v>
      </c>
      <c r="D1862" s="37" t="s">
        <v>92</v>
      </c>
      <c r="E1862" s="38" t="n">
        <f aca="false">'Matrice des notes'!AE55</f>
        <v>2</v>
      </c>
      <c r="F1862" s="37" t="s">
        <v>900</v>
      </c>
      <c r="G1862" s="39" t="s">
        <v>901</v>
      </c>
    </row>
    <row r="1863" customFormat="false" ht="15" hidden="false" customHeight="false" outlineLevel="0" collapsed="false">
      <c r="A1863" s="37" t="s">
        <v>207</v>
      </c>
      <c r="B1863" s="37" t="s">
        <v>235</v>
      </c>
      <c r="C1863" s="37" t="s">
        <v>180</v>
      </c>
      <c r="D1863" s="37" t="s">
        <v>95</v>
      </c>
      <c r="E1863" s="38" t="n">
        <f aca="false">'Matrice des notes'!AF55</f>
        <v>1</v>
      </c>
      <c r="F1863" s="37" t="s">
        <v>631</v>
      </c>
      <c r="G1863" s="39" t="s">
        <v>654</v>
      </c>
    </row>
    <row r="1864" customFormat="false" ht="15" hidden="false" customHeight="false" outlineLevel="0" collapsed="false">
      <c r="A1864" s="37" t="s">
        <v>207</v>
      </c>
      <c r="B1864" s="37" t="s">
        <v>235</v>
      </c>
      <c r="C1864" s="37" t="s">
        <v>180</v>
      </c>
      <c r="D1864" s="37" t="s">
        <v>99</v>
      </c>
      <c r="E1864" s="38" t="n">
        <f aca="false">'Matrice des notes'!AG55</f>
        <v>1</v>
      </c>
      <c r="F1864" s="37" t="s">
        <v>655</v>
      </c>
      <c r="G1864" s="39" t="s">
        <v>656</v>
      </c>
    </row>
    <row r="1865" customFormat="false" ht="15" hidden="false" customHeight="false" outlineLevel="0" collapsed="false">
      <c r="A1865" s="37" t="s">
        <v>207</v>
      </c>
      <c r="B1865" s="37" t="s">
        <v>235</v>
      </c>
      <c r="C1865" s="37" t="s">
        <v>180</v>
      </c>
      <c r="D1865" s="37" t="s">
        <v>102</v>
      </c>
      <c r="E1865" s="38" t="n">
        <f aca="false">'Matrice des notes'!AH55</f>
        <v>1</v>
      </c>
      <c r="F1865" s="37" t="s">
        <v>655</v>
      </c>
      <c r="G1865" s="39" t="s">
        <v>656</v>
      </c>
    </row>
    <row r="1866" customFormat="false" ht="15" hidden="false" customHeight="false" outlineLevel="0" collapsed="false">
      <c r="A1866" s="37" t="s">
        <v>207</v>
      </c>
      <c r="B1866" s="37" t="s">
        <v>235</v>
      </c>
      <c r="C1866" s="37" t="s">
        <v>180</v>
      </c>
      <c r="D1866" s="37" t="s">
        <v>104</v>
      </c>
      <c r="E1866" s="38" t="n">
        <f aca="false">'Matrice des notes'!AI55</f>
        <v>1</v>
      </c>
      <c r="F1866" s="37" t="s">
        <v>631</v>
      </c>
      <c r="G1866" s="39" t="s">
        <v>654</v>
      </c>
    </row>
    <row r="1867" customFormat="false" ht="15" hidden="false" customHeight="false" outlineLevel="0" collapsed="false">
      <c r="A1867" s="37" t="s">
        <v>207</v>
      </c>
      <c r="B1867" s="37" t="s">
        <v>235</v>
      </c>
      <c r="C1867" s="37" t="s">
        <v>180</v>
      </c>
      <c r="D1867" s="37" t="s">
        <v>107</v>
      </c>
      <c r="E1867" s="38" t="n">
        <f aca="false">'Matrice des notes'!AJ55</f>
        <v>1</v>
      </c>
      <c r="F1867" s="37" t="s">
        <v>631</v>
      </c>
      <c r="G1867" s="39" t="s">
        <v>654</v>
      </c>
    </row>
    <row r="1868" customFormat="false" ht="15" hidden="false" customHeight="false" outlineLevel="0" collapsed="false">
      <c r="A1868" s="37" t="s">
        <v>207</v>
      </c>
      <c r="B1868" s="37" t="s">
        <v>235</v>
      </c>
      <c r="C1868" s="37" t="s">
        <v>180</v>
      </c>
      <c r="D1868" s="37" t="s">
        <v>110</v>
      </c>
      <c r="E1868" s="38" t="n">
        <f aca="false">'Matrice des notes'!AK55</f>
        <v>1</v>
      </c>
      <c r="F1868" s="37" t="s">
        <v>631</v>
      </c>
      <c r="G1868" s="39" t="s">
        <v>654</v>
      </c>
    </row>
    <row r="1869" customFormat="false" ht="15" hidden="false" customHeight="false" outlineLevel="0" collapsed="false">
      <c r="A1869" s="37" t="s">
        <v>207</v>
      </c>
      <c r="B1869" s="37" t="s">
        <v>235</v>
      </c>
      <c r="C1869" s="37" t="s">
        <v>180</v>
      </c>
      <c r="D1869" s="37" t="s">
        <v>113</v>
      </c>
      <c r="E1869" s="38" t="n">
        <f aca="false">'Matrice des notes'!AL55</f>
        <v>1</v>
      </c>
      <c r="F1869" s="37" t="s">
        <v>631</v>
      </c>
      <c r="G1869" s="39" t="s">
        <v>654</v>
      </c>
    </row>
    <row r="1870" customFormat="false" ht="15" hidden="false" customHeight="false" outlineLevel="0" collapsed="false">
      <c r="A1870" s="37" t="s">
        <v>207</v>
      </c>
      <c r="B1870" s="37" t="s">
        <v>235</v>
      </c>
      <c r="C1870" s="37" t="s">
        <v>180</v>
      </c>
      <c r="D1870" s="37" t="s">
        <v>116</v>
      </c>
      <c r="E1870" s="38" t="n">
        <f aca="false">'Matrice des notes'!AM55</f>
        <v>1</v>
      </c>
      <c r="F1870" s="37" t="s">
        <v>655</v>
      </c>
      <c r="G1870" s="39" t="s">
        <v>656</v>
      </c>
    </row>
    <row r="1871" customFormat="false" ht="15" hidden="false" customHeight="false" outlineLevel="0" collapsed="false">
      <c r="A1871" s="37" t="s">
        <v>207</v>
      </c>
      <c r="B1871" s="37" t="s">
        <v>235</v>
      </c>
      <c r="C1871" s="37" t="s">
        <v>180</v>
      </c>
      <c r="D1871" s="37" t="s">
        <v>119</v>
      </c>
      <c r="E1871" s="38" t="n">
        <f aca="false">'Matrice des notes'!AN55</f>
        <v>1</v>
      </c>
      <c r="F1871" s="37" t="s">
        <v>631</v>
      </c>
      <c r="G1871" s="39" t="s">
        <v>654</v>
      </c>
    </row>
    <row r="1872" customFormat="false" ht="15" hidden="false" customHeight="false" outlineLevel="0" collapsed="false">
      <c r="A1872" s="37" t="s">
        <v>207</v>
      </c>
      <c r="B1872" s="37" t="s">
        <v>235</v>
      </c>
      <c r="C1872" s="37" t="s">
        <v>180</v>
      </c>
      <c r="D1872" s="37" t="s">
        <v>121</v>
      </c>
      <c r="E1872" s="38" t="n">
        <f aca="false">'Matrice des notes'!AO55</f>
        <v>1</v>
      </c>
      <c r="F1872" s="37" t="s">
        <v>657</v>
      </c>
      <c r="G1872" s="39" t="s">
        <v>658</v>
      </c>
    </row>
    <row r="1873" customFormat="false" ht="15" hidden="false" customHeight="false" outlineLevel="0" collapsed="false">
      <c r="A1873" s="37" t="s">
        <v>207</v>
      </c>
      <c r="B1873" s="37" t="s">
        <v>235</v>
      </c>
      <c r="C1873" s="37" t="s">
        <v>180</v>
      </c>
      <c r="D1873" s="37" t="s">
        <v>124</v>
      </c>
      <c r="E1873" s="38" t="n">
        <f aca="false">'Matrice des notes'!AP55</f>
        <v>1</v>
      </c>
      <c r="F1873" s="37" t="s">
        <v>863</v>
      </c>
      <c r="G1873" s="39" t="s">
        <v>864</v>
      </c>
    </row>
    <row r="1874" customFormat="false" ht="15" hidden="false" customHeight="false" outlineLevel="0" collapsed="false">
      <c r="A1874" s="37" t="s">
        <v>207</v>
      </c>
      <c r="B1874" s="37" t="s">
        <v>236</v>
      </c>
      <c r="C1874" s="37" t="s">
        <v>178</v>
      </c>
      <c r="D1874" s="37" t="s">
        <v>7</v>
      </c>
      <c r="E1874" s="38" t="n">
        <f aca="false">'Matrice des notes'!D56</f>
        <v>2</v>
      </c>
      <c r="F1874" s="37" t="s">
        <v>673</v>
      </c>
      <c r="G1874" s="39" t="s">
        <v>674</v>
      </c>
    </row>
    <row r="1875" customFormat="false" ht="15" hidden="false" customHeight="false" outlineLevel="0" collapsed="false">
      <c r="A1875" s="37" t="s">
        <v>207</v>
      </c>
      <c r="B1875" s="37" t="s">
        <v>236</v>
      </c>
      <c r="C1875" s="37" t="s">
        <v>178</v>
      </c>
      <c r="D1875" s="37" t="s">
        <v>11</v>
      </c>
      <c r="E1875" s="38" t="n">
        <f aca="false">'Matrice des notes'!E56</f>
        <v>1</v>
      </c>
      <c r="F1875" s="37" t="s">
        <v>839</v>
      </c>
      <c r="G1875" s="39" t="s">
        <v>840</v>
      </c>
    </row>
    <row r="1876" customFormat="false" ht="15" hidden="false" customHeight="false" outlineLevel="0" collapsed="false">
      <c r="A1876" s="37" t="s">
        <v>207</v>
      </c>
      <c r="B1876" s="37" t="s">
        <v>236</v>
      </c>
      <c r="C1876" s="37" t="s">
        <v>178</v>
      </c>
      <c r="D1876" s="37" t="s">
        <v>14</v>
      </c>
      <c r="E1876" s="38" t="n">
        <f aca="false">'Matrice des notes'!F56</f>
        <v>1</v>
      </c>
      <c r="F1876" s="37" t="s">
        <v>677</v>
      </c>
      <c r="G1876" s="39" t="s">
        <v>841</v>
      </c>
    </row>
    <row r="1877" customFormat="false" ht="15" hidden="false" customHeight="false" outlineLevel="0" collapsed="false">
      <c r="A1877" s="37" t="s">
        <v>207</v>
      </c>
      <c r="B1877" s="37" t="s">
        <v>236</v>
      </c>
      <c r="C1877" s="37" t="s">
        <v>178</v>
      </c>
      <c r="D1877" s="37" t="s">
        <v>17</v>
      </c>
      <c r="E1877" s="38" t="n">
        <f aca="false">'Matrice des notes'!G56</f>
        <v>1</v>
      </c>
      <c r="F1877" s="37" t="s">
        <v>842</v>
      </c>
      <c r="G1877" s="39" t="s">
        <v>843</v>
      </c>
    </row>
    <row r="1878" customFormat="false" ht="15" hidden="false" customHeight="false" outlineLevel="0" collapsed="false">
      <c r="A1878" s="37" t="s">
        <v>207</v>
      </c>
      <c r="B1878" s="37" t="s">
        <v>236</v>
      </c>
      <c r="C1878" s="37" t="s">
        <v>178</v>
      </c>
      <c r="D1878" s="37" t="s">
        <v>20</v>
      </c>
      <c r="E1878" s="38" t="n">
        <f aca="false">'Matrice des notes'!H56</f>
        <v>1</v>
      </c>
      <c r="F1878" s="37" t="s">
        <v>839</v>
      </c>
      <c r="G1878" s="39" t="s">
        <v>844</v>
      </c>
    </row>
    <row r="1879" customFormat="false" ht="15" hidden="false" customHeight="false" outlineLevel="0" collapsed="false">
      <c r="A1879" s="37" t="s">
        <v>207</v>
      </c>
      <c r="B1879" s="37" t="s">
        <v>236</v>
      </c>
      <c r="C1879" s="37" t="s">
        <v>178</v>
      </c>
      <c r="D1879" s="37" t="s">
        <v>23</v>
      </c>
      <c r="E1879" s="38" t="n">
        <f aca="false">'Matrice des notes'!I56</f>
        <v>1</v>
      </c>
      <c r="F1879" s="37" t="s">
        <v>839</v>
      </c>
      <c r="G1879" s="39" t="s">
        <v>845</v>
      </c>
    </row>
    <row r="1880" customFormat="false" ht="15" hidden="false" customHeight="false" outlineLevel="0" collapsed="false">
      <c r="A1880" s="37" t="s">
        <v>207</v>
      </c>
      <c r="B1880" s="37" t="s">
        <v>236</v>
      </c>
      <c r="C1880" s="37" t="s">
        <v>178</v>
      </c>
      <c r="D1880" s="37" t="s">
        <v>26</v>
      </c>
      <c r="E1880" s="38" t="n">
        <f aca="false">'Matrice des notes'!J56</f>
        <v>1</v>
      </c>
      <c r="F1880" s="37" t="s">
        <v>835</v>
      </c>
      <c r="G1880" s="39" t="s">
        <v>846</v>
      </c>
    </row>
    <row r="1881" customFormat="false" ht="15" hidden="false" customHeight="false" outlineLevel="0" collapsed="false">
      <c r="A1881" s="37" t="s">
        <v>207</v>
      </c>
      <c r="B1881" s="37" t="s">
        <v>236</v>
      </c>
      <c r="C1881" s="37" t="s">
        <v>178</v>
      </c>
      <c r="D1881" s="37" t="s">
        <v>30</v>
      </c>
      <c r="E1881" s="38" t="n">
        <f aca="false">'Matrice des notes'!K56</f>
        <v>1</v>
      </c>
      <c r="F1881" s="37" t="s">
        <v>677</v>
      </c>
      <c r="G1881" s="39" t="s">
        <v>847</v>
      </c>
    </row>
    <row r="1882" customFormat="false" ht="15" hidden="false" customHeight="false" outlineLevel="0" collapsed="false">
      <c r="A1882" s="37" t="s">
        <v>207</v>
      </c>
      <c r="B1882" s="37" t="s">
        <v>236</v>
      </c>
      <c r="C1882" s="37" t="s">
        <v>178</v>
      </c>
      <c r="D1882" s="37" t="s">
        <v>34</v>
      </c>
      <c r="E1882" s="38" t="n">
        <f aca="false">'Matrice des notes'!L56</f>
        <v>3</v>
      </c>
      <c r="F1882" s="37" t="s">
        <v>675</v>
      </c>
      <c r="G1882" s="39" t="s">
        <v>676</v>
      </c>
    </row>
    <row r="1883" customFormat="false" ht="15" hidden="false" customHeight="false" outlineLevel="0" collapsed="false">
      <c r="A1883" s="37" t="s">
        <v>207</v>
      </c>
      <c r="B1883" s="37" t="s">
        <v>236</v>
      </c>
      <c r="C1883" s="37" t="s">
        <v>178</v>
      </c>
      <c r="D1883" s="37" t="s">
        <v>37</v>
      </c>
      <c r="E1883" s="38" t="n">
        <f aca="false">'Matrice des notes'!M56</f>
        <v>1</v>
      </c>
      <c r="F1883" s="37" t="s">
        <v>812</v>
      </c>
      <c r="G1883" s="39" t="s">
        <v>813</v>
      </c>
    </row>
    <row r="1884" customFormat="false" ht="15" hidden="false" customHeight="false" outlineLevel="0" collapsed="false">
      <c r="A1884" s="37" t="s">
        <v>207</v>
      </c>
      <c r="B1884" s="37" t="s">
        <v>236</v>
      </c>
      <c r="C1884" s="37" t="s">
        <v>178</v>
      </c>
      <c r="D1884" s="37" t="s">
        <v>40</v>
      </c>
      <c r="E1884" s="38" t="n">
        <f aca="false">'Matrice des notes'!N56</f>
        <v>1</v>
      </c>
      <c r="F1884" s="37" t="s">
        <v>849</v>
      </c>
      <c r="G1884" s="39" t="s">
        <v>850</v>
      </c>
    </row>
    <row r="1885" customFormat="false" ht="15" hidden="false" customHeight="false" outlineLevel="0" collapsed="false">
      <c r="A1885" s="37" t="s">
        <v>207</v>
      </c>
      <c r="B1885" s="37" t="s">
        <v>236</v>
      </c>
      <c r="C1885" s="37" t="s">
        <v>178</v>
      </c>
      <c r="D1885" s="37" t="s">
        <v>43</v>
      </c>
      <c r="E1885" s="38" t="n">
        <f aca="false">'Matrice des notes'!O56</f>
        <v>1</v>
      </c>
      <c r="F1885" s="37" t="s">
        <v>816</v>
      </c>
      <c r="G1885" s="39" t="s">
        <v>866</v>
      </c>
    </row>
    <row r="1886" customFormat="false" ht="15" hidden="false" customHeight="false" outlineLevel="0" collapsed="false">
      <c r="A1886" s="37" t="s">
        <v>207</v>
      </c>
      <c r="B1886" s="37" t="s">
        <v>236</v>
      </c>
      <c r="C1886" s="37" t="s">
        <v>178</v>
      </c>
      <c r="D1886" s="37" t="s">
        <v>46</v>
      </c>
      <c r="E1886" s="38" t="n">
        <f aca="false">'Matrice des notes'!P56</f>
        <v>1</v>
      </c>
      <c r="F1886" s="37" t="s">
        <v>839</v>
      </c>
      <c r="G1886" s="39" t="s">
        <v>851</v>
      </c>
    </row>
    <row r="1887" customFormat="false" ht="22.35" hidden="false" customHeight="false" outlineLevel="0" collapsed="false">
      <c r="A1887" s="37" t="s">
        <v>207</v>
      </c>
      <c r="B1887" s="37" t="s">
        <v>236</v>
      </c>
      <c r="C1887" s="37" t="s">
        <v>179</v>
      </c>
      <c r="D1887" s="37" t="s">
        <v>49</v>
      </c>
      <c r="E1887" s="38" t="n">
        <f aca="false">'Matrice des notes'!Q56</f>
        <v>1</v>
      </c>
      <c r="F1887" s="37" t="s">
        <v>887</v>
      </c>
      <c r="G1887" s="39" t="s">
        <v>888</v>
      </c>
    </row>
    <row r="1888" customFormat="false" ht="15" hidden="false" customHeight="false" outlineLevel="0" collapsed="false">
      <c r="A1888" s="37" t="s">
        <v>207</v>
      </c>
      <c r="B1888" s="37" t="s">
        <v>236</v>
      </c>
      <c r="C1888" s="37" t="s">
        <v>179</v>
      </c>
      <c r="D1888" s="37" t="s">
        <v>53</v>
      </c>
      <c r="E1888" s="38" t="n">
        <f aca="false">'Matrice des notes'!R56</f>
        <v>3</v>
      </c>
      <c r="F1888" s="37" t="s">
        <v>675</v>
      </c>
      <c r="G1888" s="39" t="s">
        <v>676</v>
      </c>
    </row>
    <row r="1889" customFormat="false" ht="15" hidden="false" customHeight="false" outlineLevel="0" collapsed="false">
      <c r="A1889" s="37" t="s">
        <v>207</v>
      </c>
      <c r="B1889" s="37" t="s">
        <v>236</v>
      </c>
      <c r="C1889" s="37" t="s">
        <v>179</v>
      </c>
      <c r="D1889" s="37" t="s">
        <v>56</v>
      </c>
      <c r="E1889" s="38" t="n">
        <f aca="false">'Matrice des notes'!S56</f>
        <v>1</v>
      </c>
      <c r="F1889" s="37" t="s">
        <v>839</v>
      </c>
      <c r="G1889" s="39" t="s">
        <v>854</v>
      </c>
    </row>
    <row r="1890" customFormat="false" ht="15" hidden="false" customHeight="false" outlineLevel="0" collapsed="false">
      <c r="A1890" s="37" t="s">
        <v>207</v>
      </c>
      <c r="B1890" s="37" t="s">
        <v>236</v>
      </c>
      <c r="C1890" s="37" t="s">
        <v>179</v>
      </c>
      <c r="D1890" s="37" t="s">
        <v>59</v>
      </c>
      <c r="E1890" s="38" t="n">
        <f aca="false">'Matrice des notes'!T56</f>
        <v>1</v>
      </c>
      <c r="F1890" s="37" t="s">
        <v>839</v>
      </c>
      <c r="G1890" s="39" t="s">
        <v>855</v>
      </c>
    </row>
    <row r="1891" customFormat="false" ht="22.35" hidden="false" customHeight="false" outlineLevel="0" collapsed="false">
      <c r="A1891" s="37" t="s">
        <v>207</v>
      </c>
      <c r="B1891" s="37" t="s">
        <v>236</v>
      </c>
      <c r="C1891" s="37" t="s">
        <v>179</v>
      </c>
      <c r="D1891" s="37" t="s">
        <v>62</v>
      </c>
      <c r="E1891" s="38" t="n">
        <f aca="false">'Matrice des notes'!U56</f>
        <v>1</v>
      </c>
      <c r="F1891" s="37" t="s">
        <v>887</v>
      </c>
      <c r="G1891" s="39" t="s">
        <v>889</v>
      </c>
    </row>
    <row r="1892" customFormat="false" ht="15" hidden="false" customHeight="false" outlineLevel="0" collapsed="false">
      <c r="A1892" s="37" t="s">
        <v>207</v>
      </c>
      <c r="B1892" s="37" t="s">
        <v>236</v>
      </c>
      <c r="C1892" s="37" t="s">
        <v>179</v>
      </c>
      <c r="D1892" s="37" t="s">
        <v>65</v>
      </c>
      <c r="E1892" s="38" t="n">
        <f aca="false">'Matrice des notes'!V56</f>
        <v>4</v>
      </c>
      <c r="F1892" s="37" t="s">
        <v>810</v>
      </c>
      <c r="G1892" s="39" t="s">
        <v>963</v>
      </c>
    </row>
    <row r="1893" customFormat="false" ht="15" hidden="false" customHeight="false" outlineLevel="0" collapsed="false">
      <c r="A1893" s="37" t="s">
        <v>207</v>
      </c>
      <c r="B1893" s="37" t="s">
        <v>236</v>
      </c>
      <c r="C1893" s="37" t="s">
        <v>179</v>
      </c>
      <c r="D1893" s="37" t="s">
        <v>68</v>
      </c>
      <c r="E1893" s="38" t="n">
        <f aca="false">'Matrice des notes'!W56</f>
        <v>1</v>
      </c>
      <c r="F1893" s="37" t="s">
        <v>827</v>
      </c>
      <c r="G1893" s="39" t="s">
        <v>872</v>
      </c>
    </row>
    <row r="1894" customFormat="false" ht="15" hidden="false" customHeight="false" outlineLevel="0" collapsed="false">
      <c r="A1894" s="37" t="s">
        <v>207</v>
      </c>
      <c r="B1894" s="37" t="s">
        <v>236</v>
      </c>
      <c r="C1894" s="37" t="s">
        <v>179</v>
      </c>
      <c r="D1894" s="37" t="s">
        <v>71</v>
      </c>
      <c r="E1894" s="38" t="n">
        <f aca="false">'Matrice des notes'!X56</f>
        <v>1</v>
      </c>
      <c r="F1894" s="37" t="s">
        <v>708</v>
      </c>
      <c r="G1894" s="39" t="s">
        <v>857</v>
      </c>
    </row>
    <row r="1895" customFormat="false" ht="15" hidden="false" customHeight="false" outlineLevel="0" collapsed="false">
      <c r="A1895" s="37" t="s">
        <v>207</v>
      </c>
      <c r="B1895" s="37" t="s">
        <v>236</v>
      </c>
      <c r="C1895" s="37" t="s">
        <v>179</v>
      </c>
      <c r="D1895" s="37" t="s">
        <v>74</v>
      </c>
      <c r="E1895" s="38" t="n">
        <f aca="false">'Matrice des notes'!Y56</f>
        <v>4</v>
      </c>
      <c r="F1895" s="37" t="s">
        <v>837</v>
      </c>
      <c r="G1895" s="39" t="s">
        <v>964</v>
      </c>
    </row>
    <row r="1896" customFormat="false" ht="15" hidden="false" customHeight="false" outlineLevel="0" collapsed="false">
      <c r="A1896" s="37" t="s">
        <v>207</v>
      </c>
      <c r="B1896" s="37" t="s">
        <v>236</v>
      </c>
      <c r="C1896" s="37" t="s">
        <v>179</v>
      </c>
      <c r="D1896" s="37" t="s">
        <v>77</v>
      </c>
      <c r="E1896" s="38" t="n">
        <f aca="false">'Matrice des notes'!Z56</f>
        <v>1</v>
      </c>
      <c r="F1896" s="37" t="s">
        <v>842</v>
      </c>
      <c r="G1896" s="39" t="s">
        <v>858</v>
      </c>
    </row>
    <row r="1897" customFormat="false" ht="15" hidden="false" customHeight="false" outlineLevel="0" collapsed="false">
      <c r="A1897" s="37" t="s">
        <v>207</v>
      </c>
      <c r="B1897" s="37" t="s">
        <v>236</v>
      </c>
      <c r="C1897" s="37" t="s">
        <v>179</v>
      </c>
      <c r="D1897" s="37" t="s">
        <v>80</v>
      </c>
      <c r="E1897" s="38" t="n">
        <f aca="false">'Matrice des notes'!AA56</f>
        <v>5</v>
      </c>
      <c r="F1897" s="37" t="s">
        <v>874</v>
      </c>
      <c r="G1897" s="39" t="s">
        <v>875</v>
      </c>
    </row>
    <row r="1898" customFormat="false" ht="15" hidden="false" customHeight="false" outlineLevel="0" collapsed="false">
      <c r="A1898" s="37" t="s">
        <v>207</v>
      </c>
      <c r="B1898" s="37" t="s">
        <v>236</v>
      </c>
      <c r="C1898" s="37" t="s">
        <v>179</v>
      </c>
      <c r="D1898" s="37" t="s">
        <v>83</v>
      </c>
      <c r="E1898" s="38" t="n">
        <f aca="false">'Matrice des notes'!AB56</f>
        <v>2</v>
      </c>
      <c r="F1898" s="37" t="s">
        <v>693</v>
      </c>
      <c r="G1898" s="39" t="s">
        <v>737</v>
      </c>
    </row>
    <row r="1899" customFormat="false" ht="15" hidden="false" customHeight="false" outlineLevel="0" collapsed="false">
      <c r="A1899" s="37" t="s">
        <v>207</v>
      </c>
      <c r="B1899" s="37" t="s">
        <v>236</v>
      </c>
      <c r="C1899" s="37" t="s">
        <v>179</v>
      </c>
      <c r="D1899" s="37" t="s">
        <v>86</v>
      </c>
      <c r="E1899" s="38" t="n">
        <f aca="false">'Matrice des notes'!AC56</f>
        <v>5</v>
      </c>
      <c r="F1899" s="37" t="s">
        <v>876</v>
      </c>
      <c r="G1899" s="39" t="s">
        <v>877</v>
      </c>
    </row>
    <row r="1900" customFormat="false" ht="15" hidden="false" customHeight="false" outlineLevel="0" collapsed="false">
      <c r="A1900" s="37" t="s">
        <v>207</v>
      </c>
      <c r="B1900" s="37" t="s">
        <v>236</v>
      </c>
      <c r="C1900" s="37" t="s">
        <v>179</v>
      </c>
      <c r="D1900" s="37" t="s">
        <v>89</v>
      </c>
      <c r="E1900" s="38" t="n">
        <f aca="false">'Matrice des notes'!AD56</f>
        <v>4</v>
      </c>
      <c r="F1900" s="37" t="s">
        <v>810</v>
      </c>
      <c r="G1900" s="39" t="s">
        <v>963</v>
      </c>
    </row>
    <row r="1901" customFormat="false" ht="15" hidden="false" customHeight="false" outlineLevel="0" collapsed="false">
      <c r="A1901" s="37" t="s">
        <v>207</v>
      </c>
      <c r="B1901" s="37" t="s">
        <v>236</v>
      </c>
      <c r="C1901" s="37" t="s">
        <v>179</v>
      </c>
      <c r="D1901" s="37" t="s">
        <v>92</v>
      </c>
      <c r="E1901" s="38" t="n">
        <f aca="false">'Matrice des notes'!AE56</f>
        <v>3</v>
      </c>
      <c r="F1901" s="37" t="s">
        <v>708</v>
      </c>
      <c r="G1901" s="39" t="s">
        <v>714</v>
      </c>
    </row>
    <row r="1902" customFormat="false" ht="15" hidden="false" customHeight="false" outlineLevel="0" collapsed="false">
      <c r="A1902" s="37" t="s">
        <v>207</v>
      </c>
      <c r="B1902" s="37" t="s">
        <v>236</v>
      </c>
      <c r="C1902" s="37" t="s">
        <v>180</v>
      </c>
      <c r="D1902" s="37" t="s">
        <v>95</v>
      </c>
      <c r="E1902" s="38" t="n">
        <f aca="false">'Matrice des notes'!AF56</f>
        <v>1</v>
      </c>
      <c r="F1902" s="37" t="s">
        <v>631</v>
      </c>
      <c r="G1902" s="39" t="s">
        <v>654</v>
      </c>
    </row>
    <row r="1903" customFormat="false" ht="15" hidden="false" customHeight="false" outlineLevel="0" collapsed="false">
      <c r="A1903" s="37" t="s">
        <v>207</v>
      </c>
      <c r="B1903" s="37" t="s">
        <v>236</v>
      </c>
      <c r="C1903" s="37" t="s">
        <v>180</v>
      </c>
      <c r="D1903" s="37" t="s">
        <v>99</v>
      </c>
      <c r="E1903" s="38" t="n">
        <f aca="false">'Matrice des notes'!AG56</f>
        <v>1</v>
      </c>
      <c r="F1903" s="37" t="s">
        <v>655</v>
      </c>
      <c r="G1903" s="39" t="s">
        <v>656</v>
      </c>
    </row>
    <row r="1904" customFormat="false" ht="15" hidden="false" customHeight="false" outlineLevel="0" collapsed="false">
      <c r="A1904" s="37" t="s">
        <v>207</v>
      </c>
      <c r="B1904" s="37" t="s">
        <v>236</v>
      </c>
      <c r="C1904" s="37" t="s">
        <v>180</v>
      </c>
      <c r="D1904" s="37" t="s">
        <v>102</v>
      </c>
      <c r="E1904" s="38" t="n">
        <f aca="false">'Matrice des notes'!AH56</f>
        <v>1</v>
      </c>
      <c r="F1904" s="37" t="s">
        <v>655</v>
      </c>
      <c r="G1904" s="39" t="s">
        <v>656</v>
      </c>
    </row>
    <row r="1905" customFormat="false" ht="15" hidden="false" customHeight="false" outlineLevel="0" collapsed="false">
      <c r="A1905" s="37" t="s">
        <v>207</v>
      </c>
      <c r="B1905" s="37" t="s">
        <v>236</v>
      </c>
      <c r="C1905" s="37" t="s">
        <v>180</v>
      </c>
      <c r="D1905" s="37" t="s">
        <v>104</v>
      </c>
      <c r="E1905" s="38" t="n">
        <f aca="false">'Matrice des notes'!AI56</f>
        <v>1</v>
      </c>
      <c r="F1905" s="37" t="s">
        <v>631</v>
      </c>
      <c r="G1905" s="39" t="s">
        <v>654</v>
      </c>
    </row>
    <row r="1906" customFormat="false" ht="15" hidden="false" customHeight="false" outlineLevel="0" collapsed="false">
      <c r="A1906" s="37" t="s">
        <v>207</v>
      </c>
      <c r="B1906" s="37" t="s">
        <v>236</v>
      </c>
      <c r="C1906" s="37" t="s">
        <v>180</v>
      </c>
      <c r="D1906" s="37" t="s">
        <v>107</v>
      </c>
      <c r="E1906" s="38" t="n">
        <f aca="false">'Matrice des notes'!AJ56</f>
        <v>1</v>
      </c>
      <c r="F1906" s="37" t="s">
        <v>631</v>
      </c>
      <c r="G1906" s="39" t="s">
        <v>654</v>
      </c>
    </row>
    <row r="1907" customFormat="false" ht="15" hidden="false" customHeight="false" outlineLevel="0" collapsed="false">
      <c r="A1907" s="37" t="s">
        <v>207</v>
      </c>
      <c r="B1907" s="37" t="s">
        <v>236</v>
      </c>
      <c r="C1907" s="37" t="s">
        <v>180</v>
      </c>
      <c r="D1907" s="37" t="s">
        <v>110</v>
      </c>
      <c r="E1907" s="38" t="n">
        <f aca="false">'Matrice des notes'!AK56</f>
        <v>1</v>
      </c>
      <c r="F1907" s="37" t="s">
        <v>631</v>
      </c>
      <c r="G1907" s="39" t="s">
        <v>654</v>
      </c>
    </row>
    <row r="1908" customFormat="false" ht="15" hidden="false" customHeight="false" outlineLevel="0" collapsed="false">
      <c r="A1908" s="37" t="s">
        <v>207</v>
      </c>
      <c r="B1908" s="37" t="s">
        <v>236</v>
      </c>
      <c r="C1908" s="37" t="s">
        <v>180</v>
      </c>
      <c r="D1908" s="37" t="s">
        <v>113</v>
      </c>
      <c r="E1908" s="38" t="n">
        <f aca="false">'Matrice des notes'!AL56</f>
        <v>1</v>
      </c>
      <c r="F1908" s="37" t="s">
        <v>631</v>
      </c>
      <c r="G1908" s="39" t="s">
        <v>654</v>
      </c>
    </row>
    <row r="1909" customFormat="false" ht="15" hidden="false" customHeight="false" outlineLevel="0" collapsed="false">
      <c r="A1909" s="37" t="s">
        <v>207</v>
      </c>
      <c r="B1909" s="37" t="s">
        <v>236</v>
      </c>
      <c r="C1909" s="37" t="s">
        <v>180</v>
      </c>
      <c r="D1909" s="37" t="s">
        <v>116</v>
      </c>
      <c r="E1909" s="38" t="n">
        <f aca="false">'Matrice des notes'!AM56</f>
        <v>1</v>
      </c>
      <c r="F1909" s="37" t="s">
        <v>655</v>
      </c>
      <c r="G1909" s="39" t="s">
        <v>656</v>
      </c>
    </row>
    <row r="1910" customFormat="false" ht="15" hidden="false" customHeight="false" outlineLevel="0" collapsed="false">
      <c r="A1910" s="37" t="s">
        <v>207</v>
      </c>
      <c r="B1910" s="37" t="s">
        <v>236</v>
      </c>
      <c r="C1910" s="37" t="s">
        <v>180</v>
      </c>
      <c r="D1910" s="37" t="s">
        <v>119</v>
      </c>
      <c r="E1910" s="38" t="n">
        <f aca="false">'Matrice des notes'!AN56</f>
        <v>1</v>
      </c>
      <c r="F1910" s="37" t="s">
        <v>631</v>
      </c>
      <c r="G1910" s="39" t="s">
        <v>654</v>
      </c>
    </row>
    <row r="1911" customFormat="false" ht="15" hidden="false" customHeight="false" outlineLevel="0" collapsed="false">
      <c r="A1911" s="37" t="s">
        <v>207</v>
      </c>
      <c r="B1911" s="37" t="s">
        <v>236</v>
      </c>
      <c r="C1911" s="37" t="s">
        <v>180</v>
      </c>
      <c r="D1911" s="37" t="s">
        <v>121</v>
      </c>
      <c r="E1911" s="38" t="n">
        <f aca="false">'Matrice des notes'!AO56</f>
        <v>1</v>
      </c>
      <c r="F1911" s="37" t="s">
        <v>657</v>
      </c>
      <c r="G1911" s="39" t="s">
        <v>658</v>
      </c>
    </row>
    <row r="1912" customFormat="false" ht="15" hidden="false" customHeight="false" outlineLevel="0" collapsed="false">
      <c r="A1912" s="37" t="s">
        <v>207</v>
      </c>
      <c r="B1912" s="37" t="s">
        <v>236</v>
      </c>
      <c r="C1912" s="37" t="s">
        <v>180</v>
      </c>
      <c r="D1912" s="37" t="s">
        <v>124</v>
      </c>
      <c r="E1912" s="38" t="n">
        <f aca="false">'Matrice des notes'!AP56</f>
        <v>2</v>
      </c>
      <c r="F1912" s="37" t="s">
        <v>659</v>
      </c>
      <c r="G1912" s="39" t="s">
        <v>965</v>
      </c>
    </row>
    <row r="1913" customFormat="false" ht="22.35" hidden="false" customHeight="false" outlineLevel="0" collapsed="false">
      <c r="A1913" s="37" t="s">
        <v>207</v>
      </c>
      <c r="B1913" s="37" t="s">
        <v>237</v>
      </c>
      <c r="C1913" s="37" t="s">
        <v>178</v>
      </c>
      <c r="D1913" s="37" t="s">
        <v>7</v>
      </c>
      <c r="E1913" s="38" t="n">
        <f aca="false">'Matrice des notes'!D57</f>
        <v>1</v>
      </c>
      <c r="F1913" s="37" t="s">
        <v>720</v>
      </c>
      <c r="G1913" s="39" t="s">
        <v>890</v>
      </c>
    </row>
    <row r="1914" customFormat="false" ht="15" hidden="false" customHeight="false" outlineLevel="0" collapsed="false">
      <c r="A1914" s="37" t="s">
        <v>207</v>
      </c>
      <c r="B1914" s="37" t="s">
        <v>237</v>
      </c>
      <c r="C1914" s="37" t="s">
        <v>178</v>
      </c>
      <c r="D1914" s="37" t="s">
        <v>11</v>
      </c>
      <c r="E1914" s="38" t="n">
        <f aca="false">'Matrice des notes'!E57</f>
        <v>1</v>
      </c>
      <c r="F1914" s="37" t="s">
        <v>839</v>
      </c>
      <c r="G1914" s="39" t="s">
        <v>840</v>
      </c>
    </row>
    <row r="1915" customFormat="false" ht="15" hidden="false" customHeight="false" outlineLevel="0" collapsed="false">
      <c r="A1915" s="37" t="s">
        <v>207</v>
      </c>
      <c r="B1915" s="37" t="s">
        <v>237</v>
      </c>
      <c r="C1915" s="37" t="s">
        <v>178</v>
      </c>
      <c r="D1915" s="37" t="s">
        <v>14</v>
      </c>
      <c r="E1915" s="38" t="n">
        <f aca="false">'Matrice des notes'!F57</f>
        <v>1</v>
      </c>
      <c r="F1915" s="37" t="s">
        <v>677</v>
      </c>
      <c r="G1915" s="39" t="s">
        <v>841</v>
      </c>
    </row>
    <row r="1916" customFormat="false" ht="15" hidden="false" customHeight="false" outlineLevel="0" collapsed="false">
      <c r="A1916" s="37" t="s">
        <v>207</v>
      </c>
      <c r="B1916" s="37" t="s">
        <v>237</v>
      </c>
      <c r="C1916" s="37" t="s">
        <v>178</v>
      </c>
      <c r="D1916" s="37" t="s">
        <v>17</v>
      </c>
      <c r="E1916" s="38" t="n">
        <f aca="false">'Matrice des notes'!G57</f>
        <v>1</v>
      </c>
      <c r="F1916" s="37" t="s">
        <v>842</v>
      </c>
      <c r="G1916" s="39" t="s">
        <v>843</v>
      </c>
    </row>
    <row r="1917" customFormat="false" ht="15" hidden="false" customHeight="false" outlineLevel="0" collapsed="false">
      <c r="A1917" s="37" t="s">
        <v>207</v>
      </c>
      <c r="B1917" s="37" t="s">
        <v>237</v>
      </c>
      <c r="C1917" s="37" t="s">
        <v>178</v>
      </c>
      <c r="D1917" s="37" t="s">
        <v>20</v>
      </c>
      <c r="E1917" s="38" t="n">
        <f aca="false">'Matrice des notes'!H57</f>
        <v>1</v>
      </c>
      <c r="F1917" s="37" t="s">
        <v>839</v>
      </c>
      <c r="G1917" s="39" t="s">
        <v>844</v>
      </c>
    </row>
    <row r="1918" customFormat="false" ht="15" hidden="false" customHeight="false" outlineLevel="0" collapsed="false">
      <c r="A1918" s="37" t="s">
        <v>207</v>
      </c>
      <c r="B1918" s="37" t="s">
        <v>237</v>
      </c>
      <c r="C1918" s="37" t="s">
        <v>178</v>
      </c>
      <c r="D1918" s="37" t="s">
        <v>23</v>
      </c>
      <c r="E1918" s="38" t="n">
        <f aca="false">'Matrice des notes'!I57</f>
        <v>1</v>
      </c>
      <c r="F1918" s="37" t="s">
        <v>839</v>
      </c>
      <c r="G1918" s="39" t="s">
        <v>845</v>
      </c>
    </row>
    <row r="1919" customFormat="false" ht="15" hidden="false" customHeight="false" outlineLevel="0" collapsed="false">
      <c r="A1919" s="37" t="s">
        <v>207</v>
      </c>
      <c r="B1919" s="37" t="s">
        <v>237</v>
      </c>
      <c r="C1919" s="37" t="s">
        <v>178</v>
      </c>
      <c r="D1919" s="37" t="s">
        <v>26</v>
      </c>
      <c r="E1919" s="38" t="n">
        <f aca="false">'Matrice des notes'!J57</f>
        <v>1</v>
      </c>
      <c r="F1919" s="37" t="s">
        <v>835</v>
      </c>
      <c r="G1919" s="39" t="s">
        <v>846</v>
      </c>
    </row>
    <row r="1920" customFormat="false" ht="15" hidden="false" customHeight="false" outlineLevel="0" collapsed="false">
      <c r="A1920" s="37" t="s">
        <v>207</v>
      </c>
      <c r="B1920" s="37" t="s">
        <v>237</v>
      </c>
      <c r="C1920" s="37" t="s">
        <v>178</v>
      </c>
      <c r="D1920" s="37" t="s">
        <v>30</v>
      </c>
      <c r="E1920" s="38" t="n">
        <f aca="false">'Matrice des notes'!K57</f>
        <v>1</v>
      </c>
      <c r="F1920" s="37" t="s">
        <v>677</v>
      </c>
      <c r="G1920" s="39" t="s">
        <v>847</v>
      </c>
    </row>
    <row r="1921" customFormat="false" ht="15" hidden="false" customHeight="false" outlineLevel="0" collapsed="false">
      <c r="A1921" s="37" t="s">
        <v>207</v>
      </c>
      <c r="B1921" s="37" t="s">
        <v>237</v>
      </c>
      <c r="C1921" s="37" t="s">
        <v>178</v>
      </c>
      <c r="D1921" s="37" t="s">
        <v>34</v>
      </c>
      <c r="E1921" s="38" t="n">
        <f aca="false">'Matrice des notes'!L57</f>
        <v>1</v>
      </c>
      <c r="F1921" s="37" t="s">
        <v>891</v>
      </c>
      <c r="G1921" s="39" t="s">
        <v>892</v>
      </c>
    </row>
    <row r="1922" customFormat="false" ht="15" hidden="false" customHeight="false" outlineLevel="0" collapsed="false">
      <c r="A1922" s="37" t="s">
        <v>207</v>
      </c>
      <c r="B1922" s="37" t="s">
        <v>237</v>
      </c>
      <c r="C1922" s="37" t="s">
        <v>178</v>
      </c>
      <c r="D1922" s="37" t="s">
        <v>37</v>
      </c>
      <c r="E1922" s="38" t="n">
        <f aca="false">'Matrice des notes'!M57</f>
        <v>1</v>
      </c>
      <c r="F1922" s="37" t="s">
        <v>812</v>
      </c>
      <c r="G1922" s="39" t="s">
        <v>813</v>
      </c>
    </row>
    <row r="1923" customFormat="false" ht="15" hidden="false" customHeight="false" outlineLevel="0" collapsed="false">
      <c r="A1923" s="37" t="s">
        <v>207</v>
      </c>
      <c r="B1923" s="37" t="s">
        <v>237</v>
      </c>
      <c r="C1923" s="37" t="s">
        <v>178</v>
      </c>
      <c r="D1923" s="37" t="s">
        <v>40</v>
      </c>
      <c r="E1923" s="38" t="n">
        <f aca="false">'Matrice des notes'!N57</f>
        <v>1</v>
      </c>
      <c r="F1923" s="37" t="s">
        <v>849</v>
      </c>
      <c r="G1923" s="39" t="s">
        <v>850</v>
      </c>
    </row>
    <row r="1924" customFormat="false" ht="15" hidden="false" customHeight="false" outlineLevel="0" collapsed="false">
      <c r="A1924" s="37" t="s">
        <v>207</v>
      </c>
      <c r="B1924" s="37" t="s">
        <v>237</v>
      </c>
      <c r="C1924" s="37" t="s">
        <v>178</v>
      </c>
      <c r="D1924" s="37" t="s">
        <v>43</v>
      </c>
      <c r="E1924" s="38" t="n">
        <f aca="false">'Matrice des notes'!O57</f>
        <v>1</v>
      </c>
      <c r="F1924" s="37" t="s">
        <v>816</v>
      </c>
      <c r="G1924" s="39" t="s">
        <v>866</v>
      </c>
    </row>
    <row r="1925" customFormat="false" ht="15" hidden="false" customHeight="false" outlineLevel="0" collapsed="false">
      <c r="A1925" s="37" t="s">
        <v>207</v>
      </c>
      <c r="B1925" s="37" t="s">
        <v>237</v>
      </c>
      <c r="C1925" s="37" t="s">
        <v>178</v>
      </c>
      <c r="D1925" s="37" t="s">
        <v>46</v>
      </c>
      <c r="E1925" s="38" t="n">
        <f aca="false">'Matrice des notes'!P57</f>
        <v>1</v>
      </c>
      <c r="F1925" s="37" t="s">
        <v>839</v>
      </c>
      <c r="G1925" s="39" t="s">
        <v>851</v>
      </c>
    </row>
    <row r="1926" customFormat="false" ht="15" hidden="false" customHeight="false" outlineLevel="0" collapsed="false">
      <c r="A1926" s="37" t="s">
        <v>207</v>
      </c>
      <c r="B1926" s="37" t="s">
        <v>237</v>
      </c>
      <c r="C1926" s="37" t="s">
        <v>179</v>
      </c>
      <c r="D1926" s="37" t="s">
        <v>49</v>
      </c>
      <c r="E1926" s="38" t="n">
        <f aca="false">'Matrice des notes'!Q57</f>
        <v>1</v>
      </c>
      <c r="F1926" s="37" t="s">
        <v>927</v>
      </c>
      <c r="G1926" s="39" t="s">
        <v>928</v>
      </c>
    </row>
    <row r="1927" customFormat="false" ht="15" hidden="false" customHeight="false" outlineLevel="0" collapsed="false">
      <c r="A1927" s="37" t="s">
        <v>207</v>
      </c>
      <c r="B1927" s="37" t="s">
        <v>237</v>
      </c>
      <c r="C1927" s="37" t="s">
        <v>179</v>
      </c>
      <c r="D1927" s="37" t="s">
        <v>53</v>
      </c>
      <c r="E1927" s="38" t="n">
        <f aca="false">'Matrice des notes'!R57</f>
        <v>1</v>
      </c>
      <c r="F1927" s="37" t="s">
        <v>891</v>
      </c>
      <c r="G1927" s="39" t="s">
        <v>893</v>
      </c>
    </row>
    <row r="1928" customFormat="false" ht="15" hidden="false" customHeight="false" outlineLevel="0" collapsed="false">
      <c r="A1928" s="37" t="s">
        <v>207</v>
      </c>
      <c r="B1928" s="37" t="s">
        <v>237</v>
      </c>
      <c r="C1928" s="37" t="s">
        <v>179</v>
      </c>
      <c r="D1928" s="37" t="s">
        <v>56</v>
      </c>
      <c r="E1928" s="38" t="n">
        <f aca="false">'Matrice des notes'!S57</f>
        <v>1</v>
      </c>
      <c r="F1928" s="37" t="s">
        <v>839</v>
      </c>
      <c r="G1928" s="39" t="s">
        <v>854</v>
      </c>
    </row>
    <row r="1929" customFormat="false" ht="15" hidden="false" customHeight="false" outlineLevel="0" collapsed="false">
      <c r="A1929" s="37" t="s">
        <v>207</v>
      </c>
      <c r="B1929" s="37" t="s">
        <v>237</v>
      </c>
      <c r="C1929" s="37" t="s">
        <v>179</v>
      </c>
      <c r="D1929" s="37" t="s">
        <v>59</v>
      </c>
      <c r="E1929" s="38" t="n">
        <f aca="false">'Matrice des notes'!T57</f>
        <v>1</v>
      </c>
      <c r="F1929" s="37" t="s">
        <v>839</v>
      </c>
      <c r="G1929" s="39" t="s">
        <v>855</v>
      </c>
    </row>
    <row r="1930" customFormat="false" ht="15" hidden="false" customHeight="false" outlineLevel="0" collapsed="false">
      <c r="A1930" s="37" t="s">
        <v>207</v>
      </c>
      <c r="B1930" s="37" t="s">
        <v>237</v>
      </c>
      <c r="C1930" s="37" t="s">
        <v>179</v>
      </c>
      <c r="D1930" s="37" t="s">
        <v>62</v>
      </c>
      <c r="E1930" s="38" t="n">
        <f aca="false">'Matrice des notes'!U57</f>
        <v>1</v>
      </c>
      <c r="F1930" s="37" t="s">
        <v>927</v>
      </c>
      <c r="G1930" s="39" t="s">
        <v>929</v>
      </c>
    </row>
    <row r="1931" customFormat="false" ht="22.35" hidden="false" customHeight="false" outlineLevel="0" collapsed="false">
      <c r="A1931" s="37" t="s">
        <v>207</v>
      </c>
      <c r="B1931" s="37" t="s">
        <v>237</v>
      </c>
      <c r="C1931" s="37" t="s">
        <v>179</v>
      </c>
      <c r="D1931" s="37" t="s">
        <v>65</v>
      </c>
      <c r="E1931" s="38" t="n">
        <f aca="false">'Matrice des notes'!V57</f>
        <v>1</v>
      </c>
      <c r="F1931" s="37" t="s">
        <v>891</v>
      </c>
      <c r="G1931" s="39" t="s">
        <v>914</v>
      </c>
    </row>
    <row r="1932" customFormat="false" ht="15" hidden="false" customHeight="false" outlineLevel="0" collapsed="false">
      <c r="A1932" s="37" t="s">
        <v>207</v>
      </c>
      <c r="B1932" s="37" t="s">
        <v>237</v>
      </c>
      <c r="C1932" s="37" t="s">
        <v>179</v>
      </c>
      <c r="D1932" s="37" t="s">
        <v>68</v>
      </c>
      <c r="E1932" s="38" t="n">
        <f aca="false">'Matrice des notes'!W57</f>
        <v>1</v>
      </c>
      <c r="F1932" s="37" t="s">
        <v>827</v>
      </c>
      <c r="G1932" s="39" t="s">
        <v>872</v>
      </c>
    </row>
    <row r="1933" customFormat="false" ht="15" hidden="false" customHeight="false" outlineLevel="0" collapsed="false">
      <c r="A1933" s="37" t="s">
        <v>207</v>
      </c>
      <c r="B1933" s="37" t="s">
        <v>237</v>
      </c>
      <c r="C1933" s="37" t="s">
        <v>179</v>
      </c>
      <c r="D1933" s="37" t="s">
        <v>71</v>
      </c>
      <c r="E1933" s="38" t="n">
        <f aca="false">'Matrice des notes'!X57</f>
        <v>1</v>
      </c>
      <c r="F1933" s="37" t="s">
        <v>708</v>
      </c>
      <c r="G1933" s="39" t="s">
        <v>857</v>
      </c>
    </row>
    <row r="1934" customFormat="false" ht="15" hidden="false" customHeight="false" outlineLevel="0" collapsed="false">
      <c r="A1934" s="37" t="s">
        <v>207</v>
      </c>
      <c r="B1934" s="37" t="s">
        <v>237</v>
      </c>
      <c r="C1934" s="37" t="s">
        <v>179</v>
      </c>
      <c r="D1934" s="37" t="s">
        <v>74</v>
      </c>
      <c r="E1934" s="38" t="n">
        <f aca="false">'Matrice des notes'!Y57</f>
        <v>1</v>
      </c>
      <c r="F1934" s="37" t="s">
        <v>915</v>
      </c>
      <c r="G1934" s="39" t="s">
        <v>916</v>
      </c>
    </row>
    <row r="1935" customFormat="false" ht="15" hidden="false" customHeight="false" outlineLevel="0" collapsed="false">
      <c r="A1935" s="37" t="s">
        <v>207</v>
      </c>
      <c r="B1935" s="37" t="s">
        <v>237</v>
      </c>
      <c r="C1935" s="37" t="s">
        <v>179</v>
      </c>
      <c r="D1935" s="37" t="s">
        <v>77</v>
      </c>
      <c r="E1935" s="38" t="n">
        <f aca="false">'Matrice des notes'!Z57</f>
        <v>1</v>
      </c>
      <c r="F1935" s="37" t="s">
        <v>842</v>
      </c>
      <c r="G1935" s="39" t="s">
        <v>858</v>
      </c>
    </row>
    <row r="1936" customFormat="false" ht="15" hidden="false" customHeight="false" outlineLevel="0" collapsed="false">
      <c r="A1936" s="37" t="s">
        <v>207</v>
      </c>
      <c r="B1936" s="37" t="s">
        <v>237</v>
      </c>
      <c r="C1936" s="37" t="s">
        <v>179</v>
      </c>
      <c r="D1936" s="37" t="s">
        <v>80</v>
      </c>
      <c r="E1936" s="38" t="n">
        <f aca="false">'Matrice des notes'!AA57</f>
        <v>1</v>
      </c>
      <c r="F1936" s="37" t="s">
        <v>917</v>
      </c>
      <c r="G1936" s="39" t="s">
        <v>918</v>
      </c>
    </row>
    <row r="1937" customFormat="false" ht="15" hidden="false" customHeight="false" outlineLevel="0" collapsed="false">
      <c r="A1937" s="37" t="s">
        <v>207</v>
      </c>
      <c r="B1937" s="37" t="s">
        <v>237</v>
      </c>
      <c r="C1937" s="37" t="s">
        <v>179</v>
      </c>
      <c r="D1937" s="37" t="s">
        <v>83</v>
      </c>
      <c r="E1937" s="38" t="n">
        <f aca="false">'Matrice des notes'!AB57</f>
        <v>1</v>
      </c>
      <c r="F1937" s="37" t="s">
        <v>944</v>
      </c>
      <c r="G1937" s="39" t="s">
        <v>945</v>
      </c>
    </row>
    <row r="1938" customFormat="false" ht="22.35" hidden="false" customHeight="false" outlineLevel="0" collapsed="false">
      <c r="A1938" s="37" t="s">
        <v>207</v>
      </c>
      <c r="B1938" s="37" t="s">
        <v>237</v>
      </c>
      <c r="C1938" s="37" t="s">
        <v>179</v>
      </c>
      <c r="D1938" s="37" t="s">
        <v>86</v>
      </c>
      <c r="E1938" s="38" t="n">
        <f aca="false">'Matrice des notes'!AC57</f>
        <v>2</v>
      </c>
      <c r="F1938" s="37" t="s">
        <v>946</v>
      </c>
      <c r="G1938" s="39" t="s">
        <v>947</v>
      </c>
    </row>
    <row r="1939" customFormat="false" ht="22.35" hidden="false" customHeight="false" outlineLevel="0" collapsed="false">
      <c r="A1939" s="37" t="s">
        <v>207</v>
      </c>
      <c r="B1939" s="37" t="s">
        <v>237</v>
      </c>
      <c r="C1939" s="37" t="s">
        <v>179</v>
      </c>
      <c r="D1939" s="37" t="s">
        <v>89</v>
      </c>
      <c r="E1939" s="38" t="n">
        <f aca="false">'Matrice des notes'!AD57</f>
        <v>2</v>
      </c>
      <c r="F1939" s="37" t="s">
        <v>948</v>
      </c>
      <c r="G1939" s="39" t="s">
        <v>949</v>
      </c>
    </row>
    <row r="1940" customFormat="false" ht="15" hidden="false" customHeight="false" outlineLevel="0" collapsed="false">
      <c r="A1940" s="37" t="s">
        <v>207</v>
      </c>
      <c r="B1940" s="37" t="s">
        <v>237</v>
      </c>
      <c r="C1940" s="37" t="s">
        <v>179</v>
      </c>
      <c r="D1940" s="37" t="s">
        <v>92</v>
      </c>
      <c r="E1940" s="38" t="n">
        <f aca="false">'Matrice des notes'!AE57</f>
        <v>2</v>
      </c>
      <c r="F1940" s="37" t="s">
        <v>950</v>
      </c>
      <c r="G1940" s="39" t="s">
        <v>951</v>
      </c>
    </row>
    <row r="1941" customFormat="false" ht="15" hidden="false" customHeight="false" outlineLevel="0" collapsed="false">
      <c r="A1941" s="37" t="s">
        <v>207</v>
      </c>
      <c r="B1941" s="37" t="s">
        <v>237</v>
      </c>
      <c r="C1941" s="37" t="s">
        <v>180</v>
      </c>
      <c r="D1941" s="37" t="s">
        <v>95</v>
      </c>
      <c r="E1941" s="38" t="n">
        <f aca="false">'Matrice des notes'!AF57</f>
        <v>1</v>
      </c>
      <c r="F1941" s="37" t="s">
        <v>631</v>
      </c>
      <c r="G1941" s="39" t="s">
        <v>654</v>
      </c>
    </row>
    <row r="1942" customFormat="false" ht="15" hidden="false" customHeight="false" outlineLevel="0" collapsed="false">
      <c r="A1942" s="37" t="s">
        <v>207</v>
      </c>
      <c r="B1942" s="37" t="s">
        <v>237</v>
      </c>
      <c r="C1942" s="37" t="s">
        <v>180</v>
      </c>
      <c r="D1942" s="37" t="s">
        <v>99</v>
      </c>
      <c r="E1942" s="38" t="n">
        <f aca="false">'Matrice des notes'!AG57</f>
        <v>1</v>
      </c>
      <c r="F1942" s="37" t="s">
        <v>655</v>
      </c>
      <c r="G1942" s="39" t="s">
        <v>656</v>
      </c>
    </row>
    <row r="1943" customFormat="false" ht="15" hidden="false" customHeight="false" outlineLevel="0" collapsed="false">
      <c r="A1943" s="37" t="s">
        <v>207</v>
      </c>
      <c r="B1943" s="37" t="s">
        <v>237</v>
      </c>
      <c r="C1943" s="37" t="s">
        <v>180</v>
      </c>
      <c r="D1943" s="37" t="s">
        <v>102</v>
      </c>
      <c r="E1943" s="38" t="n">
        <f aca="false">'Matrice des notes'!AH57</f>
        <v>1</v>
      </c>
      <c r="F1943" s="37" t="s">
        <v>655</v>
      </c>
      <c r="G1943" s="39" t="s">
        <v>656</v>
      </c>
    </row>
    <row r="1944" customFormat="false" ht="15" hidden="false" customHeight="false" outlineLevel="0" collapsed="false">
      <c r="A1944" s="37" t="s">
        <v>207</v>
      </c>
      <c r="B1944" s="37" t="s">
        <v>237</v>
      </c>
      <c r="C1944" s="37" t="s">
        <v>180</v>
      </c>
      <c r="D1944" s="37" t="s">
        <v>104</v>
      </c>
      <c r="E1944" s="38" t="n">
        <f aca="false">'Matrice des notes'!AI57</f>
        <v>1</v>
      </c>
      <c r="F1944" s="37" t="s">
        <v>631</v>
      </c>
      <c r="G1944" s="39" t="s">
        <v>654</v>
      </c>
    </row>
    <row r="1945" customFormat="false" ht="15" hidden="false" customHeight="false" outlineLevel="0" collapsed="false">
      <c r="A1945" s="37" t="s">
        <v>207</v>
      </c>
      <c r="B1945" s="37" t="s">
        <v>237</v>
      </c>
      <c r="C1945" s="37" t="s">
        <v>180</v>
      </c>
      <c r="D1945" s="37" t="s">
        <v>107</v>
      </c>
      <c r="E1945" s="38" t="n">
        <f aca="false">'Matrice des notes'!AJ57</f>
        <v>1</v>
      </c>
      <c r="F1945" s="37" t="s">
        <v>631</v>
      </c>
      <c r="G1945" s="39" t="s">
        <v>654</v>
      </c>
    </row>
    <row r="1946" customFormat="false" ht="15" hidden="false" customHeight="false" outlineLevel="0" collapsed="false">
      <c r="A1946" s="37" t="s">
        <v>207</v>
      </c>
      <c r="B1946" s="37" t="s">
        <v>237</v>
      </c>
      <c r="C1946" s="37" t="s">
        <v>180</v>
      </c>
      <c r="D1946" s="37" t="s">
        <v>110</v>
      </c>
      <c r="E1946" s="38" t="n">
        <f aca="false">'Matrice des notes'!AK57</f>
        <v>1</v>
      </c>
      <c r="F1946" s="37" t="s">
        <v>631</v>
      </c>
      <c r="G1946" s="39" t="s">
        <v>654</v>
      </c>
    </row>
    <row r="1947" customFormat="false" ht="15" hidden="false" customHeight="false" outlineLevel="0" collapsed="false">
      <c r="A1947" s="37" t="s">
        <v>207</v>
      </c>
      <c r="B1947" s="37" t="s">
        <v>237</v>
      </c>
      <c r="C1947" s="37" t="s">
        <v>180</v>
      </c>
      <c r="D1947" s="37" t="s">
        <v>113</v>
      </c>
      <c r="E1947" s="38" t="n">
        <f aca="false">'Matrice des notes'!AL57</f>
        <v>1</v>
      </c>
      <c r="F1947" s="37" t="s">
        <v>631</v>
      </c>
      <c r="G1947" s="39" t="s">
        <v>654</v>
      </c>
    </row>
    <row r="1948" customFormat="false" ht="15" hidden="false" customHeight="false" outlineLevel="0" collapsed="false">
      <c r="A1948" s="37" t="s">
        <v>207</v>
      </c>
      <c r="B1948" s="37" t="s">
        <v>237</v>
      </c>
      <c r="C1948" s="37" t="s">
        <v>180</v>
      </c>
      <c r="D1948" s="37" t="s">
        <v>116</v>
      </c>
      <c r="E1948" s="38" t="n">
        <f aca="false">'Matrice des notes'!AM57</f>
        <v>1</v>
      </c>
      <c r="F1948" s="37" t="s">
        <v>655</v>
      </c>
      <c r="G1948" s="39" t="s">
        <v>656</v>
      </c>
    </row>
    <row r="1949" customFormat="false" ht="15" hidden="false" customHeight="false" outlineLevel="0" collapsed="false">
      <c r="A1949" s="37" t="s">
        <v>207</v>
      </c>
      <c r="B1949" s="37" t="s">
        <v>237</v>
      </c>
      <c r="C1949" s="37" t="s">
        <v>180</v>
      </c>
      <c r="D1949" s="37" t="s">
        <v>119</v>
      </c>
      <c r="E1949" s="38" t="n">
        <f aca="false">'Matrice des notes'!AN57</f>
        <v>1</v>
      </c>
      <c r="F1949" s="37" t="s">
        <v>631</v>
      </c>
      <c r="G1949" s="39" t="s">
        <v>654</v>
      </c>
    </row>
    <row r="1950" customFormat="false" ht="15" hidden="false" customHeight="false" outlineLevel="0" collapsed="false">
      <c r="A1950" s="37" t="s">
        <v>207</v>
      </c>
      <c r="B1950" s="37" t="s">
        <v>237</v>
      </c>
      <c r="C1950" s="37" t="s">
        <v>180</v>
      </c>
      <c r="D1950" s="37" t="s">
        <v>121</v>
      </c>
      <c r="E1950" s="38" t="n">
        <f aca="false">'Matrice des notes'!AO57</f>
        <v>1</v>
      </c>
      <c r="F1950" s="37" t="s">
        <v>657</v>
      </c>
      <c r="G1950" s="39" t="s">
        <v>658</v>
      </c>
    </row>
    <row r="1951" customFormat="false" ht="15" hidden="false" customHeight="false" outlineLevel="0" collapsed="false">
      <c r="A1951" s="37" t="s">
        <v>207</v>
      </c>
      <c r="B1951" s="37" t="s">
        <v>237</v>
      </c>
      <c r="C1951" s="37" t="s">
        <v>180</v>
      </c>
      <c r="D1951" s="37" t="s">
        <v>124</v>
      </c>
      <c r="E1951" s="38" t="n">
        <f aca="false">'Matrice des notes'!AP57</f>
        <v>1</v>
      </c>
      <c r="F1951" s="37" t="s">
        <v>863</v>
      </c>
      <c r="G1951" s="39" t="s">
        <v>864</v>
      </c>
    </row>
    <row r="1952" customFormat="false" ht="15" hidden="false" customHeight="false" outlineLevel="0" collapsed="false">
      <c r="A1952" s="37" t="s">
        <v>207</v>
      </c>
      <c r="B1952" s="37" t="s">
        <v>238</v>
      </c>
      <c r="C1952" s="37" t="s">
        <v>178</v>
      </c>
      <c r="D1952" s="37" t="s">
        <v>7</v>
      </c>
      <c r="E1952" s="38" t="n">
        <f aca="false">'Matrice des notes'!D58</f>
        <v>5</v>
      </c>
      <c r="F1952" s="37" t="s">
        <v>797</v>
      </c>
      <c r="G1952" s="39" t="s">
        <v>798</v>
      </c>
    </row>
    <row r="1953" customFormat="false" ht="15" hidden="false" customHeight="false" outlineLevel="0" collapsed="false">
      <c r="A1953" s="37" t="s">
        <v>207</v>
      </c>
      <c r="B1953" s="37" t="s">
        <v>238</v>
      </c>
      <c r="C1953" s="37" t="s">
        <v>178</v>
      </c>
      <c r="D1953" s="37" t="s">
        <v>11</v>
      </c>
      <c r="E1953" s="38" t="n">
        <f aca="false">'Matrice des notes'!E58</f>
        <v>2</v>
      </c>
      <c r="F1953" s="37" t="s">
        <v>799</v>
      </c>
      <c r="G1953" s="39" t="s">
        <v>800</v>
      </c>
    </row>
    <row r="1954" customFormat="false" ht="15" hidden="false" customHeight="false" outlineLevel="0" collapsed="false">
      <c r="A1954" s="37" t="s">
        <v>207</v>
      </c>
      <c r="B1954" s="37" t="s">
        <v>238</v>
      </c>
      <c r="C1954" s="37" t="s">
        <v>178</v>
      </c>
      <c r="D1954" s="37" t="s">
        <v>14</v>
      </c>
      <c r="E1954" s="38" t="n">
        <f aca="false">'Matrice des notes'!F58</f>
        <v>2</v>
      </c>
      <c r="F1954" s="37" t="s">
        <v>801</v>
      </c>
      <c r="G1954" s="39" t="s">
        <v>802</v>
      </c>
    </row>
    <row r="1955" customFormat="false" ht="15" hidden="false" customHeight="false" outlineLevel="0" collapsed="false">
      <c r="A1955" s="37" t="s">
        <v>207</v>
      </c>
      <c r="B1955" s="37" t="s">
        <v>238</v>
      </c>
      <c r="C1955" s="37" t="s">
        <v>178</v>
      </c>
      <c r="D1955" s="37" t="s">
        <v>17</v>
      </c>
      <c r="E1955" s="38" t="n">
        <f aca="false">'Matrice des notes'!G58</f>
        <v>2</v>
      </c>
      <c r="F1955" s="37" t="s">
        <v>803</v>
      </c>
      <c r="G1955" s="39" t="s">
        <v>804</v>
      </c>
    </row>
    <row r="1956" customFormat="false" ht="15" hidden="false" customHeight="false" outlineLevel="0" collapsed="false">
      <c r="A1956" s="37" t="s">
        <v>207</v>
      </c>
      <c r="B1956" s="37" t="s">
        <v>238</v>
      </c>
      <c r="C1956" s="37" t="s">
        <v>178</v>
      </c>
      <c r="D1956" s="37" t="s">
        <v>20</v>
      </c>
      <c r="E1956" s="38" t="n">
        <f aca="false">'Matrice des notes'!H58</f>
        <v>2</v>
      </c>
      <c r="F1956" s="37" t="s">
        <v>799</v>
      </c>
      <c r="G1956" s="39" t="s">
        <v>805</v>
      </c>
    </row>
    <row r="1957" customFormat="false" ht="15" hidden="false" customHeight="false" outlineLevel="0" collapsed="false">
      <c r="A1957" s="37" t="s">
        <v>207</v>
      </c>
      <c r="B1957" s="37" t="s">
        <v>238</v>
      </c>
      <c r="C1957" s="37" t="s">
        <v>178</v>
      </c>
      <c r="D1957" s="37" t="s">
        <v>23</v>
      </c>
      <c r="E1957" s="38" t="n">
        <f aca="false">'Matrice des notes'!I58</f>
        <v>2</v>
      </c>
      <c r="F1957" s="37" t="s">
        <v>799</v>
      </c>
      <c r="G1957" s="39" t="s">
        <v>806</v>
      </c>
    </row>
    <row r="1958" customFormat="false" ht="15" hidden="false" customHeight="false" outlineLevel="0" collapsed="false">
      <c r="A1958" s="37" t="s">
        <v>207</v>
      </c>
      <c r="B1958" s="37" t="s">
        <v>238</v>
      </c>
      <c r="C1958" s="37" t="s">
        <v>178</v>
      </c>
      <c r="D1958" s="37" t="s">
        <v>26</v>
      </c>
      <c r="E1958" s="38" t="n">
        <f aca="false">'Matrice des notes'!J58</f>
        <v>2</v>
      </c>
      <c r="F1958" s="37" t="s">
        <v>807</v>
      </c>
      <c r="G1958" s="39" t="s">
        <v>808</v>
      </c>
    </row>
    <row r="1959" customFormat="false" ht="15" hidden="false" customHeight="false" outlineLevel="0" collapsed="false">
      <c r="A1959" s="37" t="s">
        <v>207</v>
      </c>
      <c r="B1959" s="37" t="s">
        <v>238</v>
      </c>
      <c r="C1959" s="37" t="s">
        <v>178</v>
      </c>
      <c r="D1959" s="37" t="s">
        <v>30</v>
      </c>
      <c r="E1959" s="38" t="n">
        <f aca="false">'Matrice des notes'!K58</f>
        <v>2</v>
      </c>
      <c r="F1959" s="37" t="s">
        <v>801</v>
      </c>
      <c r="G1959" s="39" t="s">
        <v>809</v>
      </c>
    </row>
    <row r="1960" customFormat="false" ht="15" hidden="false" customHeight="false" outlineLevel="0" collapsed="false">
      <c r="A1960" s="37" t="s">
        <v>207</v>
      </c>
      <c r="B1960" s="37" t="s">
        <v>238</v>
      </c>
      <c r="C1960" s="37" t="s">
        <v>178</v>
      </c>
      <c r="D1960" s="37" t="s">
        <v>34</v>
      </c>
      <c r="E1960" s="38" t="n">
        <f aca="false">'Matrice des notes'!L58</f>
        <v>4</v>
      </c>
      <c r="F1960" s="37" t="s">
        <v>810</v>
      </c>
      <c r="G1960" s="39" t="s">
        <v>884</v>
      </c>
    </row>
    <row r="1961" customFormat="false" ht="15" hidden="false" customHeight="false" outlineLevel="0" collapsed="false">
      <c r="A1961" s="37" t="s">
        <v>207</v>
      </c>
      <c r="B1961" s="37" t="s">
        <v>238</v>
      </c>
      <c r="C1961" s="37" t="s">
        <v>178</v>
      </c>
      <c r="D1961" s="37" t="s">
        <v>37</v>
      </c>
      <c r="E1961" s="38" t="n">
        <f aca="false">'Matrice des notes'!M58</f>
        <v>1</v>
      </c>
      <c r="F1961" s="37" t="s">
        <v>812</v>
      </c>
      <c r="G1961" s="39" t="s">
        <v>813</v>
      </c>
    </row>
    <row r="1962" customFormat="false" ht="15" hidden="false" customHeight="false" outlineLevel="0" collapsed="false">
      <c r="A1962" s="37" t="s">
        <v>207</v>
      </c>
      <c r="B1962" s="37" t="s">
        <v>238</v>
      </c>
      <c r="C1962" s="37" t="s">
        <v>178</v>
      </c>
      <c r="D1962" s="37" t="s">
        <v>40</v>
      </c>
      <c r="E1962" s="38" t="n">
        <f aca="false">'Matrice des notes'!N58</f>
        <v>2</v>
      </c>
      <c r="F1962" s="37" t="s">
        <v>814</v>
      </c>
      <c r="G1962" s="39" t="s">
        <v>815</v>
      </c>
    </row>
    <row r="1963" customFormat="false" ht="15" hidden="false" customHeight="false" outlineLevel="0" collapsed="false">
      <c r="A1963" s="37" t="s">
        <v>207</v>
      </c>
      <c r="B1963" s="37" t="s">
        <v>238</v>
      </c>
      <c r="C1963" s="37" t="s">
        <v>178</v>
      </c>
      <c r="D1963" s="37" t="s">
        <v>43</v>
      </c>
      <c r="E1963" s="38" t="n">
        <f aca="false">'Matrice des notes'!O58</f>
        <v>2</v>
      </c>
      <c r="F1963" s="37" t="s">
        <v>816</v>
      </c>
      <c r="G1963" s="39" t="s">
        <v>817</v>
      </c>
    </row>
    <row r="1964" customFormat="false" ht="15" hidden="false" customHeight="false" outlineLevel="0" collapsed="false">
      <c r="A1964" s="37" t="s">
        <v>207</v>
      </c>
      <c r="B1964" s="37" t="s">
        <v>238</v>
      </c>
      <c r="C1964" s="37" t="s">
        <v>178</v>
      </c>
      <c r="D1964" s="37" t="s">
        <v>46</v>
      </c>
      <c r="E1964" s="38" t="n">
        <f aca="false">'Matrice des notes'!P58</f>
        <v>2</v>
      </c>
      <c r="F1964" s="37" t="s">
        <v>799</v>
      </c>
      <c r="G1964" s="39" t="s">
        <v>818</v>
      </c>
    </row>
    <row r="1965" customFormat="false" ht="15" hidden="false" customHeight="false" outlineLevel="0" collapsed="false">
      <c r="A1965" s="37" t="s">
        <v>207</v>
      </c>
      <c r="B1965" s="37" t="s">
        <v>238</v>
      </c>
      <c r="C1965" s="37" t="s">
        <v>179</v>
      </c>
      <c r="D1965" s="37" t="s">
        <v>49</v>
      </c>
      <c r="E1965" s="38" t="n">
        <f aca="false">'Matrice des notes'!Q58</f>
        <v>2</v>
      </c>
      <c r="F1965" s="37" t="s">
        <v>927</v>
      </c>
      <c r="G1965" s="39" t="s">
        <v>928</v>
      </c>
    </row>
    <row r="1966" customFormat="false" ht="15" hidden="false" customHeight="false" outlineLevel="0" collapsed="false">
      <c r="A1966" s="37" t="s">
        <v>207</v>
      </c>
      <c r="B1966" s="37" t="s">
        <v>238</v>
      </c>
      <c r="C1966" s="37" t="s">
        <v>179</v>
      </c>
      <c r="D1966" s="37" t="s">
        <v>53</v>
      </c>
      <c r="E1966" s="38" t="n">
        <f aca="false">'Matrice des notes'!R58</f>
        <v>5</v>
      </c>
      <c r="F1966" s="37" t="s">
        <v>821</v>
      </c>
      <c r="G1966" s="39" t="s">
        <v>822</v>
      </c>
    </row>
    <row r="1967" customFormat="false" ht="15" hidden="false" customHeight="false" outlineLevel="0" collapsed="false">
      <c r="A1967" s="37" t="s">
        <v>207</v>
      </c>
      <c r="B1967" s="37" t="s">
        <v>238</v>
      </c>
      <c r="C1967" s="37" t="s">
        <v>179</v>
      </c>
      <c r="D1967" s="37" t="s">
        <v>56</v>
      </c>
      <c r="E1967" s="38" t="n">
        <f aca="false">'Matrice des notes'!S58</f>
        <v>2</v>
      </c>
      <c r="F1967" s="37" t="s">
        <v>799</v>
      </c>
      <c r="G1967" s="39" t="s">
        <v>823</v>
      </c>
    </row>
    <row r="1968" customFormat="false" ht="15" hidden="false" customHeight="false" outlineLevel="0" collapsed="false">
      <c r="A1968" s="37" t="s">
        <v>207</v>
      </c>
      <c r="B1968" s="37" t="s">
        <v>238</v>
      </c>
      <c r="C1968" s="37" t="s">
        <v>179</v>
      </c>
      <c r="D1968" s="37" t="s">
        <v>59</v>
      </c>
      <c r="E1968" s="38" t="n">
        <f aca="false">'Matrice des notes'!T58</f>
        <v>2</v>
      </c>
      <c r="F1968" s="37" t="s">
        <v>799</v>
      </c>
      <c r="G1968" s="39" t="s">
        <v>824</v>
      </c>
    </row>
    <row r="1969" customFormat="false" ht="15" hidden="false" customHeight="false" outlineLevel="0" collapsed="false">
      <c r="A1969" s="37" t="s">
        <v>207</v>
      </c>
      <c r="B1969" s="37" t="s">
        <v>238</v>
      </c>
      <c r="C1969" s="37" t="s">
        <v>179</v>
      </c>
      <c r="D1969" s="37" t="s">
        <v>62</v>
      </c>
      <c r="E1969" s="38" t="n">
        <f aca="false">'Matrice des notes'!U58</f>
        <v>2</v>
      </c>
      <c r="F1969" s="37" t="s">
        <v>927</v>
      </c>
      <c r="G1969" s="39" t="s">
        <v>929</v>
      </c>
    </row>
    <row r="1970" customFormat="false" ht="15" hidden="false" customHeight="false" outlineLevel="0" collapsed="false">
      <c r="A1970" s="37" t="s">
        <v>207</v>
      </c>
      <c r="B1970" s="37" t="s">
        <v>238</v>
      </c>
      <c r="C1970" s="37" t="s">
        <v>179</v>
      </c>
      <c r="D1970" s="37" t="s">
        <v>65</v>
      </c>
      <c r="E1970" s="38" t="n">
        <f aca="false">'Matrice des notes'!V58</f>
        <v>3</v>
      </c>
      <c r="F1970" s="37" t="s">
        <v>637</v>
      </c>
      <c r="G1970" s="39" t="s">
        <v>638</v>
      </c>
    </row>
    <row r="1971" customFormat="false" ht="15" hidden="false" customHeight="false" outlineLevel="0" collapsed="false">
      <c r="A1971" s="37" t="s">
        <v>207</v>
      </c>
      <c r="B1971" s="37" t="s">
        <v>238</v>
      </c>
      <c r="C1971" s="37" t="s">
        <v>179</v>
      </c>
      <c r="D1971" s="37" t="s">
        <v>68</v>
      </c>
      <c r="E1971" s="38" t="n">
        <f aca="false">'Matrice des notes'!W58</f>
        <v>2</v>
      </c>
      <c r="F1971" s="37" t="s">
        <v>827</v>
      </c>
      <c r="G1971" s="39" t="s">
        <v>828</v>
      </c>
    </row>
    <row r="1972" customFormat="false" ht="15" hidden="false" customHeight="false" outlineLevel="0" collapsed="false">
      <c r="A1972" s="37" t="s">
        <v>207</v>
      </c>
      <c r="B1972" s="37" t="s">
        <v>238</v>
      </c>
      <c r="C1972" s="37" t="s">
        <v>179</v>
      </c>
      <c r="D1972" s="37" t="s">
        <v>71</v>
      </c>
      <c r="E1972" s="38" t="n">
        <f aca="false">'Matrice des notes'!X58</f>
        <v>2</v>
      </c>
      <c r="F1972" s="37" t="s">
        <v>718</v>
      </c>
      <c r="G1972" s="39" t="s">
        <v>829</v>
      </c>
    </row>
    <row r="1973" customFormat="false" ht="15" hidden="false" customHeight="false" outlineLevel="0" collapsed="false">
      <c r="A1973" s="37" t="s">
        <v>207</v>
      </c>
      <c r="B1973" s="37" t="s">
        <v>238</v>
      </c>
      <c r="C1973" s="37" t="s">
        <v>179</v>
      </c>
      <c r="D1973" s="37" t="s">
        <v>74</v>
      </c>
      <c r="E1973" s="38" t="n">
        <f aca="false">'Matrice des notes'!Y58</f>
        <v>3</v>
      </c>
      <c r="F1973" s="37" t="s">
        <v>637</v>
      </c>
      <c r="G1973" s="39" t="s">
        <v>638</v>
      </c>
    </row>
    <row r="1974" customFormat="false" ht="15" hidden="false" customHeight="false" outlineLevel="0" collapsed="false">
      <c r="A1974" s="37" t="s">
        <v>207</v>
      </c>
      <c r="B1974" s="37" t="s">
        <v>238</v>
      </c>
      <c r="C1974" s="37" t="s">
        <v>179</v>
      </c>
      <c r="D1974" s="37" t="s">
        <v>77</v>
      </c>
      <c r="E1974" s="38" t="n">
        <f aca="false">'Matrice des notes'!Z58</f>
        <v>2</v>
      </c>
      <c r="F1974" s="37" t="s">
        <v>803</v>
      </c>
      <c r="G1974" s="39" t="s">
        <v>830</v>
      </c>
    </row>
    <row r="1975" customFormat="false" ht="15" hidden="false" customHeight="false" outlineLevel="0" collapsed="false">
      <c r="A1975" s="37" t="s">
        <v>207</v>
      </c>
      <c r="B1975" s="37" t="s">
        <v>238</v>
      </c>
      <c r="C1975" s="37" t="s">
        <v>179</v>
      </c>
      <c r="D1975" s="37" t="s">
        <v>80</v>
      </c>
      <c r="E1975" s="38" t="n">
        <f aca="false">'Matrice des notes'!AA58</f>
        <v>3</v>
      </c>
      <c r="F1975" s="37" t="s">
        <v>637</v>
      </c>
      <c r="G1975" s="39" t="s">
        <v>638</v>
      </c>
    </row>
    <row r="1976" customFormat="false" ht="15" hidden="false" customHeight="false" outlineLevel="0" collapsed="false">
      <c r="A1976" s="37" t="s">
        <v>207</v>
      </c>
      <c r="B1976" s="37" t="s">
        <v>238</v>
      </c>
      <c r="C1976" s="37" t="s">
        <v>179</v>
      </c>
      <c r="D1976" s="37" t="s">
        <v>83</v>
      </c>
      <c r="E1976" s="38" t="n">
        <f aca="false">'Matrice des notes'!AB58</f>
        <v>4</v>
      </c>
      <c r="F1976" s="37" t="s">
        <v>831</v>
      </c>
      <c r="G1976" s="39" t="s">
        <v>832</v>
      </c>
    </row>
    <row r="1977" customFormat="false" ht="15" hidden="false" customHeight="false" outlineLevel="0" collapsed="false">
      <c r="A1977" s="37" t="s">
        <v>207</v>
      </c>
      <c r="B1977" s="37" t="s">
        <v>238</v>
      </c>
      <c r="C1977" s="37" t="s">
        <v>179</v>
      </c>
      <c r="D1977" s="37" t="s">
        <v>86</v>
      </c>
      <c r="E1977" s="38" t="n">
        <f aca="false">'Matrice des notes'!AC58</f>
        <v>3</v>
      </c>
      <c r="F1977" s="37" t="s">
        <v>637</v>
      </c>
      <c r="G1977" s="39" t="s">
        <v>638</v>
      </c>
    </row>
    <row r="1978" customFormat="false" ht="15" hidden="false" customHeight="false" outlineLevel="0" collapsed="false">
      <c r="A1978" s="37" t="s">
        <v>207</v>
      </c>
      <c r="B1978" s="37" t="s">
        <v>238</v>
      </c>
      <c r="C1978" s="37" t="s">
        <v>179</v>
      </c>
      <c r="D1978" s="37" t="s">
        <v>89</v>
      </c>
      <c r="E1978" s="38" t="n">
        <f aca="false">'Matrice des notes'!AD58</f>
        <v>3</v>
      </c>
      <c r="F1978" s="37" t="s">
        <v>637</v>
      </c>
      <c r="G1978" s="39" t="s">
        <v>638</v>
      </c>
    </row>
    <row r="1979" customFormat="false" ht="22.35" hidden="false" customHeight="false" outlineLevel="0" collapsed="false">
      <c r="A1979" s="37" t="s">
        <v>207</v>
      </c>
      <c r="B1979" s="37" t="s">
        <v>238</v>
      </c>
      <c r="C1979" s="37" t="s">
        <v>179</v>
      </c>
      <c r="D1979" s="37" t="s">
        <v>92</v>
      </c>
      <c r="E1979" s="38" t="n">
        <f aca="false">'Matrice des notes'!AE58</f>
        <v>4</v>
      </c>
      <c r="F1979" s="37" t="s">
        <v>833</v>
      </c>
      <c r="G1979" s="39" t="s">
        <v>834</v>
      </c>
    </row>
    <row r="1980" customFormat="false" ht="15" hidden="false" customHeight="false" outlineLevel="0" collapsed="false">
      <c r="A1980" s="37" t="s">
        <v>207</v>
      </c>
      <c r="B1980" s="37" t="s">
        <v>238</v>
      </c>
      <c r="C1980" s="37" t="s">
        <v>180</v>
      </c>
      <c r="D1980" s="37" t="s">
        <v>95</v>
      </c>
      <c r="E1980" s="38" t="n">
        <f aca="false">'Matrice des notes'!AF58</f>
        <v>1</v>
      </c>
      <c r="F1980" s="37" t="s">
        <v>631</v>
      </c>
      <c r="G1980" s="39" t="s">
        <v>654</v>
      </c>
    </row>
    <row r="1981" customFormat="false" ht="15" hidden="false" customHeight="false" outlineLevel="0" collapsed="false">
      <c r="A1981" s="37" t="s">
        <v>207</v>
      </c>
      <c r="B1981" s="37" t="s">
        <v>238</v>
      </c>
      <c r="C1981" s="37" t="s">
        <v>180</v>
      </c>
      <c r="D1981" s="37" t="s">
        <v>99</v>
      </c>
      <c r="E1981" s="38" t="n">
        <f aca="false">'Matrice des notes'!AG58</f>
        <v>1</v>
      </c>
      <c r="F1981" s="37" t="s">
        <v>655</v>
      </c>
      <c r="G1981" s="39" t="s">
        <v>656</v>
      </c>
    </row>
    <row r="1982" customFormat="false" ht="15" hidden="false" customHeight="false" outlineLevel="0" collapsed="false">
      <c r="A1982" s="37" t="s">
        <v>207</v>
      </c>
      <c r="B1982" s="37" t="s">
        <v>238</v>
      </c>
      <c r="C1982" s="37" t="s">
        <v>180</v>
      </c>
      <c r="D1982" s="37" t="s">
        <v>102</v>
      </c>
      <c r="E1982" s="38" t="n">
        <f aca="false">'Matrice des notes'!AH58</f>
        <v>1</v>
      </c>
      <c r="F1982" s="37" t="s">
        <v>655</v>
      </c>
      <c r="G1982" s="39" t="s">
        <v>656</v>
      </c>
    </row>
    <row r="1983" customFormat="false" ht="15" hidden="false" customHeight="false" outlineLevel="0" collapsed="false">
      <c r="A1983" s="37" t="s">
        <v>207</v>
      </c>
      <c r="B1983" s="37" t="s">
        <v>238</v>
      </c>
      <c r="C1983" s="37" t="s">
        <v>180</v>
      </c>
      <c r="D1983" s="37" t="s">
        <v>104</v>
      </c>
      <c r="E1983" s="38" t="n">
        <f aca="false">'Matrice des notes'!AI58</f>
        <v>1</v>
      </c>
      <c r="F1983" s="37" t="s">
        <v>631</v>
      </c>
      <c r="G1983" s="39" t="s">
        <v>654</v>
      </c>
    </row>
    <row r="1984" customFormat="false" ht="15" hidden="false" customHeight="false" outlineLevel="0" collapsed="false">
      <c r="A1984" s="37" t="s">
        <v>207</v>
      </c>
      <c r="B1984" s="37" t="s">
        <v>238</v>
      </c>
      <c r="C1984" s="37" t="s">
        <v>180</v>
      </c>
      <c r="D1984" s="37" t="s">
        <v>107</v>
      </c>
      <c r="E1984" s="38" t="n">
        <f aca="false">'Matrice des notes'!AJ58</f>
        <v>1</v>
      </c>
      <c r="F1984" s="37" t="s">
        <v>631</v>
      </c>
      <c r="G1984" s="39" t="s">
        <v>654</v>
      </c>
    </row>
    <row r="1985" customFormat="false" ht="15" hidden="false" customHeight="false" outlineLevel="0" collapsed="false">
      <c r="A1985" s="37" t="s">
        <v>207</v>
      </c>
      <c r="B1985" s="37" t="s">
        <v>238</v>
      </c>
      <c r="C1985" s="37" t="s">
        <v>180</v>
      </c>
      <c r="D1985" s="37" t="s">
        <v>110</v>
      </c>
      <c r="E1985" s="38" t="n">
        <f aca="false">'Matrice des notes'!AK58</f>
        <v>1</v>
      </c>
      <c r="F1985" s="37" t="s">
        <v>631</v>
      </c>
      <c r="G1985" s="39" t="s">
        <v>654</v>
      </c>
    </row>
    <row r="1986" customFormat="false" ht="15" hidden="false" customHeight="false" outlineLevel="0" collapsed="false">
      <c r="A1986" s="37" t="s">
        <v>207</v>
      </c>
      <c r="B1986" s="37" t="s">
        <v>238</v>
      </c>
      <c r="C1986" s="37" t="s">
        <v>180</v>
      </c>
      <c r="D1986" s="37" t="s">
        <v>113</v>
      </c>
      <c r="E1986" s="38" t="n">
        <f aca="false">'Matrice des notes'!AL58</f>
        <v>1</v>
      </c>
      <c r="F1986" s="37" t="s">
        <v>631</v>
      </c>
      <c r="G1986" s="39" t="s">
        <v>654</v>
      </c>
    </row>
    <row r="1987" customFormat="false" ht="15" hidden="false" customHeight="false" outlineLevel="0" collapsed="false">
      <c r="A1987" s="37" t="s">
        <v>207</v>
      </c>
      <c r="B1987" s="37" t="s">
        <v>238</v>
      </c>
      <c r="C1987" s="37" t="s">
        <v>180</v>
      </c>
      <c r="D1987" s="37" t="s">
        <v>116</v>
      </c>
      <c r="E1987" s="38" t="n">
        <f aca="false">'Matrice des notes'!AM58</f>
        <v>1</v>
      </c>
      <c r="F1987" s="37" t="s">
        <v>655</v>
      </c>
      <c r="G1987" s="39" t="s">
        <v>656</v>
      </c>
    </row>
    <row r="1988" customFormat="false" ht="15" hidden="false" customHeight="false" outlineLevel="0" collapsed="false">
      <c r="A1988" s="37" t="s">
        <v>207</v>
      </c>
      <c r="B1988" s="37" t="s">
        <v>238</v>
      </c>
      <c r="C1988" s="37" t="s">
        <v>180</v>
      </c>
      <c r="D1988" s="37" t="s">
        <v>119</v>
      </c>
      <c r="E1988" s="38" t="n">
        <f aca="false">'Matrice des notes'!AN58</f>
        <v>1</v>
      </c>
      <c r="F1988" s="37" t="s">
        <v>631</v>
      </c>
      <c r="G1988" s="39" t="s">
        <v>654</v>
      </c>
    </row>
    <row r="1989" customFormat="false" ht="15" hidden="false" customHeight="false" outlineLevel="0" collapsed="false">
      <c r="A1989" s="37" t="s">
        <v>207</v>
      </c>
      <c r="B1989" s="37" t="s">
        <v>238</v>
      </c>
      <c r="C1989" s="37" t="s">
        <v>180</v>
      </c>
      <c r="D1989" s="37" t="s">
        <v>121</v>
      </c>
      <c r="E1989" s="38" t="n">
        <f aca="false">'Matrice des notes'!AO58</f>
        <v>1</v>
      </c>
      <c r="F1989" s="37" t="s">
        <v>657</v>
      </c>
      <c r="G1989" s="39" t="s">
        <v>658</v>
      </c>
    </row>
    <row r="1990" customFormat="false" ht="15" hidden="false" customHeight="false" outlineLevel="0" collapsed="false">
      <c r="A1990" s="37" t="s">
        <v>207</v>
      </c>
      <c r="B1990" s="37" t="s">
        <v>238</v>
      </c>
      <c r="C1990" s="37" t="s">
        <v>180</v>
      </c>
      <c r="D1990" s="37" t="s">
        <v>124</v>
      </c>
      <c r="E1990" s="38" t="n">
        <f aca="false">'Matrice des notes'!AP58</f>
        <v>1</v>
      </c>
      <c r="F1990" s="37" t="s">
        <v>863</v>
      </c>
      <c r="G1990" s="39" t="s">
        <v>864</v>
      </c>
    </row>
    <row r="1991" customFormat="false" ht="15" hidden="false" customHeight="false" outlineLevel="0" collapsed="false">
      <c r="A1991" s="37" t="s">
        <v>207</v>
      </c>
      <c r="B1991" s="37" t="s">
        <v>239</v>
      </c>
      <c r="C1991" s="37" t="s">
        <v>178</v>
      </c>
      <c r="D1991" s="37" t="s">
        <v>7</v>
      </c>
      <c r="E1991" s="38" t="n">
        <f aca="false">'Matrice des notes'!D59</f>
        <v>2</v>
      </c>
      <c r="F1991" s="37" t="s">
        <v>673</v>
      </c>
      <c r="G1991" s="39" t="s">
        <v>930</v>
      </c>
    </row>
    <row r="1992" customFormat="false" ht="15" hidden="false" customHeight="false" outlineLevel="0" collapsed="false">
      <c r="A1992" s="37" t="s">
        <v>207</v>
      </c>
      <c r="B1992" s="37" t="s">
        <v>239</v>
      </c>
      <c r="C1992" s="37" t="s">
        <v>178</v>
      </c>
      <c r="D1992" s="37" t="s">
        <v>11</v>
      </c>
      <c r="E1992" s="38" t="n">
        <f aca="false">'Matrice des notes'!E59</f>
        <v>1</v>
      </c>
      <c r="F1992" s="37" t="s">
        <v>839</v>
      </c>
      <c r="G1992" s="39" t="s">
        <v>840</v>
      </c>
    </row>
    <row r="1993" customFormat="false" ht="15" hidden="false" customHeight="false" outlineLevel="0" collapsed="false">
      <c r="A1993" s="37" t="s">
        <v>207</v>
      </c>
      <c r="B1993" s="37" t="s">
        <v>239</v>
      </c>
      <c r="C1993" s="37" t="s">
        <v>178</v>
      </c>
      <c r="D1993" s="37" t="s">
        <v>14</v>
      </c>
      <c r="E1993" s="38" t="n">
        <f aca="false">'Matrice des notes'!F59</f>
        <v>1</v>
      </c>
      <c r="F1993" s="37" t="s">
        <v>677</v>
      </c>
      <c r="G1993" s="39" t="s">
        <v>841</v>
      </c>
    </row>
    <row r="1994" customFormat="false" ht="15" hidden="false" customHeight="false" outlineLevel="0" collapsed="false">
      <c r="A1994" s="37" t="s">
        <v>207</v>
      </c>
      <c r="B1994" s="37" t="s">
        <v>239</v>
      </c>
      <c r="C1994" s="37" t="s">
        <v>178</v>
      </c>
      <c r="D1994" s="37" t="s">
        <v>17</v>
      </c>
      <c r="E1994" s="38" t="n">
        <f aca="false">'Matrice des notes'!G59</f>
        <v>1</v>
      </c>
      <c r="F1994" s="37" t="s">
        <v>842</v>
      </c>
      <c r="G1994" s="39" t="s">
        <v>843</v>
      </c>
    </row>
    <row r="1995" customFormat="false" ht="15" hidden="false" customHeight="false" outlineLevel="0" collapsed="false">
      <c r="A1995" s="37" t="s">
        <v>207</v>
      </c>
      <c r="B1995" s="37" t="s">
        <v>239</v>
      </c>
      <c r="C1995" s="37" t="s">
        <v>178</v>
      </c>
      <c r="D1995" s="37" t="s">
        <v>20</v>
      </c>
      <c r="E1995" s="38" t="n">
        <f aca="false">'Matrice des notes'!H59</f>
        <v>1</v>
      </c>
      <c r="F1995" s="37" t="s">
        <v>839</v>
      </c>
      <c r="G1995" s="39" t="s">
        <v>844</v>
      </c>
    </row>
    <row r="1996" customFormat="false" ht="15" hidden="false" customHeight="false" outlineLevel="0" collapsed="false">
      <c r="A1996" s="37" t="s">
        <v>207</v>
      </c>
      <c r="B1996" s="37" t="s">
        <v>239</v>
      </c>
      <c r="C1996" s="37" t="s">
        <v>178</v>
      </c>
      <c r="D1996" s="37" t="s">
        <v>23</v>
      </c>
      <c r="E1996" s="38" t="n">
        <f aca="false">'Matrice des notes'!I59</f>
        <v>1</v>
      </c>
      <c r="F1996" s="37" t="s">
        <v>839</v>
      </c>
      <c r="G1996" s="39" t="s">
        <v>845</v>
      </c>
    </row>
    <row r="1997" customFormat="false" ht="15" hidden="false" customHeight="false" outlineLevel="0" collapsed="false">
      <c r="A1997" s="37" t="s">
        <v>207</v>
      </c>
      <c r="B1997" s="37" t="s">
        <v>239</v>
      </c>
      <c r="C1997" s="37" t="s">
        <v>178</v>
      </c>
      <c r="D1997" s="37" t="s">
        <v>26</v>
      </c>
      <c r="E1997" s="38" t="n">
        <f aca="false">'Matrice des notes'!J59</f>
        <v>1</v>
      </c>
      <c r="F1997" s="37" t="s">
        <v>835</v>
      </c>
      <c r="G1997" s="39" t="s">
        <v>846</v>
      </c>
    </row>
    <row r="1998" customFormat="false" ht="15" hidden="false" customHeight="false" outlineLevel="0" collapsed="false">
      <c r="A1998" s="37" t="s">
        <v>207</v>
      </c>
      <c r="B1998" s="37" t="s">
        <v>239</v>
      </c>
      <c r="C1998" s="37" t="s">
        <v>178</v>
      </c>
      <c r="D1998" s="37" t="s">
        <v>30</v>
      </c>
      <c r="E1998" s="38" t="n">
        <f aca="false">'Matrice des notes'!K59</f>
        <v>1</v>
      </c>
      <c r="F1998" s="37" t="s">
        <v>677</v>
      </c>
      <c r="G1998" s="39" t="s">
        <v>847</v>
      </c>
    </row>
    <row r="1999" customFormat="false" ht="15" hidden="false" customHeight="false" outlineLevel="0" collapsed="false">
      <c r="A1999" s="37" t="s">
        <v>207</v>
      </c>
      <c r="B1999" s="37" t="s">
        <v>239</v>
      </c>
      <c r="C1999" s="37" t="s">
        <v>178</v>
      </c>
      <c r="D1999" s="37" t="s">
        <v>34</v>
      </c>
      <c r="E1999" s="38" t="n">
        <f aca="false">'Matrice des notes'!L59</f>
        <v>3</v>
      </c>
      <c r="F1999" s="37" t="s">
        <v>903</v>
      </c>
      <c r="G1999" s="39" t="s">
        <v>931</v>
      </c>
    </row>
    <row r="2000" customFormat="false" ht="15" hidden="false" customHeight="false" outlineLevel="0" collapsed="false">
      <c r="A2000" s="37" t="s">
        <v>207</v>
      </c>
      <c r="B2000" s="37" t="s">
        <v>239</v>
      </c>
      <c r="C2000" s="37" t="s">
        <v>178</v>
      </c>
      <c r="D2000" s="37" t="s">
        <v>37</v>
      </c>
      <c r="E2000" s="38" t="n">
        <f aca="false">'Matrice des notes'!M59</f>
        <v>1</v>
      </c>
      <c r="F2000" s="37" t="s">
        <v>812</v>
      </c>
      <c r="G2000" s="39" t="s">
        <v>813</v>
      </c>
    </row>
    <row r="2001" customFormat="false" ht="15" hidden="false" customHeight="false" outlineLevel="0" collapsed="false">
      <c r="A2001" s="37" t="s">
        <v>207</v>
      </c>
      <c r="B2001" s="37" t="s">
        <v>239</v>
      </c>
      <c r="C2001" s="37" t="s">
        <v>178</v>
      </c>
      <c r="D2001" s="37" t="s">
        <v>40</v>
      </c>
      <c r="E2001" s="38" t="n">
        <f aca="false">'Matrice des notes'!N59</f>
        <v>1</v>
      </c>
      <c r="F2001" s="37" t="s">
        <v>849</v>
      </c>
      <c r="G2001" s="39" t="s">
        <v>850</v>
      </c>
    </row>
    <row r="2002" customFormat="false" ht="15" hidden="false" customHeight="false" outlineLevel="0" collapsed="false">
      <c r="A2002" s="37" t="s">
        <v>207</v>
      </c>
      <c r="B2002" s="37" t="s">
        <v>239</v>
      </c>
      <c r="C2002" s="37" t="s">
        <v>178</v>
      </c>
      <c r="D2002" s="37" t="s">
        <v>43</v>
      </c>
      <c r="E2002" s="38" t="n">
        <f aca="false">'Matrice des notes'!O59</f>
        <v>1</v>
      </c>
      <c r="F2002" s="37" t="s">
        <v>816</v>
      </c>
      <c r="G2002" s="39" t="s">
        <v>866</v>
      </c>
    </row>
    <row r="2003" customFormat="false" ht="15" hidden="false" customHeight="false" outlineLevel="0" collapsed="false">
      <c r="A2003" s="37" t="s">
        <v>207</v>
      </c>
      <c r="B2003" s="37" t="s">
        <v>239</v>
      </c>
      <c r="C2003" s="37" t="s">
        <v>178</v>
      </c>
      <c r="D2003" s="37" t="s">
        <v>46</v>
      </c>
      <c r="E2003" s="38" t="n">
        <f aca="false">'Matrice des notes'!P59</f>
        <v>1</v>
      </c>
      <c r="F2003" s="37" t="s">
        <v>839</v>
      </c>
      <c r="G2003" s="39" t="s">
        <v>851</v>
      </c>
    </row>
    <row r="2004" customFormat="false" ht="15" hidden="false" customHeight="false" outlineLevel="0" collapsed="false">
      <c r="A2004" s="37" t="s">
        <v>207</v>
      </c>
      <c r="B2004" s="37" t="s">
        <v>239</v>
      </c>
      <c r="C2004" s="37" t="s">
        <v>179</v>
      </c>
      <c r="D2004" s="37" t="s">
        <v>49</v>
      </c>
      <c r="E2004" s="38" t="n">
        <f aca="false">'Matrice des notes'!Q59</f>
        <v>1</v>
      </c>
      <c r="F2004" s="37" t="s">
        <v>927</v>
      </c>
      <c r="G2004" s="39" t="s">
        <v>928</v>
      </c>
    </row>
    <row r="2005" customFormat="false" ht="15" hidden="false" customHeight="false" outlineLevel="0" collapsed="false">
      <c r="A2005" s="37" t="s">
        <v>207</v>
      </c>
      <c r="B2005" s="37" t="s">
        <v>239</v>
      </c>
      <c r="C2005" s="37" t="s">
        <v>179</v>
      </c>
      <c r="D2005" s="37" t="s">
        <v>53</v>
      </c>
      <c r="E2005" s="38" t="n">
        <f aca="false">'Matrice des notes'!R59</f>
        <v>3</v>
      </c>
      <c r="F2005" s="37" t="s">
        <v>903</v>
      </c>
      <c r="G2005" s="39" t="s">
        <v>932</v>
      </c>
    </row>
    <row r="2006" customFormat="false" ht="15" hidden="false" customHeight="false" outlineLevel="0" collapsed="false">
      <c r="A2006" s="37" t="s">
        <v>207</v>
      </c>
      <c r="B2006" s="37" t="s">
        <v>239</v>
      </c>
      <c r="C2006" s="37" t="s">
        <v>179</v>
      </c>
      <c r="D2006" s="37" t="s">
        <v>56</v>
      </c>
      <c r="E2006" s="38" t="n">
        <f aca="false">'Matrice des notes'!S59</f>
        <v>1</v>
      </c>
      <c r="F2006" s="37" t="s">
        <v>839</v>
      </c>
      <c r="G2006" s="39" t="s">
        <v>854</v>
      </c>
    </row>
    <row r="2007" customFormat="false" ht="15" hidden="false" customHeight="false" outlineLevel="0" collapsed="false">
      <c r="A2007" s="37" t="s">
        <v>207</v>
      </c>
      <c r="B2007" s="37" t="s">
        <v>239</v>
      </c>
      <c r="C2007" s="37" t="s">
        <v>179</v>
      </c>
      <c r="D2007" s="37" t="s">
        <v>59</v>
      </c>
      <c r="E2007" s="38" t="n">
        <f aca="false">'Matrice des notes'!T59</f>
        <v>1</v>
      </c>
      <c r="F2007" s="37" t="s">
        <v>839</v>
      </c>
      <c r="G2007" s="39" t="s">
        <v>855</v>
      </c>
    </row>
    <row r="2008" customFormat="false" ht="15" hidden="false" customHeight="false" outlineLevel="0" collapsed="false">
      <c r="A2008" s="37" t="s">
        <v>207</v>
      </c>
      <c r="B2008" s="37" t="s">
        <v>239</v>
      </c>
      <c r="C2008" s="37" t="s">
        <v>179</v>
      </c>
      <c r="D2008" s="37" t="s">
        <v>62</v>
      </c>
      <c r="E2008" s="38" t="n">
        <f aca="false">'Matrice des notes'!U59</f>
        <v>1</v>
      </c>
      <c r="F2008" s="37" t="s">
        <v>927</v>
      </c>
      <c r="G2008" s="39" t="s">
        <v>929</v>
      </c>
    </row>
    <row r="2009" customFormat="false" ht="15" hidden="false" customHeight="false" outlineLevel="0" collapsed="false">
      <c r="A2009" s="37" t="s">
        <v>207</v>
      </c>
      <c r="B2009" s="37" t="s">
        <v>239</v>
      </c>
      <c r="C2009" s="37" t="s">
        <v>179</v>
      </c>
      <c r="D2009" s="37" t="s">
        <v>65</v>
      </c>
      <c r="E2009" s="38" t="n">
        <f aca="false">'Matrice des notes'!V59</f>
        <v>3</v>
      </c>
      <c r="F2009" s="37" t="s">
        <v>903</v>
      </c>
      <c r="G2009" s="39" t="s">
        <v>904</v>
      </c>
    </row>
    <row r="2010" customFormat="false" ht="15" hidden="false" customHeight="false" outlineLevel="0" collapsed="false">
      <c r="A2010" s="37" t="s">
        <v>207</v>
      </c>
      <c r="B2010" s="37" t="s">
        <v>239</v>
      </c>
      <c r="C2010" s="37" t="s">
        <v>179</v>
      </c>
      <c r="D2010" s="37" t="s">
        <v>68</v>
      </c>
      <c r="E2010" s="38" t="n">
        <f aca="false">'Matrice des notes'!W59</f>
        <v>1</v>
      </c>
      <c r="F2010" s="37" t="s">
        <v>827</v>
      </c>
      <c r="G2010" s="39" t="s">
        <v>872</v>
      </c>
    </row>
    <row r="2011" customFormat="false" ht="15" hidden="false" customHeight="false" outlineLevel="0" collapsed="false">
      <c r="A2011" s="37" t="s">
        <v>207</v>
      </c>
      <c r="B2011" s="37" t="s">
        <v>239</v>
      </c>
      <c r="C2011" s="37" t="s">
        <v>179</v>
      </c>
      <c r="D2011" s="37" t="s">
        <v>71</v>
      </c>
      <c r="E2011" s="38" t="n">
        <f aca="false">'Matrice des notes'!X59</f>
        <v>1</v>
      </c>
      <c r="F2011" s="37" t="s">
        <v>708</v>
      </c>
      <c r="G2011" s="39" t="s">
        <v>857</v>
      </c>
    </row>
    <row r="2012" customFormat="false" ht="15" hidden="false" customHeight="false" outlineLevel="0" collapsed="false">
      <c r="A2012" s="37" t="s">
        <v>207</v>
      </c>
      <c r="B2012" s="37" t="s">
        <v>239</v>
      </c>
      <c r="C2012" s="37" t="s">
        <v>179</v>
      </c>
      <c r="D2012" s="37" t="s">
        <v>74</v>
      </c>
      <c r="E2012" s="38" t="n">
        <f aca="false">'Matrice des notes'!Y59</f>
        <v>3</v>
      </c>
      <c r="F2012" s="37" t="s">
        <v>673</v>
      </c>
      <c r="G2012" s="39" t="s">
        <v>896</v>
      </c>
    </row>
    <row r="2013" customFormat="false" ht="15" hidden="false" customHeight="false" outlineLevel="0" collapsed="false">
      <c r="A2013" s="37" t="s">
        <v>207</v>
      </c>
      <c r="B2013" s="37" t="s">
        <v>239</v>
      </c>
      <c r="C2013" s="37" t="s">
        <v>179</v>
      </c>
      <c r="D2013" s="37" t="s">
        <v>77</v>
      </c>
      <c r="E2013" s="38" t="n">
        <f aca="false">'Matrice des notes'!Z59</f>
        <v>1</v>
      </c>
      <c r="F2013" s="37" t="s">
        <v>842</v>
      </c>
      <c r="G2013" s="39" t="s">
        <v>858</v>
      </c>
    </row>
    <row r="2014" customFormat="false" ht="15" hidden="false" customHeight="false" outlineLevel="0" collapsed="false">
      <c r="A2014" s="37" t="s">
        <v>207</v>
      </c>
      <c r="B2014" s="37" t="s">
        <v>239</v>
      </c>
      <c r="C2014" s="37" t="s">
        <v>179</v>
      </c>
      <c r="D2014" s="37" t="s">
        <v>80</v>
      </c>
      <c r="E2014" s="38" t="n">
        <f aca="false">'Matrice des notes'!AA59</f>
        <v>3</v>
      </c>
      <c r="F2014" s="37" t="s">
        <v>907</v>
      </c>
      <c r="G2014" s="39" t="s">
        <v>908</v>
      </c>
    </row>
    <row r="2015" customFormat="false" ht="15" hidden="false" customHeight="false" outlineLevel="0" collapsed="false">
      <c r="A2015" s="37" t="s">
        <v>207</v>
      </c>
      <c r="B2015" s="37" t="s">
        <v>239</v>
      </c>
      <c r="C2015" s="37" t="s">
        <v>179</v>
      </c>
      <c r="D2015" s="37" t="s">
        <v>83</v>
      </c>
      <c r="E2015" s="38" t="n">
        <f aca="false">'Matrice des notes'!AB59</f>
        <v>3</v>
      </c>
      <c r="F2015" s="37" t="s">
        <v>970</v>
      </c>
      <c r="G2015" s="39" t="s">
        <v>971</v>
      </c>
    </row>
    <row r="2016" customFormat="false" ht="15" hidden="false" customHeight="false" outlineLevel="0" collapsed="false">
      <c r="A2016" s="37" t="s">
        <v>207</v>
      </c>
      <c r="B2016" s="37" t="s">
        <v>239</v>
      </c>
      <c r="C2016" s="37" t="s">
        <v>179</v>
      </c>
      <c r="D2016" s="37" t="s">
        <v>86</v>
      </c>
      <c r="E2016" s="38" t="n">
        <f aca="false">'Matrice des notes'!AC59</f>
        <v>3</v>
      </c>
      <c r="F2016" s="37" t="s">
        <v>935</v>
      </c>
      <c r="G2016" s="39" t="s">
        <v>936</v>
      </c>
    </row>
    <row r="2017" customFormat="false" ht="15" hidden="false" customHeight="false" outlineLevel="0" collapsed="false">
      <c r="A2017" s="37" t="s">
        <v>207</v>
      </c>
      <c r="B2017" s="37" t="s">
        <v>239</v>
      </c>
      <c r="C2017" s="37" t="s">
        <v>179</v>
      </c>
      <c r="D2017" s="37" t="s">
        <v>89</v>
      </c>
      <c r="E2017" s="38" t="n">
        <f aca="false">'Matrice des notes'!AD59</f>
        <v>3</v>
      </c>
      <c r="F2017" s="37" t="s">
        <v>937</v>
      </c>
      <c r="G2017" s="39" t="s">
        <v>938</v>
      </c>
    </row>
    <row r="2018" customFormat="false" ht="15" hidden="false" customHeight="false" outlineLevel="0" collapsed="false">
      <c r="A2018" s="37" t="s">
        <v>207</v>
      </c>
      <c r="B2018" s="37" t="s">
        <v>239</v>
      </c>
      <c r="C2018" s="37" t="s">
        <v>179</v>
      </c>
      <c r="D2018" s="37" t="s">
        <v>92</v>
      </c>
      <c r="E2018" s="38" t="n">
        <f aca="false">'Matrice des notes'!AE59</f>
        <v>3</v>
      </c>
      <c r="F2018" s="37" t="s">
        <v>966</v>
      </c>
      <c r="G2018" s="39" t="s">
        <v>967</v>
      </c>
    </row>
    <row r="2019" customFormat="false" ht="15" hidden="false" customHeight="false" outlineLevel="0" collapsed="false">
      <c r="A2019" s="37" t="s">
        <v>207</v>
      </c>
      <c r="B2019" s="37" t="s">
        <v>239</v>
      </c>
      <c r="C2019" s="37" t="s">
        <v>180</v>
      </c>
      <c r="D2019" s="37" t="s">
        <v>95</v>
      </c>
      <c r="E2019" s="38" t="n">
        <f aca="false">'Matrice des notes'!AF59</f>
        <v>1</v>
      </c>
      <c r="F2019" s="37" t="s">
        <v>631</v>
      </c>
      <c r="G2019" s="39" t="s">
        <v>654</v>
      </c>
    </row>
    <row r="2020" customFormat="false" ht="15" hidden="false" customHeight="false" outlineLevel="0" collapsed="false">
      <c r="A2020" s="37" t="s">
        <v>207</v>
      </c>
      <c r="B2020" s="37" t="s">
        <v>239</v>
      </c>
      <c r="C2020" s="37" t="s">
        <v>180</v>
      </c>
      <c r="D2020" s="37" t="s">
        <v>99</v>
      </c>
      <c r="E2020" s="38" t="n">
        <f aca="false">'Matrice des notes'!AG59</f>
        <v>1</v>
      </c>
      <c r="F2020" s="37" t="s">
        <v>655</v>
      </c>
      <c r="G2020" s="39" t="s">
        <v>656</v>
      </c>
    </row>
    <row r="2021" customFormat="false" ht="15" hidden="false" customHeight="false" outlineLevel="0" collapsed="false">
      <c r="A2021" s="37" t="s">
        <v>207</v>
      </c>
      <c r="B2021" s="37" t="s">
        <v>239</v>
      </c>
      <c r="C2021" s="37" t="s">
        <v>180</v>
      </c>
      <c r="D2021" s="37" t="s">
        <v>102</v>
      </c>
      <c r="E2021" s="38" t="n">
        <f aca="false">'Matrice des notes'!AH59</f>
        <v>1</v>
      </c>
      <c r="F2021" s="37" t="s">
        <v>655</v>
      </c>
      <c r="G2021" s="39" t="s">
        <v>656</v>
      </c>
    </row>
    <row r="2022" customFormat="false" ht="15" hidden="false" customHeight="false" outlineLevel="0" collapsed="false">
      <c r="A2022" s="37" t="s">
        <v>207</v>
      </c>
      <c r="B2022" s="37" t="s">
        <v>239</v>
      </c>
      <c r="C2022" s="37" t="s">
        <v>180</v>
      </c>
      <c r="D2022" s="37" t="s">
        <v>104</v>
      </c>
      <c r="E2022" s="38" t="n">
        <f aca="false">'Matrice des notes'!AI59</f>
        <v>1</v>
      </c>
      <c r="F2022" s="37" t="s">
        <v>631</v>
      </c>
      <c r="G2022" s="39" t="s">
        <v>654</v>
      </c>
    </row>
    <row r="2023" customFormat="false" ht="15" hidden="false" customHeight="false" outlineLevel="0" collapsed="false">
      <c r="A2023" s="37" t="s">
        <v>207</v>
      </c>
      <c r="B2023" s="37" t="s">
        <v>239</v>
      </c>
      <c r="C2023" s="37" t="s">
        <v>180</v>
      </c>
      <c r="D2023" s="37" t="s">
        <v>107</v>
      </c>
      <c r="E2023" s="38" t="n">
        <f aca="false">'Matrice des notes'!AJ59</f>
        <v>1</v>
      </c>
      <c r="F2023" s="37" t="s">
        <v>631</v>
      </c>
      <c r="G2023" s="39" t="s">
        <v>654</v>
      </c>
    </row>
    <row r="2024" customFormat="false" ht="15" hidden="false" customHeight="false" outlineLevel="0" collapsed="false">
      <c r="A2024" s="37" t="s">
        <v>207</v>
      </c>
      <c r="B2024" s="37" t="s">
        <v>239</v>
      </c>
      <c r="C2024" s="37" t="s">
        <v>180</v>
      </c>
      <c r="D2024" s="37" t="s">
        <v>110</v>
      </c>
      <c r="E2024" s="38" t="n">
        <f aca="false">'Matrice des notes'!AK59</f>
        <v>1</v>
      </c>
      <c r="F2024" s="37" t="s">
        <v>631</v>
      </c>
      <c r="G2024" s="39" t="s">
        <v>654</v>
      </c>
    </row>
    <row r="2025" customFormat="false" ht="15" hidden="false" customHeight="false" outlineLevel="0" collapsed="false">
      <c r="A2025" s="37" t="s">
        <v>207</v>
      </c>
      <c r="B2025" s="37" t="s">
        <v>239</v>
      </c>
      <c r="C2025" s="37" t="s">
        <v>180</v>
      </c>
      <c r="D2025" s="37" t="s">
        <v>113</v>
      </c>
      <c r="E2025" s="38" t="n">
        <f aca="false">'Matrice des notes'!AL59</f>
        <v>1</v>
      </c>
      <c r="F2025" s="37" t="s">
        <v>631</v>
      </c>
      <c r="G2025" s="39" t="s">
        <v>654</v>
      </c>
    </row>
    <row r="2026" customFormat="false" ht="15" hidden="false" customHeight="false" outlineLevel="0" collapsed="false">
      <c r="A2026" s="37" t="s">
        <v>207</v>
      </c>
      <c r="B2026" s="37" t="s">
        <v>239</v>
      </c>
      <c r="C2026" s="37" t="s">
        <v>180</v>
      </c>
      <c r="D2026" s="37" t="s">
        <v>116</v>
      </c>
      <c r="E2026" s="38" t="n">
        <f aca="false">'Matrice des notes'!AM59</f>
        <v>1</v>
      </c>
      <c r="F2026" s="37" t="s">
        <v>655</v>
      </c>
      <c r="G2026" s="39" t="s">
        <v>656</v>
      </c>
    </row>
    <row r="2027" customFormat="false" ht="15" hidden="false" customHeight="false" outlineLevel="0" collapsed="false">
      <c r="A2027" s="37" t="s">
        <v>207</v>
      </c>
      <c r="B2027" s="37" t="s">
        <v>239</v>
      </c>
      <c r="C2027" s="37" t="s">
        <v>180</v>
      </c>
      <c r="D2027" s="37" t="s">
        <v>119</v>
      </c>
      <c r="E2027" s="38" t="n">
        <f aca="false">'Matrice des notes'!AN59</f>
        <v>1</v>
      </c>
      <c r="F2027" s="37" t="s">
        <v>631</v>
      </c>
      <c r="G2027" s="39" t="s">
        <v>654</v>
      </c>
    </row>
    <row r="2028" customFormat="false" ht="15" hidden="false" customHeight="false" outlineLevel="0" collapsed="false">
      <c r="A2028" s="37" t="s">
        <v>207</v>
      </c>
      <c r="B2028" s="37" t="s">
        <v>239</v>
      </c>
      <c r="C2028" s="37" t="s">
        <v>180</v>
      </c>
      <c r="D2028" s="37" t="s">
        <v>121</v>
      </c>
      <c r="E2028" s="38" t="n">
        <f aca="false">'Matrice des notes'!AO59</f>
        <v>1</v>
      </c>
      <c r="F2028" s="37" t="s">
        <v>657</v>
      </c>
      <c r="G2028" s="39" t="s">
        <v>658</v>
      </c>
    </row>
    <row r="2029" customFormat="false" ht="15" hidden="false" customHeight="false" outlineLevel="0" collapsed="false">
      <c r="A2029" s="37" t="s">
        <v>207</v>
      </c>
      <c r="B2029" s="37" t="s">
        <v>239</v>
      </c>
      <c r="C2029" s="37" t="s">
        <v>180</v>
      </c>
      <c r="D2029" s="37" t="s">
        <v>124</v>
      </c>
      <c r="E2029" s="38" t="n">
        <f aca="false">'Matrice des notes'!AP59</f>
        <v>1</v>
      </c>
      <c r="F2029" s="37" t="s">
        <v>863</v>
      </c>
      <c r="G2029" s="39" t="s">
        <v>864</v>
      </c>
    </row>
    <row r="2030" customFormat="false" ht="15" hidden="false" customHeight="false" outlineLevel="0" collapsed="false">
      <c r="A2030" s="37" t="s">
        <v>207</v>
      </c>
      <c r="B2030" s="37" t="s">
        <v>240</v>
      </c>
      <c r="C2030" s="37" t="s">
        <v>178</v>
      </c>
      <c r="D2030" s="37" t="s">
        <v>7</v>
      </c>
      <c r="E2030" s="38" t="n">
        <f aca="false">'Matrice des notes'!D60</f>
        <v>2</v>
      </c>
      <c r="F2030" s="37" t="s">
        <v>673</v>
      </c>
      <c r="G2030" s="39" t="s">
        <v>930</v>
      </c>
    </row>
    <row r="2031" customFormat="false" ht="15" hidden="false" customHeight="false" outlineLevel="0" collapsed="false">
      <c r="A2031" s="37" t="s">
        <v>207</v>
      </c>
      <c r="B2031" s="37" t="s">
        <v>240</v>
      </c>
      <c r="C2031" s="37" t="s">
        <v>178</v>
      </c>
      <c r="D2031" s="37" t="s">
        <v>11</v>
      </c>
      <c r="E2031" s="38" t="n">
        <f aca="false">'Matrice des notes'!E60</f>
        <v>1</v>
      </c>
      <c r="F2031" s="37" t="s">
        <v>839</v>
      </c>
      <c r="G2031" s="39" t="s">
        <v>840</v>
      </c>
    </row>
    <row r="2032" customFormat="false" ht="15" hidden="false" customHeight="false" outlineLevel="0" collapsed="false">
      <c r="A2032" s="37" t="s">
        <v>207</v>
      </c>
      <c r="B2032" s="37" t="s">
        <v>240</v>
      </c>
      <c r="C2032" s="37" t="s">
        <v>178</v>
      </c>
      <c r="D2032" s="37" t="s">
        <v>14</v>
      </c>
      <c r="E2032" s="38" t="n">
        <f aca="false">'Matrice des notes'!F60</f>
        <v>1</v>
      </c>
      <c r="F2032" s="37" t="s">
        <v>677</v>
      </c>
      <c r="G2032" s="39" t="s">
        <v>841</v>
      </c>
    </row>
    <row r="2033" customFormat="false" ht="15" hidden="false" customHeight="false" outlineLevel="0" collapsed="false">
      <c r="A2033" s="37" t="s">
        <v>207</v>
      </c>
      <c r="B2033" s="37" t="s">
        <v>240</v>
      </c>
      <c r="C2033" s="37" t="s">
        <v>178</v>
      </c>
      <c r="D2033" s="37" t="s">
        <v>17</v>
      </c>
      <c r="E2033" s="38" t="n">
        <f aca="false">'Matrice des notes'!G60</f>
        <v>1</v>
      </c>
      <c r="F2033" s="37" t="s">
        <v>842</v>
      </c>
      <c r="G2033" s="39" t="s">
        <v>843</v>
      </c>
    </row>
    <row r="2034" customFormat="false" ht="15" hidden="false" customHeight="false" outlineLevel="0" collapsed="false">
      <c r="A2034" s="37" t="s">
        <v>207</v>
      </c>
      <c r="B2034" s="37" t="s">
        <v>240</v>
      </c>
      <c r="C2034" s="37" t="s">
        <v>178</v>
      </c>
      <c r="D2034" s="37" t="s">
        <v>20</v>
      </c>
      <c r="E2034" s="38" t="n">
        <f aca="false">'Matrice des notes'!H60</f>
        <v>1</v>
      </c>
      <c r="F2034" s="37" t="s">
        <v>839</v>
      </c>
      <c r="G2034" s="39" t="s">
        <v>844</v>
      </c>
    </row>
    <row r="2035" customFormat="false" ht="15" hidden="false" customHeight="false" outlineLevel="0" collapsed="false">
      <c r="A2035" s="37" t="s">
        <v>207</v>
      </c>
      <c r="B2035" s="37" t="s">
        <v>240</v>
      </c>
      <c r="C2035" s="37" t="s">
        <v>178</v>
      </c>
      <c r="D2035" s="37" t="s">
        <v>23</v>
      </c>
      <c r="E2035" s="38" t="n">
        <f aca="false">'Matrice des notes'!I60</f>
        <v>1</v>
      </c>
      <c r="F2035" s="37" t="s">
        <v>839</v>
      </c>
      <c r="G2035" s="39" t="s">
        <v>845</v>
      </c>
    </row>
    <row r="2036" customFormat="false" ht="15" hidden="false" customHeight="false" outlineLevel="0" collapsed="false">
      <c r="A2036" s="37" t="s">
        <v>207</v>
      </c>
      <c r="B2036" s="37" t="s">
        <v>240</v>
      </c>
      <c r="C2036" s="37" t="s">
        <v>178</v>
      </c>
      <c r="D2036" s="37" t="s">
        <v>26</v>
      </c>
      <c r="E2036" s="38" t="n">
        <f aca="false">'Matrice des notes'!J60</f>
        <v>1</v>
      </c>
      <c r="F2036" s="37" t="s">
        <v>835</v>
      </c>
      <c r="G2036" s="39" t="s">
        <v>846</v>
      </c>
    </row>
    <row r="2037" customFormat="false" ht="15" hidden="false" customHeight="false" outlineLevel="0" collapsed="false">
      <c r="A2037" s="37" t="s">
        <v>207</v>
      </c>
      <c r="B2037" s="37" t="s">
        <v>240</v>
      </c>
      <c r="C2037" s="37" t="s">
        <v>178</v>
      </c>
      <c r="D2037" s="37" t="s">
        <v>30</v>
      </c>
      <c r="E2037" s="38" t="n">
        <f aca="false">'Matrice des notes'!K60</f>
        <v>1</v>
      </c>
      <c r="F2037" s="37" t="s">
        <v>677</v>
      </c>
      <c r="G2037" s="39" t="s">
        <v>847</v>
      </c>
    </row>
    <row r="2038" customFormat="false" ht="15" hidden="false" customHeight="false" outlineLevel="0" collapsed="false">
      <c r="A2038" s="37" t="s">
        <v>207</v>
      </c>
      <c r="B2038" s="37" t="s">
        <v>240</v>
      </c>
      <c r="C2038" s="37" t="s">
        <v>178</v>
      </c>
      <c r="D2038" s="37" t="s">
        <v>34</v>
      </c>
      <c r="E2038" s="38" t="n">
        <f aca="false">'Matrice des notes'!L60</f>
        <v>3</v>
      </c>
      <c r="F2038" s="37" t="s">
        <v>903</v>
      </c>
      <c r="G2038" s="39" t="s">
        <v>931</v>
      </c>
    </row>
    <row r="2039" customFormat="false" ht="15" hidden="false" customHeight="false" outlineLevel="0" collapsed="false">
      <c r="A2039" s="37" t="s">
        <v>207</v>
      </c>
      <c r="B2039" s="37" t="s">
        <v>240</v>
      </c>
      <c r="C2039" s="37" t="s">
        <v>178</v>
      </c>
      <c r="D2039" s="37" t="s">
        <v>37</v>
      </c>
      <c r="E2039" s="38" t="n">
        <f aca="false">'Matrice des notes'!M60</f>
        <v>1</v>
      </c>
      <c r="F2039" s="37" t="s">
        <v>812</v>
      </c>
      <c r="G2039" s="39" t="s">
        <v>813</v>
      </c>
    </row>
    <row r="2040" customFormat="false" ht="15" hidden="false" customHeight="false" outlineLevel="0" collapsed="false">
      <c r="A2040" s="37" t="s">
        <v>207</v>
      </c>
      <c r="B2040" s="37" t="s">
        <v>240</v>
      </c>
      <c r="C2040" s="37" t="s">
        <v>178</v>
      </c>
      <c r="D2040" s="37" t="s">
        <v>40</v>
      </c>
      <c r="E2040" s="38" t="n">
        <f aca="false">'Matrice des notes'!N60</f>
        <v>1</v>
      </c>
      <c r="F2040" s="37" t="s">
        <v>849</v>
      </c>
      <c r="G2040" s="39" t="s">
        <v>850</v>
      </c>
    </row>
    <row r="2041" customFormat="false" ht="15" hidden="false" customHeight="false" outlineLevel="0" collapsed="false">
      <c r="A2041" s="37" t="s">
        <v>207</v>
      </c>
      <c r="B2041" s="37" t="s">
        <v>240</v>
      </c>
      <c r="C2041" s="37" t="s">
        <v>178</v>
      </c>
      <c r="D2041" s="37" t="s">
        <v>43</v>
      </c>
      <c r="E2041" s="38" t="n">
        <f aca="false">'Matrice des notes'!O60</f>
        <v>1</v>
      </c>
      <c r="F2041" s="37" t="s">
        <v>816</v>
      </c>
      <c r="G2041" s="39" t="s">
        <v>866</v>
      </c>
    </row>
    <row r="2042" customFormat="false" ht="15" hidden="false" customHeight="false" outlineLevel="0" collapsed="false">
      <c r="A2042" s="37" t="s">
        <v>207</v>
      </c>
      <c r="B2042" s="37" t="s">
        <v>240</v>
      </c>
      <c r="C2042" s="37" t="s">
        <v>178</v>
      </c>
      <c r="D2042" s="37" t="s">
        <v>46</v>
      </c>
      <c r="E2042" s="38" t="n">
        <f aca="false">'Matrice des notes'!P60</f>
        <v>1</v>
      </c>
      <c r="F2042" s="37" t="s">
        <v>839</v>
      </c>
      <c r="G2042" s="39" t="s">
        <v>851</v>
      </c>
    </row>
    <row r="2043" customFormat="false" ht="15" hidden="false" customHeight="false" outlineLevel="0" collapsed="false">
      <c r="A2043" s="37" t="s">
        <v>207</v>
      </c>
      <c r="B2043" s="37" t="s">
        <v>240</v>
      </c>
      <c r="C2043" s="37" t="s">
        <v>179</v>
      </c>
      <c r="D2043" s="37" t="s">
        <v>49</v>
      </c>
      <c r="E2043" s="38" t="n">
        <f aca="false">'Matrice des notes'!Q60</f>
        <v>1</v>
      </c>
      <c r="F2043" s="37" t="s">
        <v>927</v>
      </c>
      <c r="G2043" s="39" t="s">
        <v>928</v>
      </c>
    </row>
    <row r="2044" customFormat="false" ht="15" hidden="false" customHeight="false" outlineLevel="0" collapsed="false">
      <c r="A2044" s="37" t="s">
        <v>207</v>
      </c>
      <c r="B2044" s="37" t="s">
        <v>240</v>
      </c>
      <c r="C2044" s="37" t="s">
        <v>179</v>
      </c>
      <c r="D2044" s="37" t="s">
        <v>53</v>
      </c>
      <c r="E2044" s="38" t="n">
        <f aca="false">'Matrice des notes'!R60</f>
        <v>3</v>
      </c>
      <c r="F2044" s="37" t="s">
        <v>903</v>
      </c>
      <c r="G2044" s="39" t="s">
        <v>932</v>
      </c>
    </row>
    <row r="2045" customFormat="false" ht="15" hidden="false" customHeight="false" outlineLevel="0" collapsed="false">
      <c r="A2045" s="37" t="s">
        <v>207</v>
      </c>
      <c r="B2045" s="37" t="s">
        <v>240</v>
      </c>
      <c r="C2045" s="37" t="s">
        <v>179</v>
      </c>
      <c r="D2045" s="37" t="s">
        <v>56</v>
      </c>
      <c r="E2045" s="38" t="n">
        <f aca="false">'Matrice des notes'!S60</f>
        <v>1</v>
      </c>
      <c r="F2045" s="37" t="s">
        <v>839</v>
      </c>
      <c r="G2045" s="39" t="s">
        <v>854</v>
      </c>
    </row>
    <row r="2046" customFormat="false" ht="15" hidden="false" customHeight="false" outlineLevel="0" collapsed="false">
      <c r="A2046" s="37" t="s">
        <v>207</v>
      </c>
      <c r="B2046" s="37" t="s">
        <v>240</v>
      </c>
      <c r="C2046" s="37" t="s">
        <v>179</v>
      </c>
      <c r="D2046" s="37" t="s">
        <v>59</v>
      </c>
      <c r="E2046" s="38" t="n">
        <f aca="false">'Matrice des notes'!T60</f>
        <v>1</v>
      </c>
      <c r="F2046" s="37" t="s">
        <v>839</v>
      </c>
      <c r="G2046" s="39" t="s">
        <v>855</v>
      </c>
    </row>
    <row r="2047" customFormat="false" ht="15" hidden="false" customHeight="false" outlineLevel="0" collapsed="false">
      <c r="A2047" s="37" t="s">
        <v>207</v>
      </c>
      <c r="B2047" s="37" t="s">
        <v>240</v>
      </c>
      <c r="C2047" s="37" t="s">
        <v>179</v>
      </c>
      <c r="D2047" s="37" t="s">
        <v>62</v>
      </c>
      <c r="E2047" s="38" t="n">
        <f aca="false">'Matrice des notes'!U60</f>
        <v>1</v>
      </c>
      <c r="F2047" s="37" t="s">
        <v>927</v>
      </c>
      <c r="G2047" s="39" t="s">
        <v>929</v>
      </c>
    </row>
    <row r="2048" customFormat="false" ht="15" hidden="false" customHeight="false" outlineLevel="0" collapsed="false">
      <c r="A2048" s="37" t="s">
        <v>207</v>
      </c>
      <c r="B2048" s="37" t="s">
        <v>240</v>
      </c>
      <c r="C2048" s="37" t="s">
        <v>179</v>
      </c>
      <c r="D2048" s="37" t="s">
        <v>65</v>
      </c>
      <c r="E2048" s="38" t="n">
        <f aca="false">'Matrice des notes'!V60</f>
        <v>3</v>
      </c>
      <c r="F2048" s="37" t="s">
        <v>903</v>
      </c>
      <c r="G2048" s="39" t="s">
        <v>904</v>
      </c>
    </row>
    <row r="2049" customFormat="false" ht="15" hidden="false" customHeight="false" outlineLevel="0" collapsed="false">
      <c r="A2049" s="37" t="s">
        <v>207</v>
      </c>
      <c r="B2049" s="37" t="s">
        <v>240</v>
      </c>
      <c r="C2049" s="37" t="s">
        <v>179</v>
      </c>
      <c r="D2049" s="37" t="s">
        <v>68</v>
      </c>
      <c r="E2049" s="38" t="n">
        <f aca="false">'Matrice des notes'!W60</f>
        <v>1</v>
      </c>
      <c r="F2049" s="37" t="s">
        <v>827</v>
      </c>
      <c r="G2049" s="39" t="s">
        <v>872</v>
      </c>
    </row>
    <row r="2050" customFormat="false" ht="15" hidden="false" customHeight="false" outlineLevel="0" collapsed="false">
      <c r="A2050" s="37" t="s">
        <v>207</v>
      </c>
      <c r="B2050" s="37" t="s">
        <v>240</v>
      </c>
      <c r="C2050" s="37" t="s">
        <v>179</v>
      </c>
      <c r="D2050" s="37" t="s">
        <v>71</v>
      </c>
      <c r="E2050" s="38" t="n">
        <f aca="false">'Matrice des notes'!X60</f>
        <v>1</v>
      </c>
      <c r="F2050" s="37" t="s">
        <v>708</v>
      </c>
      <c r="G2050" s="39" t="s">
        <v>857</v>
      </c>
    </row>
    <row r="2051" customFormat="false" ht="15" hidden="false" customHeight="false" outlineLevel="0" collapsed="false">
      <c r="A2051" s="37" t="s">
        <v>207</v>
      </c>
      <c r="B2051" s="37" t="s">
        <v>240</v>
      </c>
      <c r="C2051" s="37" t="s">
        <v>179</v>
      </c>
      <c r="D2051" s="37" t="s">
        <v>74</v>
      </c>
      <c r="E2051" s="38" t="n">
        <f aca="false">'Matrice des notes'!Y60</f>
        <v>3</v>
      </c>
      <c r="F2051" s="37" t="s">
        <v>673</v>
      </c>
      <c r="G2051" s="39" t="s">
        <v>896</v>
      </c>
    </row>
    <row r="2052" customFormat="false" ht="15" hidden="false" customHeight="false" outlineLevel="0" collapsed="false">
      <c r="A2052" s="37" t="s">
        <v>207</v>
      </c>
      <c r="B2052" s="37" t="s">
        <v>240</v>
      </c>
      <c r="C2052" s="37" t="s">
        <v>179</v>
      </c>
      <c r="D2052" s="37" t="s">
        <v>77</v>
      </c>
      <c r="E2052" s="38" t="n">
        <f aca="false">'Matrice des notes'!Z60</f>
        <v>1</v>
      </c>
      <c r="F2052" s="37" t="s">
        <v>842</v>
      </c>
      <c r="G2052" s="39" t="s">
        <v>858</v>
      </c>
    </row>
    <row r="2053" customFormat="false" ht="22.35" hidden="false" customHeight="false" outlineLevel="0" collapsed="false">
      <c r="A2053" s="37" t="s">
        <v>207</v>
      </c>
      <c r="B2053" s="37" t="s">
        <v>240</v>
      </c>
      <c r="C2053" s="37" t="s">
        <v>179</v>
      </c>
      <c r="D2053" s="37" t="s">
        <v>80</v>
      </c>
      <c r="E2053" s="38" t="n">
        <f aca="false">'Matrice des notes'!AA60</f>
        <v>4</v>
      </c>
      <c r="F2053" s="37" t="s">
        <v>874</v>
      </c>
      <c r="G2053" s="39" t="s">
        <v>897</v>
      </c>
    </row>
    <row r="2054" customFormat="false" ht="15" hidden="false" customHeight="false" outlineLevel="0" collapsed="false">
      <c r="A2054" s="37" t="s">
        <v>207</v>
      </c>
      <c r="B2054" s="37" t="s">
        <v>240</v>
      </c>
      <c r="C2054" s="37" t="s">
        <v>179</v>
      </c>
      <c r="D2054" s="37" t="s">
        <v>83</v>
      </c>
      <c r="E2054" s="38" t="n">
        <f aca="false">'Matrice des notes'!AB60</f>
        <v>3</v>
      </c>
      <c r="F2054" s="37" t="s">
        <v>970</v>
      </c>
      <c r="G2054" s="39" t="s">
        <v>971</v>
      </c>
    </row>
    <row r="2055" customFormat="false" ht="15" hidden="false" customHeight="false" outlineLevel="0" collapsed="false">
      <c r="A2055" s="37" t="s">
        <v>207</v>
      </c>
      <c r="B2055" s="37" t="s">
        <v>240</v>
      </c>
      <c r="C2055" s="37" t="s">
        <v>179</v>
      </c>
      <c r="D2055" s="37" t="s">
        <v>86</v>
      </c>
      <c r="E2055" s="38" t="n">
        <f aca="false">'Matrice des notes'!AC60</f>
        <v>4</v>
      </c>
      <c r="F2055" s="37" t="s">
        <v>861</v>
      </c>
      <c r="G2055" s="39" t="s">
        <v>943</v>
      </c>
    </row>
    <row r="2056" customFormat="false" ht="15" hidden="false" customHeight="false" outlineLevel="0" collapsed="false">
      <c r="A2056" s="37" t="s">
        <v>207</v>
      </c>
      <c r="B2056" s="37" t="s">
        <v>240</v>
      </c>
      <c r="C2056" s="37" t="s">
        <v>179</v>
      </c>
      <c r="D2056" s="37" t="s">
        <v>89</v>
      </c>
      <c r="E2056" s="38" t="n">
        <f aca="false">'Matrice des notes'!AD60</f>
        <v>4</v>
      </c>
      <c r="F2056" s="37" t="s">
        <v>810</v>
      </c>
      <c r="G2056" s="39" t="s">
        <v>905</v>
      </c>
    </row>
    <row r="2057" customFormat="false" ht="15" hidden="false" customHeight="false" outlineLevel="0" collapsed="false">
      <c r="A2057" s="37" t="s">
        <v>207</v>
      </c>
      <c r="B2057" s="37" t="s">
        <v>240</v>
      </c>
      <c r="C2057" s="37" t="s">
        <v>179</v>
      </c>
      <c r="D2057" s="37" t="s">
        <v>92</v>
      </c>
      <c r="E2057" s="38" t="n">
        <f aca="false">'Matrice des notes'!AE60</f>
        <v>3</v>
      </c>
      <c r="F2057" s="37" t="s">
        <v>966</v>
      </c>
      <c r="G2057" s="39" t="s">
        <v>967</v>
      </c>
    </row>
    <row r="2058" customFormat="false" ht="15" hidden="false" customHeight="false" outlineLevel="0" collapsed="false">
      <c r="A2058" s="37" t="s">
        <v>207</v>
      </c>
      <c r="B2058" s="37" t="s">
        <v>240</v>
      </c>
      <c r="C2058" s="37" t="s">
        <v>180</v>
      </c>
      <c r="D2058" s="37" t="s">
        <v>95</v>
      </c>
      <c r="E2058" s="38" t="n">
        <f aca="false">'Matrice des notes'!AF60</f>
        <v>1</v>
      </c>
      <c r="F2058" s="37" t="s">
        <v>631</v>
      </c>
      <c r="G2058" s="39" t="s">
        <v>654</v>
      </c>
    </row>
    <row r="2059" customFormat="false" ht="15" hidden="false" customHeight="false" outlineLevel="0" collapsed="false">
      <c r="A2059" s="37" t="s">
        <v>207</v>
      </c>
      <c r="B2059" s="37" t="s">
        <v>240</v>
      </c>
      <c r="C2059" s="37" t="s">
        <v>180</v>
      </c>
      <c r="D2059" s="37" t="s">
        <v>99</v>
      </c>
      <c r="E2059" s="38" t="n">
        <f aca="false">'Matrice des notes'!AG60</f>
        <v>1</v>
      </c>
      <c r="F2059" s="37" t="s">
        <v>655</v>
      </c>
      <c r="G2059" s="39" t="s">
        <v>656</v>
      </c>
    </row>
    <row r="2060" customFormat="false" ht="15" hidden="false" customHeight="false" outlineLevel="0" collapsed="false">
      <c r="A2060" s="37" t="s">
        <v>207</v>
      </c>
      <c r="B2060" s="37" t="s">
        <v>240</v>
      </c>
      <c r="C2060" s="37" t="s">
        <v>180</v>
      </c>
      <c r="D2060" s="37" t="s">
        <v>102</v>
      </c>
      <c r="E2060" s="38" t="n">
        <f aca="false">'Matrice des notes'!AH60</f>
        <v>1</v>
      </c>
      <c r="F2060" s="37" t="s">
        <v>655</v>
      </c>
      <c r="G2060" s="39" t="s">
        <v>656</v>
      </c>
    </row>
    <row r="2061" customFormat="false" ht="15" hidden="false" customHeight="false" outlineLevel="0" collapsed="false">
      <c r="A2061" s="37" t="s">
        <v>207</v>
      </c>
      <c r="B2061" s="37" t="s">
        <v>240</v>
      </c>
      <c r="C2061" s="37" t="s">
        <v>180</v>
      </c>
      <c r="D2061" s="37" t="s">
        <v>104</v>
      </c>
      <c r="E2061" s="38" t="n">
        <f aca="false">'Matrice des notes'!AI60</f>
        <v>1</v>
      </c>
      <c r="F2061" s="37" t="s">
        <v>631</v>
      </c>
      <c r="G2061" s="39" t="s">
        <v>654</v>
      </c>
    </row>
    <row r="2062" customFormat="false" ht="15" hidden="false" customHeight="false" outlineLevel="0" collapsed="false">
      <c r="A2062" s="37" t="s">
        <v>207</v>
      </c>
      <c r="B2062" s="37" t="s">
        <v>240</v>
      </c>
      <c r="C2062" s="37" t="s">
        <v>180</v>
      </c>
      <c r="D2062" s="37" t="s">
        <v>107</v>
      </c>
      <c r="E2062" s="38" t="n">
        <f aca="false">'Matrice des notes'!AJ60</f>
        <v>1</v>
      </c>
      <c r="F2062" s="37" t="s">
        <v>631</v>
      </c>
      <c r="G2062" s="39" t="s">
        <v>654</v>
      </c>
    </row>
    <row r="2063" customFormat="false" ht="15" hidden="false" customHeight="false" outlineLevel="0" collapsed="false">
      <c r="A2063" s="37" t="s">
        <v>207</v>
      </c>
      <c r="B2063" s="37" t="s">
        <v>240</v>
      </c>
      <c r="C2063" s="37" t="s">
        <v>180</v>
      </c>
      <c r="D2063" s="37" t="s">
        <v>110</v>
      </c>
      <c r="E2063" s="38" t="n">
        <f aca="false">'Matrice des notes'!AK60</f>
        <v>1</v>
      </c>
      <c r="F2063" s="37" t="s">
        <v>631</v>
      </c>
      <c r="G2063" s="39" t="s">
        <v>654</v>
      </c>
    </row>
    <row r="2064" customFormat="false" ht="15" hidden="false" customHeight="false" outlineLevel="0" collapsed="false">
      <c r="A2064" s="37" t="s">
        <v>207</v>
      </c>
      <c r="B2064" s="37" t="s">
        <v>240</v>
      </c>
      <c r="C2064" s="37" t="s">
        <v>180</v>
      </c>
      <c r="D2064" s="37" t="s">
        <v>113</v>
      </c>
      <c r="E2064" s="38" t="n">
        <f aca="false">'Matrice des notes'!AL60</f>
        <v>1</v>
      </c>
      <c r="F2064" s="37" t="s">
        <v>631</v>
      </c>
      <c r="G2064" s="39" t="s">
        <v>654</v>
      </c>
    </row>
    <row r="2065" customFormat="false" ht="15" hidden="false" customHeight="false" outlineLevel="0" collapsed="false">
      <c r="A2065" s="37" t="s">
        <v>207</v>
      </c>
      <c r="B2065" s="37" t="s">
        <v>240</v>
      </c>
      <c r="C2065" s="37" t="s">
        <v>180</v>
      </c>
      <c r="D2065" s="37" t="s">
        <v>116</v>
      </c>
      <c r="E2065" s="38" t="n">
        <f aca="false">'Matrice des notes'!AM60</f>
        <v>1</v>
      </c>
      <c r="F2065" s="37" t="s">
        <v>655</v>
      </c>
      <c r="G2065" s="39" t="s">
        <v>656</v>
      </c>
    </row>
    <row r="2066" customFormat="false" ht="15" hidden="false" customHeight="false" outlineLevel="0" collapsed="false">
      <c r="A2066" s="37" t="s">
        <v>207</v>
      </c>
      <c r="B2066" s="37" t="s">
        <v>240</v>
      </c>
      <c r="C2066" s="37" t="s">
        <v>180</v>
      </c>
      <c r="D2066" s="37" t="s">
        <v>119</v>
      </c>
      <c r="E2066" s="38" t="n">
        <f aca="false">'Matrice des notes'!AN60</f>
        <v>1</v>
      </c>
      <c r="F2066" s="37" t="s">
        <v>631</v>
      </c>
      <c r="G2066" s="39" t="s">
        <v>654</v>
      </c>
    </row>
    <row r="2067" customFormat="false" ht="15" hidden="false" customHeight="false" outlineLevel="0" collapsed="false">
      <c r="A2067" s="37" t="s">
        <v>207</v>
      </c>
      <c r="B2067" s="37" t="s">
        <v>240</v>
      </c>
      <c r="C2067" s="37" t="s">
        <v>180</v>
      </c>
      <c r="D2067" s="37" t="s">
        <v>121</v>
      </c>
      <c r="E2067" s="38" t="n">
        <f aca="false">'Matrice des notes'!AO60</f>
        <v>1</v>
      </c>
      <c r="F2067" s="37" t="s">
        <v>657</v>
      </c>
      <c r="G2067" s="39" t="s">
        <v>658</v>
      </c>
    </row>
    <row r="2068" customFormat="false" ht="15" hidden="false" customHeight="false" outlineLevel="0" collapsed="false">
      <c r="A2068" s="37" t="s">
        <v>207</v>
      </c>
      <c r="B2068" s="37" t="s">
        <v>240</v>
      </c>
      <c r="C2068" s="37" t="s">
        <v>180</v>
      </c>
      <c r="D2068" s="37" t="s">
        <v>124</v>
      </c>
      <c r="E2068" s="38" t="n">
        <f aca="false">'Matrice des notes'!AP60</f>
        <v>1</v>
      </c>
      <c r="F2068" s="37" t="s">
        <v>863</v>
      </c>
      <c r="G2068" s="39" t="s">
        <v>864</v>
      </c>
    </row>
    <row r="2069" customFormat="false" ht="22.35" hidden="false" customHeight="false" outlineLevel="0" collapsed="false">
      <c r="A2069" s="37" t="s">
        <v>207</v>
      </c>
      <c r="B2069" s="37" t="s">
        <v>241</v>
      </c>
      <c r="C2069" s="37" t="s">
        <v>178</v>
      </c>
      <c r="D2069" s="37" t="s">
        <v>7</v>
      </c>
      <c r="E2069" s="38" t="n">
        <f aca="false">'Matrice des notes'!D61</f>
        <v>1</v>
      </c>
      <c r="F2069" s="37" t="s">
        <v>720</v>
      </c>
      <c r="G2069" s="39" t="s">
        <v>890</v>
      </c>
    </row>
    <row r="2070" customFormat="false" ht="15" hidden="false" customHeight="false" outlineLevel="0" collapsed="false">
      <c r="A2070" s="37" t="s">
        <v>207</v>
      </c>
      <c r="B2070" s="37" t="s">
        <v>241</v>
      </c>
      <c r="C2070" s="37" t="s">
        <v>178</v>
      </c>
      <c r="D2070" s="37" t="s">
        <v>11</v>
      </c>
      <c r="E2070" s="38" t="n">
        <f aca="false">'Matrice des notes'!E61</f>
        <v>1</v>
      </c>
      <c r="F2070" s="37" t="s">
        <v>839</v>
      </c>
      <c r="G2070" s="39" t="s">
        <v>840</v>
      </c>
    </row>
    <row r="2071" customFormat="false" ht="15" hidden="false" customHeight="false" outlineLevel="0" collapsed="false">
      <c r="A2071" s="37" t="s">
        <v>207</v>
      </c>
      <c r="B2071" s="37" t="s">
        <v>241</v>
      </c>
      <c r="C2071" s="37" t="s">
        <v>178</v>
      </c>
      <c r="D2071" s="37" t="s">
        <v>14</v>
      </c>
      <c r="E2071" s="38" t="n">
        <f aca="false">'Matrice des notes'!F61</f>
        <v>1</v>
      </c>
      <c r="F2071" s="37" t="s">
        <v>677</v>
      </c>
      <c r="G2071" s="39" t="s">
        <v>841</v>
      </c>
    </row>
    <row r="2072" customFormat="false" ht="15" hidden="false" customHeight="false" outlineLevel="0" collapsed="false">
      <c r="A2072" s="37" t="s">
        <v>207</v>
      </c>
      <c r="B2072" s="37" t="s">
        <v>241</v>
      </c>
      <c r="C2072" s="37" t="s">
        <v>178</v>
      </c>
      <c r="D2072" s="37" t="s">
        <v>17</v>
      </c>
      <c r="E2072" s="38" t="n">
        <f aca="false">'Matrice des notes'!G61</f>
        <v>1</v>
      </c>
      <c r="F2072" s="37" t="s">
        <v>842</v>
      </c>
      <c r="G2072" s="39" t="s">
        <v>843</v>
      </c>
    </row>
    <row r="2073" customFormat="false" ht="15" hidden="false" customHeight="false" outlineLevel="0" collapsed="false">
      <c r="A2073" s="37" t="s">
        <v>207</v>
      </c>
      <c r="B2073" s="37" t="s">
        <v>241</v>
      </c>
      <c r="C2073" s="37" t="s">
        <v>178</v>
      </c>
      <c r="D2073" s="37" t="s">
        <v>20</v>
      </c>
      <c r="E2073" s="38" t="n">
        <f aca="false">'Matrice des notes'!H61</f>
        <v>1</v>
      </c>
      <c r="F2073" s="37" t="s">
        <v>839</v>
      </c>
      <c r="G2073" s="39" t="s">
        <v>844</v>
      </c>
    </row>
    <row r="2074" customFormat="false" ht="15" hidden="false" customHeight="false" outlineLevel="0" collapsed="false">
      <c r="A2074" s="37" t="s">
        <v>207</v>
      </c>
      <c r="B2074" s="37" t="s">
        <v>241</v>
      </c>
      <c r="C2074" s="37" t="s">
        <v>178</v>
      </c>
      <c r="D2074" s="37" t="s">
        <v>23</v>
      </c>
      <c r="E2074" s="38" t="n">
        <f aca="false">'Matrice des notes'!I61</f>
        <v>1</v>
      </c>
      <c r="F2074" s="37" t="s">
        <v>839</v>
      </c>
      <c r="G2074" s="39" t="s">
        <v>845</v>
      </c>
    </row>
    <row r="2075" customFormat="false" ht="15" hidden="false" customHeight="false" outlineLevel="0" collapsed="false">
      <c r="A2075" s="37" t="s">
        <v>207</v>
      </c>
      <c r="B2075" s="37" t="s">
        <v>241</v>
      </c>
      <c r="C2075" s="37" t="s">
        <v>178</v>
      </c>
      <c r="D2075" s="37" t="s">
        <v>26</v>
      </c>
      <c r="E2075" s="38" t="n">
        <f aca="false">'Matrice des notes'!J61</f>
        <v>1</v>
      </c>
      <c r="F2075" s="37" t="s">
        <v>835</v>
      </c>
      <c r="G2075" s="39" t="s">
        <v>846</v>
      </c>
    </row>
    <row r="2076" customFormat="false" ht="15" hidden="false" customHeight="false" outlineLevel="0" collapsed="false">
      <c r="A2076" s="37" t="s">
        <v>207</v>
      </c>
      <c r="B2076" s="37" t="s">
        <v>241</v>
      </c>
      <c r="C2076" s="37" t="s">
        <v>178</v>
      </c>
      <c r="D2076" s="37" t="s">
        <v>30</v>
      </c>
      <c r="E2076" s="38" t="n">
        <f aca="false">'Matrice des notes'!K61</f>
        <v>1</v>
      </c>
      <c r="F2076" s="37" t="s">
        <v>677</v>
      </c>
      <c r="G2076" s="39" t="s">
        <v>847</v>
      </c>
    </row>
    <row r="2077" customFormat="false" ht="15" hidden="false" customHeight="false" outlineLevel="0" collapsed="false">
      <c r="A2077" s="37" t="s">
        <v>207</v>
      </c>
      <c r="B2077" s="37" t="s">
        <v>241</v>
      </c>
      <c r="C2077" s="37" t="s">
        <v>178</v>
      </c>
      <c r="D2077" s="37" t="s">
        <v>34</v>
      </c>
      <c r="E2077" s="38" t="n">
        <f aca="false">'Matrice des notes'!L61</f>
        <v>2</v>
      </c>
      <c r="F2077" s="37" t="s">
        <v>891</v>
      </c>
      <c r="G2077" s="39" t="s">
        <v>892</v>
      </c>
    </row>
    <row r="2078" customFormat="false" ht="15" hidden="false" customHeight="false" outlineLevel="0" collapsed="false">
      <c r="A2078" s="37" t="s">
        <v>207</v>
      </c>
      <c r="B2078" s="37" t="s">
        <v>241</v>
      </c>
      <c r="C2078" s="37" t="s">
        <v>178</v>
      </c>
      <c r="D2078" s="37" t="s">
        <v>37</v>
      </c>
      <c r="E2078" s="38" t="n">
        <f aca="false">'Matrice des notes'!M61</f>
        <v>1</v>
      </c>
      <c r="F2078" s="37" t="s">
        <v>812</v>
      </c>
      <c r="G2078" s="39" t="s">
        <v>813</v>
      </c>
    </row>
    <row r="2079" customFormat="false" ht="15" hidden="false" customHeight="false" outlineLevel="0" collapsed="false">
      <c r="A2079" s="37" t="s">
        <v>207</v>
      </c>
      <c r="B2079" s="37" t="s">
        <v>241</v>
      </c>
      <c r="C2079" s="37" t="s">
        <v>178</v>
      </c>
      <c r="D2079" s="37" t="s">
        <v>40</v>
      </c>
      <c r="E2079" s="38" t="n">
        <f aca="false">'Matrice des notes'!N61</f>
        <v>1</v>
      </c>
      <c r="F2079" s="37" t="s">
        <v>849</v>
      </c>
      <c r="G2079" s="39" t="s">
        <v>850</v>
      </c>
    </row>
    <row r="2080" customFormat="false" ht="15" hidden="false" customHeight="false" outlineLevel="0" collapsed="false">
      <c r="A2080" s="37" t="s">
        <v>207</v>
      </c>
      <c r="B2080" s="37" t="s">
        <v>241</v>
      </c>
      <c r="C2080" s="37" t="s">
        <v>178</v>
      </c>
      <c r="D2080" s="37" t="s">
        <v>43</v>
      </c>
      <c r="E2080" s="38" t="n">
        <f aca="false">'Matrice des notes'!O61</f>
        <v>1</v>
      </c>
      <c r="F2080" s="37" t="s">
        <v>816</v>
      </c>
      <c r="G2080" s="39" t="s">
        <v>866</v>
      </c>
    </row>
    <row r="2081" customFormat="false" ht="15" hidden="false" customHeight="false" outlineLevel="0" collapsed="false">
      <c r="A2081" s="37" t="s">
        <v>207</v>
      </c>
      <c r="B2081" s="37" t="s">
        <v>241</v>
      </c>
      <c r="C2081" s="37" t="s">
        <v>178</v>
      </c>
      <c r="D2081" s="37" t="s">
        <v>46</v>
      </c>
      <c r="E2081" s="38" t="n">
        <f aca="false">'Matrice des notes'!P61</f>
        <v>1</v>
      </c>
      <c r="F2081" s="37" t="s">
        <v>839</v>
      </c>
      <c r="G2081" s="39" t="s">
        <v>851</v>
      </c>
    </row>
    <row r="2082" customFormat="false" ht="22.35" hidden="false" customHeight="false" outlineLevel="0" collapsed="false">
      <c r="A2082" s="37" t="s">
        <v>207</v>
      </c>
      <c r="B2082" s="37" t="s">
        <v>241</v>
      </c>
      <c r="C2082" s="37" t="s">
        <v>179</v>
      </c>
      <c r="D2082" s="37" t="s">
        <v>49</v>
      </c>
      <c r="E2082" s="38" t="n">
        <f aca="false">'Matrice des notes'!Q61</f>
        <v>1</v>
      </c>
      <c r="F2082" s="37" t="s">
        <v>867</v>
      </c>
      <c r="G2082" s="39" t="s">
        <v>868</v>
      </c>
    </row>
    <row r="2083" customFormat="false" ht="15" hidden="false" customHeight="false" outlineLevel="0" collapsed="false">
      <c r="A2083" s="37" t="s">
        <v>207</v>
      </c>
      <c r="B2083" s="37" t="s">
        <v>241</v>
      </c>
      <c r="C2083" s="37" t="s">
        <v>179</v>
      </c>
      <c r="D2083" s="37" t="s">
        <v>53</v>
      </c>
      <c r="E2083" s="38" t="n">
        <f aca="false">'Matrice des notes'!R61</f>
        <v>2</v>
      </c>
      <c r="F2083" s="37" t="s">
        <v>891</v>
      </c>
      <c r="G2083" s="39" t="s">
        <v>893</v>
      </c>
    </row>
    <row r="2084" customFormat="false" ht="15" hidden="false" customHeight="false" outlineLevel="0" collapsed="false">
      <c r="A2084" s="37" t="s">
        <v>207</v>
      </c>
      <c r="B2084" s="37" t="s">
        <v>241</v>
      </c>
      <c r="C2084" s="37" t="s">
        <v>179</v>
      </c>
      <c r="D2084" s="37" t="s">
        <v>56</v>
      </c>
      <c r="E2084" s="38" t="n">
        <f aca="false">'Matrice des notes'!S61</f>
        <v>1</v>
      </c>
      <c r="F2084" s="37" t="s">
        <v>839</v>
      </c>
      <c r="G2084" s="39" t="s">
        <v>854</v>
      </c>
    </row>
    <row r="2085" customFormat="false" ht="15" hidden="false" customHeight="false" outlineLevel="0" collapsed="false">
      <c r="A2085" s="37" t="s">
        <v>207</v>
      </c>
      <c r="B2085" s="37" t="s">
        <v>241</v>
      </c>
      <c r="C2085" s="37" t="s">
        <v>179</v>
      </c>
      <c r="D2085" s="37" t="s">
        <v>59</v>
      </c>
      <c r="E2085" s="38" t="n">
        <f aca="false">'Matrice des notes'!T61</f>
        <v>1</v>
      </c>
      <c r="F2085" s="37" t="s">
        <v>839</v>
      </c>
      <c r="G2085" s="39" t="s">
        <v>855</v>
      </c>
    </row>
    <row r="2086" customFormat="false" ht="22.35" hidden="false" customHeight="false" outlineLevel="0" collapsed="false">
      <c r="A2086" s="37" t="s">
        <v>207</v>
      </c>
      <c r="B2086" s="37" t="s">
        <v>241</v>
      </c>
      <c r="C2086" s="37" t="s">
        <v>179</v>
      </c>
      <c r="D2086" s="37" t="s">
        <v>62</v>
      </c>
      <c r="E2086" s="38" t="n">
        <f aca="false">'Matrice des notes'!U61</f>
        <v>1</v>
      </c>
      <c r="F2086" s="37" t="s">
        <v>867</v>
      </c>
      <c r="G2086" s="39" t="s">
        <v>869</v>
      </c>
    </row>
    <row r="2087" customFormat="false" ht="15" hidden="false" customHeight="false" outlineLevel="0" collapsed="false">
      <c r="A2087" s="37" t="s">
        <v>207</v>
      </c>
      <c r="B2087" s="37" t="s">
        <v>241</v>
      </c>
      <c r="C2087" s="37" t="s">
        <v>179</v>
      </c>
      <c r="D2087" s="37" t="s">
        <v>65</v>
      </c>
      <c r="E2087" s="38" t="n">
        <f aca="false">'Matrice des notes'!V61</f>
        <v>3</v>
      </c>
      <c r="F2087" s="37" t="s">
        <v>903</v>
      </c>
      <c r="G2087" s="39" t="s">
        <v>904</v>
      </c>
    </row>
    <row r="2088" customFormat="false" ht="15" hidden="false" customHeight="false" outlineLevel="0" collapsed="false">
      <c r="A2088" s="37" t="s">
        <v>207</v>
      </c>
      <c r="B2088" s="37" t="s">
        <v>241</v>
      </c>
      <c r="C2088" s="37" t="s">
        <v>179</v>
      </c>
      <c r="D2088" s="37" t="s">
        <v>68</v>
      </c>
      <c r="E2088" s="38" t="n">
        <f aca="false">'Matrice des notes'!W61</f>
        <v>1</v>
      </c>
      <c r="F2088" s="37" t="s">
        <v>827</v>
      </c>
      <c r="G2088" s="39" t="s">
        <v>872</v>
      </c>
    </row>
    <row r="2089" customFormat="false" ht="15" hidden="false" customHeight="false" outlineLevel="0" collapsed="false">
      <c r="A2089" s="37" t="s">
        <v>207</v>
      </c>
      <c r="B2089" s="37" t="s">
        <v>241</v>
      </c>
      <c r="C2089" s="37" t="s">
        <v>179</v>
      </c>
      <c r="D2089" s="37" t="s">
        <v>71</v>
      </c>
      <c r="E2089" s="38" t="n">
        <f aca="false">'Matrice des notes'!X61</f>
        <v>1</v>
      </c>
      <c r="F2089" s="37" t="s">
        <v>708</v>
      </c>
      <c r="G2089" s="39" t="s">
        <v>857</v>
      </c>
    </row>
    <row r="2090" customFormat="false" ht="15" hidden="false" customHeight="false" outlineLevel="0" collapsed="false">
      <c r="A2090" s="37" t="s">
        <v>207</v>
      </c>
      <c r="B2090" s="37" t="s">
        <v>241</v>
      </c>
      <c r="C2090" s="37" t="s">
        <v>179</v>
      </c>
      <c r="D2090" s="37" t="s">
        <v>74</v>
      </c>
      <c r="E2090" s="38" t="n">
        <f aca="false">'Matrice des notes'!Y61</f>
        <v>3</v>
      </c>
      <c r="F2090" s="37" t="s">
        <v>673</v>
      </c>
      <c r="G2090" s="39" t="s">
        <v>896</v>
      </c>
    </row>
    <row r="2091" customFormat="false" ht="15" hidden="false" customHeight="false" outlineLevel="0" collapsed="false">
      <c r="A2091" s="37" t="s">
        <v>207</v>
      </c>
      <c r="B2091" s="37" t="s">
        <v>241</v>
      </c>
      <c r="C2091" s="37" t="s">
        <v>179</v>
      </c>
      <c r="D2091" s="37" t="s">
        <v>77</v>
      </c>
      <c r="E2091" s="38" t="n">
        <f aca="false">'Matrice des notes'!Z61</f>
        <v>1</v>
      </c>
      <c r="F2091" s="37" t="s">
        <v>842</v>
      </c>
      <c r="G2091" s="39" t="s">
        <v>858</v>
      </c>
    </row>
    <row r="2092" customFormat="false" ht="15" hidden="false" customHeight="false" outlineLevel="0" collapsed="false">
      <c r="A2092" s="37" t="s">
        <v>207</v>
      </c>
      <c r="B2092" s="37" t="s">
        <v>241</v>
      </c>
      <c r="C2092" s="37" t="s">
        <v>179</v>
      </c>
      <c r="D2092" s="37" t="s">
        <v>80</v>
      </c>
      <c r="E2092" s="38" t="n">
        <f aca="false">'Matrice des notes'!AA61</f>
        <v>3</v>
      </c>
      <c r="F2092" s="37" t="s">
        <v>907</v>
      </c>
      <c r="G2092" s="39" t="s">
        <v>908</v>
      </c>
    </row>
    <row r="2093" customFormat="false" ht="22.35" hidden="false" customHeight="false" outlineLevel="0" collapsed="false">
      <c r="A2093" s="37" t="s">
        <v>207</v>
      </c>
      <c r="B2093" s="37" t="s">
        <v>241</v>
      </c>
      <c r="C2093" s="37" t="s">
        <v>179</v>
      </c>
      <c r="D2093" s="37" t="s">
        <v>83</v>
      </c>
      <c r="E2093" s="38" t="n">
        <f aca="false">'Matrice des notes'!AB61</f>
        <v>1</v>
      </c>
      <c r="F2093" s="37" t="s">
        <v>898</v>
      </c>
      <c r="G2093" s="39" t="s">
        <v>899</v>
      </c>
    </row>
    <row r="2094" customFormat="false" ht="15" hidden="false" customHeight="false" outlineLevel="0" collapsed="false">
      <c r="A2094" s="37" t="s">
        <v>207</v>
      </c>
      <c r="B2094" s="37" t="s">
        <v>241</v>
      </c>
      <c r="C2094" s="37" t="s">
        <v>179</v>
      </c>
      <c r="D2094" s="37" t="s">
        <v>86</v>
      </c>
      <c r="E2094" s="38" t="n">
        <f aca="false">'Matrice des notes'!AC61</f>
        <v>3</v>
      </c>
      <c r="F2094" s="37" t="s">
        <v>935</v>
      </c>
      <c r="G2094" s="39" t="s">
        <v>936</v>
      </c>
    </row>
    <row r="2095" customFormat="false" ht="15" hidden="false" customHeight="false" outlineLevel="0" collapsed="false">
      <c r="A2095" s="37" t="s">
        <v>207</v>
      </c>
      <c r="B2095" s="37" t="s">
        <v>241</v>
      </c>
      <c r="C2095" s="37" t="s">
        <v>179</v>
      </c>
      <c r="D2095" s="37" t="s">
        <v>89</v>
      </c>
      <c r="E2095" s="38" t="n">
        <f aca="false">'Matrice des notes'!AD61</f>
        <v>3</v>
      </c>
      <c r="F2095" s="37" t="s">
        <v>937</v>
      </c>
      <c r="G2095" s="39" t="s">
        <v>938</v>
      </c>
    </row>
    <row r="2096" customFormat="false" ht="15" hidden="false" customHeight="false" outlineLevel="0" collapsed="false">
      <c r="A2096" s="37" t="s">
        <v>207</v>
      </c>
      <c r="B2096" s="37" t="s">
        <v>241</v>
      </c>
      <c r="C2096" s="37" t="s">
        <v>179</v>
      </c>
      <c r="D2096" s="37" t="s">
        <v>92</v>
      </c>
      <c r="E2096" s="38" t="n">
        <f aca="false">'Matrice des notes'!AE61</f>
        <v>2</v>
      </c>
      <c r="F2096" s="37" t="s">
        <v>900</v>
      </c>
      <c r="G2096" s="39" t="s">
        <v>901</v>
      </c>
    </row>
    <row r="2097" customFormat="false" ht="15" hidden="false" customHeight="false" outlineLevel="0" collapsed="false">
      <c r="A2097" s="37" t="s">
        <v>207</v>
      </c>
      <c r="B2097" s="37" t="s">
        <v>241</v>
      </c>
      <c r="C2097" s="37" t="s">
        <v>180</v>
      </c>
      <c r="D2097" s="37" t="s">
        <v>95</v>
      </c>
      <c r="E2097" s="38" t="n">
        <f aca="false">'Matrice des notes'!AF61</f>
        <v>1</v>
      </c>
      <c r="F2097" s="37" t="s">
        <v>631</v>
      </c>
      <c r="G2097" s="39" t="s">
        <v>654</v>
      </c>
    </row>
    <row r="2098" customFormat="false" ht="15" hidden="false" customHeight="false" outlineLevel="0" collapsed="false">
      <c r="A2098" s="37" t="s">
        <v>207</v>
      </c>
      <c r="B2098" s="37" t="s">
        <v>241</v>
      </c>
      <c r="C2098" s="37" t="s">
        <v>180</v>
      </c>
      <c r="D2098" s="37" t="s">
        <v>99</v>
      </c>
      <c r="E2098" s="38" t="n">
        <f aca="false">'Matrice des notes'!AG61</f>
        <v>1</v>
      </c>
      <c r="F2098" s="37" t="s">
        <v>655</v>
      </c>
      <c r="G2098" s="39" t="s">
        <v>656</v>
      </c>
    </row>
    <row r="2099" customFormat="false" ht="15" hidden="false" customHeight="false" outlineLevel="0" collapsed="false">
      <c r="A2099" s="37" t="s">
        <v>207</v>
      </c>
      <c r="B2099" s="37" t="s">
        <v>241</v>
      </c>
      <c r="C2099" s="37" t="s">
        <v>180</v>
      </c>
      <c r="D2099" s="37" t="s">
        <v>102</v>
      </c>
      <c r="E2099" s="38" t="n">
        <f aca="false">'Matrice des notes'!AH61</f>
        <v>1</v>
      </c>
      <c r="F2099" s="37" t="s">
        <v>655</v>
      </c>
      <c r="G2099" s="39" t="s">
        <v>656</v>
      </c>
    </row>
    <row r="2100" customFormat="false" ht="15" hidden="false" customHeight="false" outlineLevel="0" collapsed="false">
      <c r="A2100" s="37" t="s">
        <v>207</v>
      </c>
      <c r="B2100" s="37" t="s">
        <v>241</v>
      </c>
      <c r="C2100" s="37" t="s">
        <v>180</v>
      </c>
      <c r="D2100" s="37" t="s">
        <v>104</v>
      </c>
      <c r="E2100" s="38" t="n">
        <f aca="false">'Matrice des notes'!AI61</f>
        <v>1</v>
      </c>
      <c r="F2100" s="37" t="s">
        <v>631</v>
      </c>
      <c r="G2100" s="39" t="s">
        <v>654</v>
      </c>
    </row>
    <row r="2101" customFormat="false" ht="15" hidden="false" customHeight="false" outlineLevel="0" collapsed="false">
      <c r="A2101" s="37" t="s">
        <v>207</v>
      </c>
      <c r="B2101" s="37" t="s">
        <v>241</v>
      </c>
      <c r="C2101" s="37" t="s">
        <v>180</v>
      </c>
      <c r="D2101" s="37" t="s">
        <v>107</v>
      </c>
      <c r="E2101" s="38" t="n">
        <f aca="false">'Matrice des notes'!AJ61</f>
        <v>1</v>
      </c>
      <c r="F2101" s="37" t="s">
        <v>631</v>
      </c>
      <c r="G2101" s="39" t="s">
        <v>654</v>
      </c>
    </row>
    <row r="2102" customFormat="false" ht="15" hidden="false" customHeight="false" outlineLevel="0" collapsed="false">
      <c r="A2102" s="37" t="s">
        <v>207</v>
      </c>
      <c r="B2102" s="37" t="s">
        <v>241</v>
      </c>
      <c r="C2102" s="37" t="s">
        <v>180</v>
      </c>
      <c r="D2102" s="37" t="s">
        <v>110</v>
      </c>
      <c r="E2102" s="38" t="n">
        <f aca="false">'Matrice des notes'!AK61</f>
        <v>1</v>
      </c>
      <c r="F2102" s="37" t="s">
        <v>631</v>
      </c>
      <c r="G2102" s="39" t="s">
        <v>654</v>
      </c>
    </row>
    <row r="2103" customFormat="false" ht="15" hidden="false" customHeight="false" outlineLevel="0" collapsed="false">
      <c r="A2103" s="37" t="s">
        <v>207</v>
      </c>
      <c r="B2103" s="37" t="s">
        <v>241</v>
      </c>
      <c r="C2103" s="37" t="s">
        <v>180</v>
      </c>
      <c r="D2103" s="37" t="s">
        <v>113</v>
      </c>
      <c r="E2103" s="38" t="n">
        <f aca="false">'Matrice des notes'!AL61</f>
        <v>1</v>
      </c>
      <c r="F2103" s="37" t="s">
        <v>631</v>
      </c>
      <c r="G2103" s="39" t="s">
        <v>654</v>
      </c>
    </row>
    <row r="2104" customFormat="false" ht="15" hidden="false" customHeight="false" outlineLevel="0" collapsed="false">
      <c r="A2104" s="37" t="s">
        <v>207</v>
      </c>
      <c r="B2104" s="37" t="s">
        <v>241</v>
      </c>
      <c r="C2104" s="37" t="s">
        <v>180</v>
      </c>
      <c r="D2104" s="37" t="s">
        <v>116</v>
      </c>
      <c r="E2104" s="38" t="n">
        <f aca="false">'Matrice des notes'!AM61</f>
        <v>1</v>
      </c>
      <c r="F2104" s="37" t="s">
        <v>655</v>
      </c>
      <c r="G2104" s="39" t="s">
        <v>656</v>
      </c>
    </row>
    <row r="2105" customFormat="false" ht="15" hidden="false" customHeight="false" outlineLevel="0" collapsed="false">
      <c r="A2105" s="37" t="s">
        <v>207</v>
      </c>
      <c r="B2105" s="37" t="s">
        <v>241</v>
      </c>
      <c r="C2105" s="37" t="s">
        <v>180</v>
      </c>
      <c r="D2105" s="37" t="s">
        <v>119</v>
      </c>
      <c r="E2105" s="38" t="n">
        <f aca="false">'Matrice des notes'!AN61</f>
        <v>1</v>
      </c>
      <c r="F2105" s="37" t="s">
        <v>631</v>
      </c>
      <c r="G2105" s="39" t="s">
        <v>654</v>
      </c>
    </row>
    <row r="2106" customFormat="false" ht="15" hidden="false" customHeight="false" outlineLevel="0" collapsed="false">
      <c r="A2106" s="37" t="s">
        <v>207</v>
      </c>
      <c r="B2106" s="37" t="s">
        <v>241</v>
      </c>
      <c r="C2106" s="37" t="s">
        <v>180</v>
      </c>
      <c r="D2106" s="37" t="s">
        <v>121</v>
      </c>
      <c r="E2106" s="38" t="n">
        <f aca="false">'Matrice des notes'!AO61</f>
        <v>1</v>
      </c>
      <c r="F2106" s="37" t="s">
        <v>657</v>
      </c>
      <c r="G2106" s="39" t="s">
        <v>658</v>
      </c>
    </row>
    <row r="2107" customFormat="false" ht="15" hidden="false" customHeight="false" outlineLevel="0" collapsed="false">
      <c r="A2107" s="37" t="s">
        <v>207</v>
      </c>
      <c r="B2107" s="37" t="s">
        <v>241</v>
      </c>
      <c r="C2107" s="37" t="s">
        <v>180</v>
      </c>
      <c r="D2107" s="37" t="s">
        <v>124</v>
      </c>
      <c r="E2107" s="38" t="n">
        <f aca="false">'Matrice des notes'!AP61</f>
        <v>1</v>
      </c>
      <c r="F2107" s="37" t="s">
        <v>863</v>
      </c>
      <c r="G2107" s="39" t="s">
        <v>864</v>
      </c>
    </row>
    <row r="2108" customFormat="false" ht="22.35" hidden="false" customHeight="false" outlineLevel="0" collapsed="false">
      <c r="A2108" s="37" t="s">
        <v>207</v>
      </c>
      <c r="B2108" s="37" t="s">
        <v>242</v>
      </c>
      <c r="C2108" s="37" t="s">
        <v>178</v>
      </c>
      <c r="D2108" s="37" t="s">
        <v>7</v>
      </c>
      <c r="E2108" s="38" t="n">
        <f aca="false">'Matrice des notes'!D62</f>
        <v>1</v>
      </c>
      <c r="F2108" s="37" t="s">
        <v>720</v>
      </c>
      <c r="G2108" s="39" t="s">
        <v>890</v>
      </c>
    </row>
    <row r="2109" customFormat="false" ht="15" hidden="false" customHeight="false" outlineLevel="0" collapsed="false">
      <c r="A2109" s="37" t="s">
        <v>207</v>
      </c>
      <c r="B2109" s="37" t="s">
        <v>242</v>
      </c>
      <c r="C2109" s="37" t="s">
        <v>178</v>
      </c>
      <c r="D2109" s="37" t="s">
        <v>11</v>
      </c>
      <c r="E2109" s="38" t="n">
        <f aca="false">'Matrice des notes'!E62</f>
        <v>1</v>
      </c>
      <c r="F2109" s="37" t="s">
        <v>839</v>
      </c>
      <c r="G2109" s="39" t="s">
        <v>840</v>
      </c>
    </row>
    <row r="2110" customFormat="false" ht="15" hidden="false" customHeight="false" outlineLevel="0" collapsed="false">
      <c r="A2110" s="37" t="s">
        <v>207</v>
      </c>
      <c r="B2110" s="37" t="s">
        <v>242</v>
      </c>
      <c r="C2110" s="37" t="s">
        <v>178</v>
      </c>
      <c r="D2110" s="37" t="s">
        <v>14</v>
      </c>
      <c r="E2110" s="38" t="n">
        <f aca="false">'Matrice des notes'!F62</f>
        <v>1</v>
      </c>
      <c r="F2110" s="37" t="s">
        <v>677</v>
      </c>
      <c r="G2110" s="39" t="s">
        <v>841</v>
      </c>
    </row>
    <row r="2111" customFormat="false" ht="15" hidden="false" customHeight="false" outlineLevel="0" collapsed="false">
      <c r="A2111" s="37" t="s">
        <v>207</v>
      </c>
      <c r="B2111" s="37" t="s">
        <v>242</v>
      </c>
      <c r="C2111" s="37" t="s">
        <v>178</v>
      </c>
      <c r="D2111" s="37" t="s">
        <v>17</v>
      </c>
      <c r="E2111" s="38" t="n">
        <f aca="false">'Matrice des notes'!G62</f>
        <v>1</v>
      </c>
      <c r="F2111" s="37" t="s">
        <v>842</v>
      </c>
      <c r="G2111" s="39" t="s">
        <v>843</v>
      </c>
    </row>
    <row r="2112" customFormat="false" ht="15" hidden="false" customHeight="false" outlineLevel="0" collapsed="false">
      <c r="A2112" s="37" t="s">
        <v>207</v>
      </c>
      <c r="B2112" s="37" t="s">
        <v>242</v>
      </c>
      <c r="C2112" s="37" t="s">
        <v>178</v>
      </c>
      <c r="D2112" s="37" t="s">
        <v>20</v>
      </c>
      <c r="E2112" s="38" t="n">
        <f aca="false">'Matrice des notes'!H62</f>
        <v>1</v>
      </c>
      <c r="F2112" s="37" t="s">
        <v>839</v>
      </c>
      <c r="G2112" s="39" t="s">
        <v>844</v>
      </c>
    </row>
    <row r="2113" customFormat="false" ht="15" hidden="false" customHeight="false" outlineLevel="0" collapsed="false">
      <c r="A2113" s="37" t="s">
        <v>207</v>
      </c>
      <c r="B2113" s="37" t="s">
        <v>242</v>
      </c>
      <c r="C2113" s="37" t="s">
        <v>178</v>
      </c>
      <c r="D2113" s="37" t="s">
        <v>23</v>
      </c>
      <c r="E2113" s="38" t="n">
        <f aca="false">'Matrice des notes'!I62</f>
        <v>1</v>
      </c>
      <c r="F2113" s="37" t="s">
        <v>839</v>
      </c>
      <c r="G2113" s="39" t="s">
        <v>845</v>
      </c>
    </row>
    <row r="2114" customFormat="false" ht="15" hidden="false" customHeight="false" outlineLevel="0" collapsed="false">
      <c r="A2114" s="37" t="s">
        <v>207</v>
      </c>
      <c r="B2114" s="37" t="s">
        <v>242</v>
      </c>
      <c r="C2114" s="37" t="s">
        <v>178</v>
      </c>
      <c r="D2114" s="37" t="s">
        <v>26</v>
      </c>
      <c r="E2114" s="38" t="n">
        <f aca="false">'Matrice des notes'!J62</f>
        <v>1</v>
      </c>
      <c r="F2114" s="37" t="s">
        <v>835</v>
      </c>
      <c r="G2114" s="39" t="s">
        <v>846</v>
      </c>
    </row>
    <row r="2115" customFormat="false" ht="15" hidden="false" customHeight="false" outlineLevel="0" collapsed="false">
      <c r="A2115" s="37" t="s">
        <v>207</v>
      </c>
      <c r="B2115" s="37" t="s">
        <v>242</v>
      </c>
      <c r="C2115" s="37" t="s">
        <v>178</v>
      </c>
      <c r="D2115" s="37" t="s">
        <v>30</v>
      </c>
      <c r="E2115" s="38" t="n">
        <f aca="false">'Matrice des notes'!K62</f>
        <v>1</v>
      </c>
      <c r="F2115" s="37" t="s">
        <v>677</v>
      </c>
      <c r="G2115" s="39" t="s">
        <v>847</v>
      </c>
    </row>
    <row r="2116" customFormat="false" ht="15" hidden="false" customHeight="false" outlineLevel="0" collapsed="false">
      <c r="A2116" s="37" t="s">
        <v>207</v>
      </c>
      <c r="B2116" s="37" t="s">
        <v>242</v>
      </c>
      <c r="C2116" s="37" t="s">
        <v>178</v>
      </c>
      <c r="D2116" s="37" t="s">
        <v>34</v>
      </c>
      <c r="E2116" s="38" t="n">
        <f aca="false">'Matrice des notes'!L62</f>
        <v>1</v>
      </c>
      <c r="F2116" s="37" t="s">
        <v>891</v>
      </c>
      <c r="G2116" s="39" t="s">
        <v>892</v>
      </c>
    </row>
    <row r="2117" customFormat="false" ht="15" hidden="false" customHeight="false" outlineLevel="0" collapsed="false">
      <c r="A2117" s="37" t="s">
        <v>207</v>
      </c>
      <c r="B2117" s="37" t="s">
        <v>242</v>
      </c>
      <c r="C2117" s="37" t="s">
        <v>178</v>
      </c>
      <c r="D2117" s="37" t="s">
        <v>37</v>
      </c>
      <c r="E2117" s="38" t="n">
        <f aca="false">'Matrice des notes'!M62</f>
        <v>1</v>
      </c>
      <c r="F2117" s="37" t="s">
        <v>812</v>
      </c>
      <c r="G2117" s="39" t="s">
        <v>813</v>
      </c>
    </row>
    <row r="2118" customFormat="false" ht="15" hidden="false" customHeight="false" outlineLevel="0" collapsed="false">
      <c r="A2118" s="37" t="s">
        <v>207</v>
      </c>
      <c r="B2118" s="37" t="s">
        <v>242</v>
      </c>
      <c r="C2118" s="37" t="s">
        <v>178</v>
      </c>
      <c r="D2118" s="37" t="s">
        <v>40</v>
      </c>
      <c r="E2118" s="38" t="n">
        <f aca="false">'Matrice des notes'!N62</f>
        <v>1</v>
      </c>
      <c r="F2118" s="37" t="s">
        <v>849</v>
      </c>
      <c r="G2118" s="39" t="s">
        <v>850</v>
      </c>
    </row>
    <row r="2119" customFormat="false" ht="15" hidden="false" customHeight="false" outlineLevel="0" collapsed="false">
      <c r="A2119" s="37" t="s">
        <v>207</v>
      </c>
      <c r="B2119" s="37" t="s">
        <v>242</v>
      </c>
      <c r="C2119" s="37" t="s">
        <v>178</v>
      </c>
      <c r="D2119" s="37" t="s">
        <v>43</v>
      </c>
      <c r="E2119" s="38" t="n">
        <f aca="false">'Matrice des notes'!O62</f>
        <v>1</v>
      </c>
      <c r="F2119" s="37" t="s">
        <v>816</v>
      </c>
      <c r="G2119" s="39" t="s">
        <v>866</v>
      </c>
    </row>
    <row r="2120" customFormat="false" ht="15" hidden="false" customHeight="false" outlineLevel="0" collapsed="false">
      <c r="A2120" s="37" t="s">
        <v>207</v>
      </c>
      <c r="B2120" s="37" t="s">
        <v>242</v>
      </c>
      <c r="C2120" s="37" t="s">
        <v>178</v>
      </c>
      <c r="D2120" s="37" t="s">
        <v>46</v>
      </c>
      <c r="E2120" s="38" t="n">
        <f aca="false">'Matrice des notes'!P62</f>
        <v>1</v>
      </c>
      <c r="F2120" s="37" t="s">
        <v>839</v>
      </c>
      <c r="G2120" s="39" t="s">
        <v>851</v>
      </c>
    </row>
    <row r="2121" customFormat="false" ht="15" hidden="false" customHeight="false" outlineLevel="0" collapsed="false">
      <c r="A2121" s="37" t="s">
        <v>207</v>
      </c>
      <c r="B2121" s="37" t="s">
        <v>242</v>
      </c>
      <c r="C2121" s="37" t="s">
        <v>179</v>
      </c>
      <c r="D2121" s="37" t="s">
        <v>49</v>
      </c>
      <c r="E2121" s="38" t="n">
        <f aca="false">'Matrice des notes'!Q62</f>
        <v>1</v>
      </c>
      <c r="F2121" s="37" t="s">
        <v>927</v>
      </c>
      <c r="G2121" s="39" t="s">
        <v>928</v>
      </c>
    </row>
    <row r="2122" customFormat="false" ht="15" hidden="false" customHeight="false" outlineLevel="0" collapsed="false">
      <c r="A2122" s="37" t="s">
        <v>207</v>
      </c>
      <c r="B2122" s="37" t="s">
        <v>242</v>
      </c>
      <c r="C2122" s="37" t="s">
        <v>179</v>
      </c>
      <c r="D2122" s="37" t="s">
        <v>53</v>
      </c>
      <c r="E2122" s="38" t="n">
        <f aca="false">'Matrice des notes'!R62</f>
        <v>1</v>
      </c>
      <c r="F2122" s="37" t="s">
        <v>891</v>
      </c>
      <c r="G2122" s="39" t="s">
        <v>893</v>
      </c>
    </row>
    <row r="2123" customFormat="false" ht="15" hidden="false" customHeight="false" outlineLevel="0" collapsed="false">
      <c r="A2123" s="37" t="s">
        <v>207</v>
      </c>
      <c r="B2123" s="37" t="s">
        <v>242</v>
      </c>
      <c r="C2123" s="37" t="s">
        <v>179</v>
      </c>
      <c r="D2123" s="37" t="s">
        <v>56</v>
      </c>
      <c r="E2123" s="38" t="n">
        <f aca="false">'Matrice des notes'!S62</f>
        <v>1</v>
      </c>
      <c r="F2123" s="37" t="s">
        <v>839</v>
      </c>
      <c r="G2123" s="39" t="s">
        <v>854</v>
      </c>
    </row>
    <row r="2124" customFormat="false" ht="15" hidden="false" customHeight="false" outlineLevel="0" collapsed="false">
      <c r="A2124" s="37" t="s">
        <v>207</v>
      </c>
      <c r="B2124" s="37" t="s">
        <v>242</v>
      </c>
      <c r="C2124" s="37" t="s">
        <v>179</v>
      </c>
      <c r="D2124" s="37" t="s">
        <v>59</v>
      </c>
      <c r="E2124" s="38" t="n">
        <f aca="false">'Matrice des notes'!T62</f>
        <v>1</v>
      </c>
      <c r="F2124" s="37" t="s">
        <v>839</v>
      </c>
      <c r="G2124" s="39" t="s">
        <v>855</v>
      </c>
    </row>
    <row r="2125" customFormat="false" ht="15" hidden="false" customHeight="false" outlineLevel="0" collapsed="false">
      <c r="A2125" s="37" t="s">
        <v>207</v>
      </c>
      <c r="B2125" s="37" t="s">
        <v>242</v>
      </c>
      <c r="C2125" s="37" t="s">
        <v>179</v>
      </c>
      <c r="D2125" s="37" t="s">
        <v>62</v>
      </c>
      <c r="E2125" s="38" t="n">
        <f aca="false">'Matrice des notes'!U62</f>
        <v>1</v>
      </c>
      <c r="F2125" s="37" t="s">
        <v>927</v>
      </c>
      <c r="G2125" s="39" t="s">
        <v>929</v>
      </c>
    </row>
    <row r="2126" customFormat="false" ht="22.35" hidden="false" customHeight="false" outlineLevel="0" collapsed="false">
      <c r="A2126" s="37" t="s">
        <v>207</v>
      </c>
      <c r="B2126" s="37" t="s">
        <v>242</v>
      </c>
      <c r="C2126" s="37" t="s">
        <v>179</v>
      </c>
      <c r="D2126" s="37" t="s">
        <v>65</v>
      </c>
      <c r="E2126" s="38" t="n">
        <f aca="false">'Matrice des notes'!V62</f>
        <v>1</v>
      </c>
      <c r="F2126" s="37" t="s">
        <v>891</v>
      </c>
      <c r="G2126" s="39" t="s">
        <v>914</v>
      </c>
    </row>
    <row r="2127" customFormat="false" ht="15" hidden="false" customHeight="false" outlineLevel="0" collapsed="false">
      <c r="A2127" s="37" t="s">
        <v>207</v>
      </c>
      <c r="B2127" s="37" t="s">
        <v>242</v>
      </c>
      <c r="C2127" s="37" t="s">
        <v>179</v>
      </c>
      <c r="D2127" s="37" t="s">
        <v>68</v>
      </c>
      <c r="E2127" s="38" t="n">
        <f aca="false">'Matrice des notes'!W62</f>
        <v>1</v>
      </c>
      <c r="F2127" s="37" t="s">
        <v>827</v>
      </c>
      <c r="G2127" s="39" t="s">
        <v>872</v>
      </c>
    </row>
    <row r="2128" customFormat="false" ht="15" hidden="false" customHeight="false" outlineLevel="0" collapsed="false">
      <c r="A2128" s="37" t="s">
        <v>207</v>
      </c>
      <c r="B2128" s="37" t="s">
        <v>242</v>
      </c>
      <c r="C2128" s="37" t="s">
        <v>179</v>
      </c>
      <c r="D2128" s="37" t="s">
        <v>71</v>
      </c>
      <c r="E2128" s="38" t="n">
        <f aca="false">'Matrice des notes'!X62</f>
        <v>1</v>
      </c>
      <c r="F2128" s="37" t="s">
        <v>708</v>
      </c>
      <c r="G2128" s="39" t="s">
        <v>857</v>
      </c>
    </row>
    <row r="2129" customFormat="false" ht="15" hidden="false" customHeight="false" outlineLevel="0" collapsed="false">
      <c r="A2129" s="37" t="s">
        <v>207</v>
      </c>
      <c r="B2129" s="37" t="s">
        <v>242</v>
      </c>
      <c r="C2129" s="37" t="s">
        <v>179</v>
      </c>
      <c r="D2129" s="37" t="s">
        <v>74</v>
      </c>
      <c r="E2129" s="38" t="n">
        <f aca="false">'Matrice des notes'!Y62</f>
        <v>1</v>
      </c>
      <c r="F2129" s="37" t="s">
        <v>915</v>
      </c>
      <c r="G2129" s="39" t="s">
        <v>916</v>
      </c>
    </row>
    <row r="2130" customFormat="false" ht="15" hidden="false" customHeight="false" outlineLevel="0" collapsed="false">
      <c r="A2130" s="37" t="s">
        <v>207</v>
      </c>
      <c r="B2130" s="37" t="s">
        <v>242</v>
      </c>
      <c r="C2130" s="37" t="s">
        <v>179</v>
      </c>
      <c r="D2130" s="37" t="s">
        <v>77</v>
      </c>
      <c r="E2130" s="38" t="n">
        <f aca="false">'Matrice des notes'!Z62</f>
        <v>1</v>
      </c>
      <c r="F2130" s="37" t="s">
        <v>842</v>
      </c>
      <c r="G2130" s="39" t="s">
        <v>858</v>
      </c>
    </row>
    <row r="2131" customFormat="false" ht="15" hidden="false" customHeight="false" outlineLevel="0" collapsed="false">
      <c r="A2131" s="37" t="s">
        <v>207</v>
      </c>
      <c r="B2131" s="37" t="s">
        <v>242</v>
      </c>
      <c r="C2131" s="37" t="s">
        <v>179</v>
      </c>
      <c r="D2131" s="37" t="s">
        <v>80</v>
      </c>
      <c r="E2131" s="38" t="n">
        <f aca="false">'Matrice des notes'!AA62</f>
        <v>1</v>
      </c>
      <c r="F2131" s="37" t="s">
        <v>917</v>
      </c>
      <c r="G2131" s="39" t="s">
        <v>918</v>
      </c>
    </row>
    <row r="2132" customFormat="false" ht="15" hidden="false" customHeight="false" outlineLevel="0" collapsed="false">
      <c r="A2132" s="37" t="s">
        <v>207</v>
      </c>
      <c r="B2132" s="37" t="s">
        <v>242</v>
      </c>
      <c r="C2132" s="37" t="s">
        <v>179</v>
      </c>
      <c r="D2132" s="37" t="s">
        <v>83</v>
      </c>
      <c r="E2132" s="38" t="n">
        <f aca="false">'Matrice des notes'!AB62</f>
        <v>1</v>
      </c>
      <c r="F2132" s="37" t="s">
        <v>944</v>
      </c>
      <c r="G2132" s="39" t="s">
        <v>945</v>
      </c>
    </row>
    <row r="2133" customFormat="false" ht="22.35" hidden="false" customHeight="false" outlineLevel="0" collapsed="false">
      <c r="A2133" s="37" t="s">
        <v>207</v>
      </c>
      <c r="B2133" s="37" t="s">
        <v>242</v>
      </c>
      <c r="C2133" s="37" t="s">
        <v>179</v>
      </c>
      <c r="D2133" s="37" t="s">
        <v>86</v>
      </c>
      <c r="E2133" s="38" t="n">
        <f aca="false">'Matrice des notes'!AC62</f>
        <v>2</v>
      </c>
      <c r="F2133" s="37" t="s">
        <v>946</v>
      </c>
      <c r="G2133" s="39" t="s">
        <v>947</v>
      </c>
    </row>
    <row r="2134" customFormat="false" ht="22.35" hidden="false" customHeight="false" outlineLevel="0" collapsed="false">
      <c r="A2134" s="37" t="s">
        <v>207</v>
      </c>
      <c r="B2134" s="37" t="s">
        <v>242</v>
      </c>
      <c r="C2134" s="37" t="s">
        <v>179</v>
      </c>
      <c r="D2134" s="37" t="s">
        <v>89</v>
      </c>
      <c r="E2134" s="38" t="n">
        <f aca="false">'Matrice des notes'!AD62</f>
        <v>2</v>
      </c>
      <c r="F2134" s="37" t="s">
        <v>948</v>
      </c>
      <c r="G2134" s="39" t="s">
        <v>949</v>
      </c>
    </row>
    <row r="2135" customFormat="false" ht="15" hidden="false" customHeight="false" outlineLevel="0" collapsed="false">
      <c r="A2135" s="37" t="s">
        <v>207</v>
      </c>
      <c r="B2135" s="37" t="s">
        <v>242</v>
      </c>
      <c r="C2135" s="37" t="s">
        <v>179</v>
      </c>
      <c r="D2135" s="37" t="s">
        <v>92</v>
      </c>
      <c r="E2135" s="38" t="n">
        <f aca="false">'Matrice des notes'!AE62</f>
        <v>2</v>
      </c>
      <c r="F2135" s="37" t="s">
        <v>950</v>
      </c>
      <c r="G2135" s="39" t="s">
        <v>951</v>
      </c>
    </row>
    <row r="2136" customFormat="false" ht="15" hidden="false" customHeight="false" outlineLevel="0" collapsed="false">
      <c r="A2136" s="37" t="s">
        <v>207</v>
      </c>
      <c r="B2136" s="37" t="s">
        <v>242</v>
      </c>
      <c r="C2136" s="37" t="s">
        <v>180</v>
      </c>
      <c r="D2136" s="37" t="s">
        <v>95</v>
      </c>
      <c r="E2136" s="38" t="n">
        <f aca="false">'Matrice des notes'!AF62</f>
        <v>1</v>
      </c>
      <c r="F2136" s="37" t="s">
        <v>631</v>
      </c>
      <c r="G2136" s="39" t="s">
        <v>654</v>
      </c>
    </row>
    <row r="2137" customFormat="false" ht="15" hidden="false" customHeight="false" outlineLevel="0" collapsed="false">
      <c r="A2137" s="37" t="s">
        <v>207</v>
      </c>
      <c r="B2137" s="37" t="s">
        <v>242</v>
      </c>
      <c r="C2137" s="37" t="s">
        <v>180</v>
      </c>
      <c r="D2137" s="37" t="s">
        <v>99</v>
      </c>
      <c r="E2137" s="38" t="n">
        <f aca="false">'Matrice des notes'!AG62</f>
        <v>1</v>
      </c>
      <c r="F2137" s="37" t="s">
        <v>655</v>
      </c>
      <c r="G2137" s="39" t="s">
        <v>656</v>
      </c>
    </row>
    <row r="2138" customFormat="false" ht="15" hidden="false" customHeight="false" outlineLevel="0" collapsed="false">
      <c r="A2138" s="37" t="s">
        <v>207</v>
      </c>
      <c r="B2138" s="37" t="s">
        <v>242</v>
      </c>
      <c r="C2138" s="37" t="s">
        <v>180</v>
      </c>
      <c r="D2138" s="37" t="s">
        <v>102</v>
      </c>
      <c r="E2138" s="38" t="n">
        <f aca="false">'Matrice des notes'!AH62</f>
        <v>1</v>
      </c>
      <c r="F2138" s="37" t="s">
        <v>655</v>
      </c>
      <c r="G2138" s="39" t="s">
        <v>656</v>
      </c>
    </row>
    <row r="2139" customFormat="false" ht="15" hidden="false" customHeight="false" outlineLevel="0" collapsed="false">
      <c r="A2139" s="37" t="s">
        <v>207</v>
      </c>
      <c r="B2139" s="37" t="s">
        <v>242</v>
      </c>
      <c r="C2139" s="37" t="s">
        <v>180</v>
      </c>
      <c r="D2139" s="37" t="s">
        <v>104</v>
      </c>
      <c r="E2139" s="38" t="n">
        <f aca="false">'Matrice des notes'!AI62</f>
        <v>1</v>
      </c>
      <c r="F2139" s="37" t="s">
        <v>631</v>
      </c>
      <c r="G2139" s="39" t="s">
        <v>654</v>
      </c>
    </row>
    <row r="2140" customFormat="false" ht="15" hidden="false" customHeight="false" outlineLevel="0" collapsed="false">
      <c r="A2140" s="37" t="s">
        <v>207</v>
      </c>
      <c r="B2140" s="37" t="s">
        <v>242</v>
      </c>
      <c r="C2140" s="37" t="s">
        <v>180</v>
      </c>
      <c r="D2140" s="37" t="s">
        <v>107</v>
      </c>
      <c r="E2140" s="38" t="n">
        <f aca="false">'Matrice des notes'!AJ62</f>
        <v>1</v>
      </c>
      <c r="F2140" s="37" t="s">
        <v>631</v>
      </c>
      <c r="G2140" s="39" t="s">
        <v>654</v>
      </c>
    </row>
    <row r="2141" customFormat="false" ht="15" hidden="false" customHeight="false" outlineLevel="0" collapsed="false">
      <c r="A2141" s="37" t="s">
        <v>207</v>
      </c>
      <c r="B2141" s="37" t="s">
        <v>242</v>
      </c>
      <c r="C2141" s="37" t="s">
        <v>180</v>
      </c>
      <c r="D2141" s="37" t="s">
        <v>110</v>
      </c>
      <c r="E2141" s="38" t="n">
        <f aca="false">'Matrice des notes'!AK62</f>
        <v>1</v>
      </c>
      <c r="F2141" s="37" t="s">
        <v>631</v>
      </c>
      <c r="G2141" s="39" t="s">
        <v>654</v>
      </c>
    </row>
    <row r="2142" customFormat="false" ht="15" hidden="false" customHeight="false" outlineLevel="0" collapsed="false">
      <c r="A2142" s="37" t="s">
        <v>207</v>
      </c>
      <c r="B2142" s="37" t="s">
        <v>242</v>
      </c>
      <c r="C2142" s="37" t="s">
        <v>180</v>
      </c>
      <c r="D2142" s="37" t="s">
        <v>113</v>
      </c>
      <c r="E2142" s="38" t="n">
        <f aca="false">'Matrice des notes'!AL62</f>
        <v>1</v>
      </c>
      <c r="F2142" s="37" t="s">
        <v>631</v>
      </c>
      <c r="G2142" s="39" t="s">
        <v>654</v>
      </c>
    </row>
    <row r="2143" customFormat="false" ht="15" hidden="false" customHeight="false" outlineLevel="0" collapsed="false">
      <c r="A2143" s="37" t="s">
        <v>207</v>
      </c>
      <c r="B2143" s="37" t="s">
        <v>242</v>
      </c>
      <c r="C2143" s="37" t="s">
        <v>180</v>
      </c>
      <c r="D2143" s="37" t="s">
        <v>116</v>
      </c>
      <c r="E2143" s="38" t="n">
        <f aca="false">'Matrice des notes'!AM62</f>
        <v>1</v>
      </c>
      <c r="F2143" s="37" t="s">
        <v>655</v>
      </c>
      <c r="G2143" s="39" t="s">
        <v>656</v>
      </c>
    </row>
    <row r="2144" customFormat="false" ht="15" hidden="false" customHeight="false" outlineLevel="0" collapsed="false">
      <c r="A2144" s="37" t="s">
        <v>207</v>
      </c>
      <c r="B2144" s="37" t="s">
        <v>242</v>
      </c>
      <c r="C2144" s="37" t="s">
        <v>180</v>
      </c>
      <c r="D2144" s="37" t="s">
        <v>119</v>
      </c>
      <c r="E2144" s="38" t="n">
        <f aca="false">'Matrice des notes'!AN62</f>
        <v>1</v>
      </c>
      <c r="F2144" s="37" t="s">
        <v>631</v>
      </c>
      <c r="G2144" s="39" t="s">
        <v>654</v>
      </c>
    </row>
    <row r="2145" customFormat="false" ht="15" hidden="false" customHeight="false" outlineLevel="0" collapsed="false">
      <c r="A2145" s="37" t="s">
        <v>207</v>
      </c>
      <c r="B2145" s="37" t="s">
        <v>242</v>
      </c>
      <c r="C2145" s="37" t="s">
        <v>180</v>
      </c>
      <c r="D2145" s="37" t="s">
        <v>121</v>
      </c>
      <c r="E2145" s="38" t="n">
        <f aca="false">'Matrice des notes'!AO62</f>
        <v>1</v>
      </c>
      <c r="F2145" s="37" t="s">
        <v>657</v>
      </c>
      <c r="G2145" s="39" t="s">
        <v>658</v>
      </c>
    </row>
    <row r="2146" customFormat="false" ht="15" hidden="false" customHeight="false" outlineLevel="0" collapsed="false">
      <c r="A2146" s="37" t="s">
        <v>207</v>
      </c>
      <c r="B2146" s="37" t="s">
        <v>242</v>
      </c>
      <c r="C2146" s="37" t="s">
        <v>180</v>
      </c>
      <c r="D2146" s="37" t="s">
        <v>124</v>
      </c>
      <c r="E2146" s="38" t="n">
        <f aca="false">'Matrice des notes'!AP62</f>
        <v>1</v>
      </c>
      <c r="F2146" s="37" t="s">
        <v>863</v>
      </c>
      <c r="G2146" s="39" t="s">
        <v>864</v>
      </c>
    </row>
    <row r="2147" customFormat="false" ht="22.35" hidden="false" customHeight="false" outlineLevel="0" collapsed="false">
      <c r="A2147" s="37" t="s">
        <v>207</v>
      </c>
      <c r="B2147" s="37" t="s">
        <v>243</v>
      </c>
      <c r="C2147" s="37" t="s">
        <v>178</v>
      </c>
      <c r="D2147" s="37" t="s">
        <v>7</v>
      </c>
      <c r="E2147" s="38" t="n">
        <f aca="false">'Matrice des notes'!D63</f>
        <v>1</v>
      </c>
      <c r="F2147" s="37" t="s">
        <v>720</v>
      </c>
      <c r="G2147" s="39" t="s">
        <v>890</v>
      </c>
    </row>
    <row r="2148" customFormat="false" ht="15" hidden="false" customHeight="false" outlineLevel="0" collapsed="false">
      <c r="A2148" s="37" t="s">
        <v>207</v>
      </c>
      <c r="B2148" s="37" t="s">
        <v>243</v>
      </c>
      <c r="C2148" s="37" t="s">
        <v>178</v>
      </c>
      <c r="D2148" s="37" t="s">
        <v>11</v>
      </c>
      <c r="E2148" s="38" t="n">
        <f aca="false">'Matrice des notes'!E63</f>
        <v>1</v>
      </c>
      <c r="F2148" s="37" t="s">
        <v>839</v>
      </c>
      <c r="G2148" s="39" t="s">
        <v>840</v>
      </c>
    </row>
    <row r="2149" customFormat="false" ht="15" hidden="false" customHeight="false" outlineLevel="0" collapsed="false">
      <c r="A2149" s="37" t="s">
        <v>207</v>
      </c>
      <c r="B2149" s="37" t="s">
        <v>243</v>
      </c>
      <c r="C2149" s="37" t="s">
        <v>178</v>
      </c>
      <c r="D2149" s="37" t="s">
        <v>14</v>
      </c>
      <c r="E2149" s="38" t="n">
        <f aca="false">'Matrice des notes'!F63</f>
        <v>1</v>
      </c>
      <c r="F2149" s="37" t="s">
        <v>677</v>
      </c>
      <c r="G2149" s="39" t="s">
        <v>841</v>
      </c>
    </row>
    <row r="2150" customFormat="false" ht="15" hidden="false" customHeight="false" outlineLevel="0" collapsed="false">
      <c r="A2150" s="37" t="s">
        <v>207</v>
      </c>
      <c r="B2150" s="37" t="s">
        <v>243</v>
      </c>
      <c r="C2150" s="37" t="s">
        <v>178</v>
      </c>
      <c r="D2150" s="37" t="s">
        <v>17</v>
      </c>
      <c r="E2150" s="38" t="n">
        <f aca="false">'Matrice des notes'!G63</f>
        <v>1</v>
      </c>
      <c r="F2150" s="37" t="s">
        <v>842</v>
      </c>
      <c r="G2150" s="39" t="s">
        <v>843</v>
      </c>
    </row>
    <row r="2151" customFormat="false" ht="15" hidden="false" customHeight="false" outlineLevel="0" collapsed="false">
      <c r="A2151" s="37" t="s">
        <v>207</v>
      </c>
      <c r="B2151" s="37" t="s">
        <v>243</v>
      </c>
      <c r="C2151" s="37" t="s">
        <v>178</v>
      </c>
      <c r="D2151" s="37" t="s">
        <v>20</v>
      </c>
      <c r="E2151" s="38" t="n">
        <f aca="false">'Matrice des notes'!H63</f>
        <v>1</v>
      </c>
      <c r="F2151" s="37" t="s">
        <v>839</v>
      </c>
      <c r="G2151" s="39" t="s">
        <v>844</v>
      </c>
    </row>
    <row r="2152" customFormat="false" ht="15" hidden="false" customHeight="false" outlineLevel="0" collapsed="false">
      <c r="A2152" s="37" t="s">
        <v>207</v>
      </c>
      <c r="B2152" s="37" t="s">
        <v>243</v>
      </c>
      <c r="C2152" s="37" t="s">
        <v>178</v>
      </c>
      <c r="D2152" s="37" t="s">
        <v>23</v>
      </c>
      <c r="E2152" s="38" t="n">
        <f aca="false">'Matrice des notes'!I63</f>
        <v>1</v>
      </c>
      <c r="F2152" s="37" t="s">
        <v>839</v>
      </c>
      <c r="G2152" s="39" t="s">
        <v>845</v>
      </c>
    </row>
    <row r="2153" customFormat="false" ht="15" hidden="false" customHeight="false" outlineLevel="0" collapsed="false">
      <c r="A2153" s="37" t="s">
        <v>207</v>
      </c>
      <c r="B2153" s="37" t="s">
        <v>243</v>
      </c>
      <c r="C2153" s="37" t="s">
        <v>178</v>
      </c>
      <c r="D2153" s="37" t="s">
        <v>26</v>
      </c>
      <c r="E2153" s="38" t="n">
        <f aca="false">'Matrice des notes'!J63</f>
        <v>1</v>
      </c>
      <c r="F2153" s="37" t="s">
        <v>835</v>
      </c>
      <c r="G2153" s="39" t="s">
        <v>846</v>
      </c>
    </row>
    <row r="2154" customFormat="false" ht="15" hidden="false" customHeight="false" outlineLevel="0" collapsed="false">
      <c r="A2154" s="37" t="s">
        <v>207</v>
      </c>
      <c r="B2154" s="37" t="s">
        <v>243</v>
      </c>
      <c r="C2154" s="37" t="s">
        <v>178</v>
      </c>
      <c r="D2154" s="37" t="s">
        <v>30</v>
      </c>
      <c r="E2154" s="38" t="n">
        <f aca="false">'Matrice des notes'!K63</f>
        <v>1</v>
      </c>
      <c r="F2154" s="37" t="s">
        <v>677</v>
      </c>
      <c r="G2154" s="39" t="s">
        <v>847</v>
      </c>
    </row>
    <row r="2155" customFormat="false" ht="15" hidden="false" customHeight="false" outlineLevel="0" collapsed="false">
      <c r="A2155" s="37" t="s">
        <v>207</v>
      </c>
      <c r="B2155" s="37" t="s">
        <v>243</v>
      </c>
      <c r="C2155" s="37" t="s">
        <v>178</v>
      </c>
      <c r="D2155" s="37" t="s">
        <v>34</v>
      </c>
      <c r="E2155" s="38" t="n">
        <f aca="false">'Matrice des notes'!L63</f>
        <v>1</v>
      </c>
      <c r="F2155" s="37" t="s">
        <v>891</v>
      </c>
      <c r="G2155" s="39" t="s">
        <v>892</v>
      </c>
    </row>
    <row r="2156" customFormat="false" ht="15" hidden="false" customHeight="false" outlineLevel="0" collapsed="false">
      <c r="A2156" s="37" t="s">
        <v>207</v>
      </c>
      <c r="B2156" s="37" t="s">
        <v>243</v>
      </c>
      <c r="C2156" s="37" t="s">
        <v>178</v>
      </c>
      <c r="D2156" s="37" t="s">
        <v>37</v>
      </c>
      <c r="E2156" s="38" t="n">
        <f aca="false">'Matrice des notes'!M63</f>
        <v>1</v>
      </c>
      <c r="F2156" s="37" t="s">
        <v>812</v>
      </c>
      <c r="G2156" s="39" t="s">
        <v>813</v>
      </c>
    </row>
    <row r="2157" customFormat="false" ht="15" hidden="false" customHeight="false" outlineLevel="0" collapsed="false">
      <c r="A2157" s="37" t="s">
        <v>207</v>
      </c>
      <c r="B2157" s="37" t="s">
        <v>243</v>
      </c>
      <c r="C2157" s="37" t="s">
        <v>178</v>
      </c>
      <c r="D2157" s="37" t="s">
        <v>40</v>
      </c>
      <c r="E2157" s="38" t="n">
        <f aca="false">'Matrice des notes'!N63</f>
        <v>1</v>
      </c>
      <c r="F2157" s="37" t="s">
        <v>849</v>
      </c>
      <c r="G2157" s="39" t="s">
        <v>850</v>
      </c>
    </row>
    <row r="2158" customFormat="false" ht="15" hidden="false" customHeight="false" outlineLevel="0" collapsed="false">
      <c r="A2158" s="37" t="s">
        <v>207</v>
      </c>
      <c r="B2158" s="37" t="s">
        <v>243</v>
      </c>
      <c r="C2158" s="37" t="s">
        <v>178</v>
      </c>
      <c r="D2158" s="37" t="s">
        <v>43</v>
      </c>
      <c r="E2158" s="38" t="n">
        <f aca="false">'Matrice des notes'!O63</f>
        <v>1</v>
      </c>
      <c r="F2158" s="37" t="s">
        <v>816</v>
      </c>
      <c r="G2158" s="39" t="s">
        <v>866</v>
      </c>
    </row>
    <row r="2159" customFormat="false" ht="15" hidden="false" customHeight="false" outlineLevel="0" collapsed="false">
      <c r="A2159" s="37" t="s">
        <v>207</v>
      </c>
      <c r="B2159" s="37" t="s">
        <v>243</v>
      </c>
      <c r="C2159" s="37" t="s">
        <v>178</v>
      </c>
      <c r="D2159" s="37" t="s">
        <v>46</v>
      </c>
      <c r="E2159" s="38" t="n">
        <f aca="false">'Matrice des notes'!P63</f>
        <v>1</v>
      </c>
      <c r="F2159" s="37" t="s">
        <v>839</v>
      </c>
      <c r="G2159" s="39" t="s">
        <v>851</v>
      </c>
    </row>
    <row r="2160" customFormat="false" ht="15" hidden="false" customHeight="false" outlineLevel="0" collapsed="false">
      <c r="A2160" s="37" t="s">
        <v>207</v>
      </c>
      <c r="B2160" s="37" t="s">
        <v>243</v>
      </c>
      <c r="C2160" s="37" t="s">
        <v>179</v>
      </c>
      <c r="D2160" s="37" t="s">
        <v>49</v>
      </c>
      <c r="E2160" s="38" t="n">
        <f aca="false">'Matrice des notes'!Q63</f>
        <v>1</v>
      </c>
      <c r="F2160" s="37" t="s">
        <v>927</v>
      </c>
      <c r="G2160" s="39" t="s">
        <v>928</v>
      </c>
    </row>
    <row r="2161" customFormat="false" ht="15" hidden="false" customHeight="false" outlineLevel="0" collapsed="false">
      <c r="A2161" s="37" t="s">
        <v>207</v>
      </c>
      <c r="B2161" s="37" t="s">
        <v>243</v>
      </c>
      <c r="C2161" s="37" t="s">
        <v>179</v>
      </c>
      <c r="D2161" s="37" t="s">
        <v>53</v>
      </c>
      <c r="E2161" s="38" t="n">
        <f aca="false">'Matrice des notes'!R63</f>
        <v>1</v>
      </c>
      <c r="F2161" s="37" t="s">
        <v>891</v>
      </c>
      <c r="G2161" s="39" t="s">
        <v>893</v>
      </c>
    </row>
    <row r="2162" customFormat="false" ht="15" hidden="false" customHeight="false" outlineLevel="0" collapsed="false">
      <c r="A2162" s="37" t="s">
        <v>207</v>
      </c>
      <c r="B2162" s="37" t="s">
        <v>243</v>
      </c>
      <c r="C2162" s="37" t="s">
        <v>179</v>
      </c>
      <c r="D2162" s="37" t="s">
        <v>56</v>
      </c>
      <c r="E2162" s="38" t="n">
        <f aca="false">'Matrice des notes'!S63</f>
        <v>1</v>
      </c>
      <c r="F2162" s="37" t="s">
        <v>839</v>
      </c>
      <c r="G2162" s="39" t="s">
        <v>854</v>
      </c>
    </row>
    <row r="2163" customFormat="false" ht="15" hidden="false" customHeight="false" outlineLevel="0" collapsed="false">
      <c r="A2163" s="37" t="s">
        <v>207</v>
      </c>
      <c r="B2163" s="37" t="s">
        <v>243</v>
      </c>
      <c r="C2163" s="37" t="s">
        <v>179</v>
      </c>
      <c r="D2163" s="37" t="s">
        <v>59</v>
      </c>
      <c r="E2163" s="38" t="n">
        <f aca="false">'Matrice des notes'!T63</f>
        <v>1</v>
      </c>
      <c r="F2163" s="37" t="s">
        <v>839</v>
      </c>
      <c r="G2163" s="39" t="s">
        <v>855</v>
      </c>
    </row>
    <row r="2164" customFormat="false" ht="15" hidden="false" customHeight="false" outlineLevel="0" collapsed="false">
      <c r="A2164" s="37" t="s">
        <v>207</v>
      </c>
      <c r="B2164" s="37" t="s">
        <v>243</v>
      </c>
      <c r="C2164" s="37" t="s">
        <v>179</v>
      </c>
      <c r="D2164" s="37" t="s">
        <v>62</v>
      </c>
      <c r="E2164" s="38" t="n">
        <f aca="false">'Matrice des notes'!U63</f>
        <v>1</v>
      </c>
      <c r="F2164" s="37" t="s">
        <v>927</v>
      </c>
      <c r="G2164" s="39" t="s">
        <v>929</v>
      </c>
    </row>
    <row r="2165" customFormat="false" ht="22.35" hidden="false" customHeight="false" outlineLevel="0" collapsed="false">
      <c r="A2165" s="37" t="s">
        <v>207</v>
      </c>
      <c r="B2165" s="37" t="s">
        <v>243</v>
      </c>
      <c r="C2165" s="37" t="s">
        <v>179</v>
      </c>
      <c r="D2165" s="37" t="s">
        <v>65</v>
      </c>
      <c r="E2165" s="38" t="n">
        <f aca="false">'Matrice des notes'!V63</f>
        <v>1</v>
      </c>
      <c r="F2165" s="37" t="s">
        <v>891</v>
      </c>
      <c r="G2165" s="39" t="s">
        <v>914</v>
      </c>
    </row>
    <row r="2166" customFormat="false" ht="15" hidden="false" customHeight="false" outlineLevel="0" collapsed="false">
      <c r="A2166" s="37" t="s">
        <v>207</v>
      </c>
      <c r="B2166" s="37" t="s">
        <v>243</v>
      </c>
      <c r="C2166" s="37" t="s">
        <v>179</v>
      </c>
      <c r="D2166" s="37" t="s">
        <v>68</v>
      </c>
      <c r="E2166" s="38" t="n">
        <f aca="false">'Matrice des notes'!W63</f>
        <v>1</v>
      </c>
      <c r="F2166" s="37" t="s">
        <v>827</v>
      </c>
      <c r="G2166" s="39" t="s">
        <v>872</v>
      </c>
    </row>
    <row r="2167" customFormat="false" ht="15" hidden="false" customHeight="false" outlineLevel="0" collapsed="false">
      <c r="A2167" s="37" t="s">
        <v>207</v>
      </c>
      <c r="B2167" s="37" t="s">
        <v>243</v>
      </c>
      <c r="C2167" s="37" t="s">
        <v>179</v>
      </c>
      <c r="D2167" s="37" t="s">
        <v>71</v>
      </c>
      <c r="E2167" s="38" t="n">
        <f aca="false">'Matrice des notes'!X63</f>
        <v>1</v>
      </c>
      <c r="F2167" s="37" t="s">
        <v>708</v>
      </c>
      <c r="G2167" s="39" t="s">
        <v>857</v>
      </c>
    </row>
    <row r="2168" customFormat="false" ht="15" hidden="false" customHeight="false" outlineLevel="0" collapsed="false">
      <c r="A2168" s="37" t="s">
        <v>207</v>
      </c>
      <c r="B2168" s="37" t="s">
        <v>243</v>
      </c>
      <c r="C2168" s="37" t="s">
        <v>179</v>
      </c>
      <c r="D2168" s="37" t="s">
        <v>74</v>
      </c>
      <c r="E2168" s="38" t="n">
        <f aca="false">'Matrice des notes'!Y63</f>
        <v>1</v>
      </c>
      <c r="F2168" s="37" t="s">
        <v>915</v>
      </c>
      <c r="G2168" s="39" t="s">
        <v>916</v>
      </c>
    </row>
    <row r="2169" customFormat="false" ht="15" hidden="false" customHeight="false" outlineLevel="0" collapsed="false">
      <c r="A2169" s="37" t="s">
        <v>207</v>
      </c>
      <c r="B2169" s="37" t="s">
        <v>243</v>
      </c>
      <c r="C2169" s="37" t="s">
        <v>179</v>
      </c>
      <c r="D2169" s="37" t="s">
        <v>77</v>
      </c>
      <c r="E2169" s="38" t="n">
        <f aca="false">'Matrice des notes'!Z63</f>
        <v>1</v>
      </c>
      <c r="F2169" s="37" t="s">
        <v>842</v>
      </c>
      <c r="G2169" s="39" t="s">
        <v>858</v>
      </c>
    </row>
    <row r="2170" customFormat="false" ht="15" hidden="false" customHeight="false" outlineLevel="0" collapsed="false">
      <c r="A2170" s="37" t="s">
        <v>207</v>
      </c>
      <c r="B2170" s="37" t="s">
        <v>243</v>
      </c>
      <c r="C2170" s="37" t="s">
        <v>179</v>
      </c>
      <c r="D2170" s="37" t="s">
        <v>80</v>
      </c>
      <c r="E2170" s="38" t="n">
        <f aca="false">'Matrice des notes'!AA63</f>
        <v>2</v>
      </c>
      <c r="F2170" s="37" t="s">
        <v>917</v>
      </c>
      <c r="G2170" s="39" t="s">
        <v>918</v>
      </c>
    </row>
    <row r="2171" customFormat="false" ht="15" hidden="false" customHeight="false" outlineLevel="0" collapsed="false">
      <c r="A2171" s="37" t="s">
        <v>207</v>
      </c>
      <c r="B2171" s="37" t="s">
        <v>243</v>
      </c>
      <c r="C2171" s="37" t="s">
        <v>179</v>
      </c>
      <c r="D2171" s="37" t="s">
        <v>83</v>
      </c>
      <c r="E2171" s="38" t="n">
        <f aca="false">'Matrice des notes'!AB63</f>
        <v>1</v>
      </c>
      <c r="F2171" s="37" t="s">
        <v>944</v>
      </c>
      <c r="G2171" s="39" t="s">
        <v>945</v>
      </c>
    </row>
    <row r="2172" customFormat="false" ht="15" hidden="false" customHeight="false" outlineLevel="0" collapsed="false">
      <c r="A2172" s="37" t="s">
        <v>207</v>
      </c>
      <c r="B2172" s="37" t="s">
        <v>243</v>
      </c>
      <c r="C2172" s="37" t="s">
        <v>179</v>
      </c>
      <c r="D2172" s="37" t="s">
        <v>86</v>
      </c>
      <c r="E2172" s="38" t="n">
        <f aca="false">'Matrice des notes'!AC63</f>
        <v>2</v>
      </c>
      <c r="F2172" s="37" t="s">
        <v>960</v>
      </c>
      <c r="G2172" s="39" t="s">
        <v>961</v>
      </c>
    </row>
    <row r="2173" customFormat="false" ht="15" hidden="false" customHeight="false" outlineLevel="0" collapsed="false">
      <c r="A2173" s="37" t="s">
        <v>207</v>
      </c>
      <c r="B2173" s="37" t="s">
        <v>243</v>
      </c>
      <c r="C2173" s="37" t="s">
        <v>179</v>
      </c>
      <c r="D2173" s="37" t="s">
        <v>89</v>
      </c>
      <c r="E2173" s="38" t="n">
        <f aca="false">'Matrice des notes'!AD63</f>
        <v>2</v>
      </c>
      <c r="F2173" s="37" t="s">
        <v>891</v>
      </c>
      <c r="G2173" s="39" t="s">
        <v>962</v>
      </c>
    </row>
    <row r="2174" customFormat="false" ht="15" hidden="false" customHeight="false" outlineLevel="0" collapsed="false">
      <c r="A2174" s="37" t="s">
        <v>207</v>
      </c>
      <c r="B2174" s="37" t="s">
        <v>243</v>
      </c>
      <c r="C2174" s="37" t="s">
        <v>179</v>
      </c>
      <c r="D2174" s="37" t="s">
        <v>92</v>
      </c>
      <c r="E2174" s="38" t="n">
        <f aca="false">'Matrice des notes'!AE63</f>
        <v>2</v>
      </c>
      <c r="F2174" s="37" t="s">
        <v>950</v>
      </c>
      <c r="G2174" s="39" t="s">
        <v>951</v>
      </c>
    </row>
    <row r="2175" customFormat="false" ht="15" hidden="false" customHeight="false" outlineLevel="0" collapsed="false">
      <c r="A2175" s="37" t="s">
        <v>207</v>
      </c>
      <c r="B2175" s="37" t="s">
        <v>243</v>
      </c>
      <c r="C2175" s="37" t="s">
        <v>180</v>
      </c>
      <c r="D2175" s="37" t="s">
        <v>95</v>
      </c>
      <c r="E2175" s="38" t="n">
        <f aca="false">'Matrice des notes'!AF63</f>
        <v>1</v>
      </c>
      <c r="F2175" s="37" t="s">
        <v>631</v>
      </c>
      <c r="G2175" s="39" t="s">
        <v>654</v>
      </c>
    </row>
    <row r="2176" customFormat="false" ht="15" hidden="false" customHeight="false" outlineLevel="0" collapsed="false">
      <c r="A2176" s="37" t="s">
        <v>207</v>
      </c>
      <c r="B2176" s="37" t="s">
        <v>243</v>
      </c>
      <c r="C2176" s="37" t="s">
        <v>180</v>
      </c>
      <c r="D2176" s="37" t="s">
        <v>99</v>
      </c>
      <c r="E2176" s="38" t="n">
        <f aca="false">'Matrice des notes'!AG63</f>
        <v>1</v>
      </c>
      <c r="F2176" s="37" t="s">
        <v>655</v>
      </c>
      <c r="G2176" s="39" t="s">
        <v>656</v>
      </c>
    </row>
    <row r="2177" customFormat="false" ht="15" hidden="false" customHeight="false" outlineLevel="0" collapsed="false">
      <c r="A2177" s="37" t="s">
        <v>207</v>
      </c>
      <c r="B2177" s="37" t="s">
        <v>243</v>
      </c>
      <c r="C2177" s="37" t="s">
        <v>180</v>
      </c>
      <c r="D2177" s="37" t="s">
        <v>102</v>
      </c>
      <c r="E2177" s="38" t="n">
        <f aca="false">'Matrice des notes'!AH63</f>
        <v>1</v>
      </c>
      <c r="F2177" s="37" t="s">
        <v>655</v>
      </c>
      <c r="G2177" s="39" t="s">
        <v>656</v>
      </c>
    </row>
    <row r="2178" customFormat="false" ht="15" hidden="false" customHeight="false" outlineLevel="0" collapsed="false">
      <c r="A2178" s="37" t="s">
        <v>207</v>
      </c>
      <c r="B2178" s="37" t="s">
        <v>243</v>
      </c>
      <c r="C2178" s="37" t="s">
        <v>180</v>
      </c>
      <c r="D2178" s="37" t="s">
        <v>104</v>
      </c>
      <c r="E2178" s="38" t="n">
        <f aca="false">'Matrice des notes'!AI63</f>
        <v>1</v>
      </c>
      <c r="F2178" s="37" t="s">
        <v>631</v>
      </c>
      <c r="G2178" s="39" t="s">
        <v>654</v>
      </c>
    </row>
    <row r="2179" customFormat="false" ht="15" hidden="false" customHeight="false" outlineLevel="0" collapsed="false">
      <c r="A2179" s="37" t="s">
        <v>207</v>
      </c>
      <c r="B2179" s="37" t="s">
        <v>243</v>
      </c>
      <c r="C2179" s="37" t="s">
        <v>180</v>
      </c>
      <c r="D2179" s="37" t="s">
        <v>107</v>
      </c>
      <c r="E2179" s="38" t="n">
        <f aca="false">'Matrice des notes'!AJ63</f>
        <v>1</v>
      </c>
      <c r="F2179" s="37" t="s">
        <v>631</v>
      </c>
      <c r="G2179" s="39" t="s">
        <v>654</v>
      </c>
    </row>
    <row r="2180" customFormat="false" ht="15" hidden="false" customHeight="false" outlineLevel="0" collapsed="false">
      <c r="A2180" s="37" t="s">
        <v>207</v>
      </c>
      <c r="B2180" s="37" t="s">
        <v>243</v>
      </c>
      <c r="C2180" s="37" t="s">
        <v>180</v>
      </c>
      <c r="D2180" s="37" t="s">
        <v>110</v>
      </c>
      <c r="E2180" s="38" t="n">
        <f aca="false">'Matrice des notes'!AK63</f>
        <v>1</v>
      </c>
      <c r="F2180" s="37" t="s">
        <v>631</v>
      </c>
      <c r="G2180" s="39" t="s">
        <v>654</v>
      </c>
    </row>
    <row r="2181" customFormat="false" ht="15" hidden="false" customHeight="false" outlineLevel="0" collapsed="false">
      <c r="A2181" s="37" t="s">
        <v>207</v>
      </c>
      <c r="B2181" s="37" t="s">
        <v>243</v>
      </c>
      <c r="C2181" s="37" t="s">
        <v>180</v>
      </c>
      <c r="D2181" s="37" t="s">
        <v>113</v>
      </c>
      <c r="E2181" s="38" t="n">
        <f aca="false">'Matrice des notes'!AL63</f>
        <v>1</v>
      </c>
      <c r="F2181" s="37" t="s">
        <v>631</v>
      </c>
      <c r="G2181" s="39" t="s">
        <v>654</v>
      </c>
    </row>
    <row r="2182" customFormat="false" ht="15" hidden="false" customHeight="false" outlineLevel="0" collapsed="false">
      <c r="A2182" s="37" t="s">
        <v>207</v>
      </c>
      <c r="B2182" s="37" t="s">
        <v>243</v>
      </c>
      <c r="C2182" s="37" t="s">
        <v>180</v>
      </c>
      <c r="D2182" s="37" t="s">
        <v>116</v>
      </c>
      <c r="E2182" s="38" t="n">
        <f aca="false">'Matrice des notes'!AM63</f>
        <v>1</v>
      </c>
      <c r="F2182" s="37" t="s">
        <v>655</v>
      </c>
      <c r="G2182" s="39" t="s">
        <v>656</v>
      </c>
    </row>
    <row r="2183" customFormat="false" ht="15" hidden="false" customHeight="false" outlineLevel="0" collapsed="false">
      <c r="A2183" s="37" t="s">
        <v>207</v>
      </c>
      <c r="B2183" s="37" t="s">
        <v>243</v>
      </c>
      <c r="C2183" s="37" t="s">
        <v>180</v>
      </c>
      <c r="D2183" s="37" t="s">
        <v>119</v>
      </c>
      <c r="E2183" s="38" t="n">
        <f aca="false">'Matrice des notes'!AN63</f>
        <v>1</v>
      </c>
      <c r="F2183" s="37" t="s">
        <v>631</v>
      </c>
      <c r="G2183" s="39" t="s">
        <v>654</v>
      </c>
    </row>
    <row r="2184" customFormat="false" ht="15" hidden="false" customHeight="false" outlineLevel="0" collapsed="false">
      <c r="A2184" s="37" t="s">
        <v>207</v>
      </c>
      <c r="B2184" s="37" t="s">
        <v>243</v>
      </c>
      <c r="C2184" s="37" t="s">
        <v>180</v>
      </c>
      <c r="D2184" s="37" t="s">
        <v>121</v>
      </c>
      <c r="E2184" s="38" t="n">
        <f aca="false">'Matrice des notes'!AO63</f>
        <v>1</v>
      </c>
      <c r="F2184" s="37" t="s">
        <v>657</v>
      </c>
      <c r="G2184" s="39" t="s">
        <v>658</v>
      </c>
    </row>
    <row r="2185" customFormat="false" ht="15" hidden="false" customHeight="false" outlineLevel="0" collapsed="false">
      <c r="A2185" s="37" t="s">
        <v>207</v>
      </c>
      <c r="B2185" s="37" t="s">
        <v>243</v>
      </c>
      <c r="C2185" s="37" t="s">
        <v>180</v>
      </c>
      <c r="D2185" s="37" t="s">
        <v>124</v>
      </c>
      <c r="E2185" s="38" t="n">
        <f aca="false">'Matrice des notes'!AP63</f>
        <v>1</v>
      </c>
      <c r="F2185" s="37" t="s">
        <v>863</v>
      </c>
      <c r="G2185" s="39" t="s">
        <v>864</v>
      </c>
    </row>
    <row r="2186" customFormat="false" ht="15" hidden="false" customHeight="false" outlineLevel="0" collapsed="false">
      <c r="A2186" s="37" t="s">
        <v>207</v>
      </c>
      <c r="B2186" s="37" t="s">
        <v>244</v>
      </c>
      <c r="C2186" s="37" t="s">
        <v>178</v>
      </c>
      <c r="D2186" s="37" t="s">
        <v>7</v>
      </c>
      <c r="E2186" s="38" t="n">
        <f aca="false">'Matrice des notes'!D64</f>
        <v>1</v>
      </c>
      <c r="F2186" s="37" t="s">
        <v>673</v>
      </c>
      <c r="G2186" s="39" t="s">
        <v>902</v>
      </c>
    </row>
    <row r="2187" customFormat="false" ht="15" hidden="false" customHeight="false" outlineLevel="0" collapsed="false">
      <c r="A2187" s="37" t="s">
        <v>207</v>
      </c>
      <c r="B2187" s="37" t="s">
        <v>244</v>
      </c>
      <c r="C2187" s="37" t="s">
        <v>178</v>
      </c>
      <c r="D2187" s="37" t="s">
        <v>11</v>
      </c>
      <c r="E2187" s="38" t="n">
        <f aca="false">'Matrice des notes'!E64</f>
        <v>1</v>
      </c>
      <c r="F2187" s="37" t="s">
        <v>839</v>
      </c>
      <c r="G2187" s="39" t="s">
        <v>840</v>
      </c>
    </row>
    <row r="2188" customFormat="false" ht="15" hidden="false" customHeight="false" outlineLevel="0" collapsed="false">
      <c r="A2188" s="37" t="s">
        <v>207</v>
      </c>
      <c r="B2188" s="37" t="s">
        <v>244</v>
      </c>
      <c r="C2188" s="37" t="s">
        <v>178</v>
      </c>
      <c r="D2188" s="37" t="s">
        <v>14</v>
      </c>
      <c r="E2188" s="38" t="n">
        <f aca="false">'Matrice des notes'!F64</f>
        <v>1</v>
      </c>
      <c r="F2188" s="37" t="s">
        <v>677</v>
      </c>
      <c r="G2188" s="39" t="s">
        <v>841</v>
      </c>
    </row>
    <row r="2189" customFormat="false" ht="15" hidden="false" customHeight="false" outlineLevel="0" collapsed="false">
      <c r="A2189" s="37" t="s">
        <v>207</v>
      </c>
      <c r="B2189" s="37" t="s">
        <v>244</v>
      </c>
      <c r="C2189" s="37" t="s">
        <v>178</v>
      </c>
      <c r="D2189" s="37" t="s">
        <v>17</v>
      </c>
      <c r="E2189" s="38" t="n">
        <f aca="false">'Matrice des notes'!G64</f>
        <v>1</v>
      </c>
      <c r="F2189" s="37" t="s">
        <v>842</v>
      </c>
      <c r="G2189" s="39" t="s">
        <v>843</v>
      </c>
    </row>
    <row r="2190" customFormat="false" ht="15" hidden="false" customHeight="false" outlineLevel="0" collapsed="false">
      <c r="A2190" s="37" t="s">
        <v>207</v>
      </c>
      <c r="B2190" s="37" t="s">
        <v>244</v>
      </c>
      <c r="C2190" s="37" t="s">
        <v>178</v>
      </c>
      <c r="D2190" s="37" t="s">
        <v>20</v>
      </c>
      <c r="E2190" s="38" t="n">
        <f aca="false">'Matrice des notes'!H64</f>
        <v>1</v>
      </c>
      <c r="F2190" s="37" t="s">
        <v>839</v>
      </c>
      <c r="G2190" s="39" t="s">
        <v>844</v>
      </c>
    </row>
    <row r="2191" customFormat="false" ht="15" hidden="false" customHeight="false" outlineLevel="0" collapsed="false">
      <c r="A2191" s="37" t="s">
        <v>207</v>
      </c>
      <c r="B2191" s="37" t="s">
        <v>244</v>
      </c>
      <c r="C2191" s="37" t="s">
        <v>178</v>
      </c>
      <c r="D2191" s="37" t="s">
        <v>23</v>
      </c>
      <c r="E2191" s="38" t="n">
        <f aca="false">'Matrice des notes'!I64</f>
        <v>1</v>
      </c>
      <c r="F2191" s="37" t="s">
        <v>839</v>
      </c>
      <c r="G2191" s="39" t="s">
        <v>845</v>
      </c>
    </row>
    <row r="2192" customFormat="false" ht="15" hidden="false" customHeight="false" outlineLevel="0" collapsed="false">
      <c r="A2192" s="37" t="s">
        <v>207</v>
      </c>
      <c r="B2192" s="37" t="s">
        <v>244</v>
      </c>
      <c r="C2192" s="37" t="s">
        <v>178</v>
      </c>
      <c r="D2192" s="37" t="s">
        <v>26</v>
      </c>
      <c r="E2192" s="38" t="n">
        <f aca="false">'Matrice des notes'!J64</f>
        <v>1</v>
      </c>
      <c r="F2192" s="37" t="s">
        <v>835</v>
      </c>
      <c r="G2192" s="39" t="s">
        <v>846</v>
      </c>
    </row>
    <row r="2193" customFormat="false" ht="15" hidden="false" customHeight="false" outlineLevel="0" collapsed="false">
      <c r="A2193" s="37" t="s">
        <v>207</v>
      </c>
      <c r="B2193" s="37" t="s">
        <v>244</v>
      </c>
      <c r="C2193" s="37" t="s">
        <v>178</v>
      </c>
      <c r="D2193" s="37" t="s">
        <v>30</v>
      </c>
      <c r="E2193" s="38" t="n">
        <f aca="false">'Matrice des notes'!K64</f>
        <v>1</v>
      </c>
      <c r="F2193" s="37" t="s">
        <v>677</v>
      </c>
      <c r="G2193" s="39" t="s">
        <v>847</v>
      </c>
    </row>
    <row r="2194" customFormat="false" ht="15" hidden="false" customHeight="false" outlineLevel="0" collapsed="false">
      <c r="A2194" s="37" t="s">
        <v>207</v>
      </c>
      <c r="B2194" s="37" t="s">
        <v>244</v>
      </c>
      <c r="C2194" s="37" t="s">
        <v>178</v>
      </c>
      <c r="D2194" s="37" t="s">
        <v>34</v>
      </c>
      <c r="E2194" s="38" t="n">
        <f aca="false">'Matrice des notes'!L64</f>
        <v>2</v>
      </c>
      <c r="F2194" s="37" t="s">
        <v>891</v>
      </c>
      <c r="G2194" s="39" t="s">
        <v>892</v>
      </c>
    </row>
    <row r="2195" customFormat="false" ht="15" hidden="false" customHeight="false" outlineLevel="0" collapsed="false">
      <c r="A2195" s="37" t="s">
        <v>207</v>
      </c>
      <c r="B2195" s="37" t="s">
        <v>244</v>
      </c>
      <c r="C2195" s="37" t="s">
        <v>178</v>
      </c>
      <c r="D2195" s="37" t="s">
        <v>37</v>
      </c>
      <c r="E2195" s="38" t="n">
        <f aca="false">'Matrice des notes'!M64</f>
        <v>1</v>
      </c>
      <c r="F2195" s="37" t="s">
        <v>812</v>
      </c>
      <c r="G2195" s="39" t="s">
        <v>813</v>
      </c>
    </row>
    <row r="2196" customFormat="false" ht="15" hidden="false" customHeight="false" outlineLevel="0" collapsed="false">
      <c r="A2196" s="37" t="s">
        <v>207</v>
      </c>
      <c r="B2196" s="37" t="s">
        <v>244</v>
      </c>
      <c r="C2196" s="37" t="s">
        <v>178</v>
      </c>
      <c r="D2196" s="37" t="s">
        <v>40</v>
      </c>
      <c r="E2196" s="38" t="n">
        <f aca="false">'Matrice des notes'!N64</f>
        <v>1</v>
      </c>
      <c r="F2196" s="37" t="s">
        <v>849</v>
      </c>
      <c r="G2196" s="39" t="s">
        <v>850</v>
      </c>
    </row>
    <row r="2197" customFormat="false" ht="15" hidden="false" customHeight="false" outlineLevel="0" collapsed="false">
      <c r="A2197" s="37" t="s">
        <v>207</v>
      </c>
      <c r="B2197" s="37" t="s">
        <v>244</v>
      </c>
      <c r="C2197" s="37" t="s">
        <v>178</v>
      </c>
      <c r="D2197" s="37" t="s">
        <v>43</v>
      </c>
      <c r="E2197" s="38" t="n">
        <f aca="false">'Matrice des notes'!O64</f>
        <v>1</v>
      </c>
      <c r="F2197" s="37" t="s">
        <v>816</v>
      </c>
      <c r="G2197" s="39" t="s">
        <v>866</v>
      </c>
    </row>
    <row r="2198" customFormat="false" ht="15" hidden="false" customHeight="false" outlineLevel="0" collapsed="false">
      <c r="A2198" s="37" t="s">
        <v>207</v>
      </c>
      <c r="B2198" s="37" t="s">
        <v>244</v>
      </c>
      <c r="C2198" s="37" t="s">
        <v>178</v>
      </c>
      <c r="D2198" s="37" t="s">
        <v>46</v>
      </c>
      <c r="E2198" s="38" t="n">
        <f aca="false">'Matrice des notes'!P64</f>
        <v>1</v>
      </c>
      <c r="F2198" s="37" t="s">
        <v>839</v>
      </c>
      <c r="G2198" s="39" t="s">
        <v>851</v>
      </c>
    </row>
    <row r="2199" customFormat="false" ht="15" hidden="false" customHeight="false" outlineLevel="0" collapsed="false">
      <c r="A2199" s="37" t="s">
        <v>207</v>
      </c>
      <c r="B2199" s="37" t="s">
        <v>244</v>
      </c>
      <c r="C2199" s="37" t="s">
        <v>179</v>
      </c>
      <c r="D2199" s="37" t="s">
        <v>49</v>
      </c>
      <c r="E2199" s="38" t="n">
        <f aca="false">'Matrice des notes'!Q64</f>
        <v>1</v>
      </c>
      <c r="F2199" s="37" t="s">
        <v>927</v>
      </c>
      <c r="G2199" s="39" t="s">
        <v>928</v>
      </c>
    </row>
    <row r="2200" customFormat="false" ht="15" hidden="false" customHeight="false" outlineLevel="0" collapsed="false">
      <c r="A2200" s="37" t="s">
        <v>207</v>
      </c>
      <c r="B2200" s="37" t="s">
        <v>244</v>
      </c>
      <c r="C2200" s="37" t="s">
        <v>179</v>
      </c>
      <c r="D2200" s="37" t="s">
        <v>53</v>
      </c>
      <c r="E2200" s="38" t="n">
        <f aca="false">'Matrice des notes'!R64</f>
        <v>2</v>
      </c>
      <c r="F2200" s="37" t="s">
        <v>891</v>
      </c>
      <c r="G2200" s="39" t="s">
        <v>893</v>
      </c>
    </row>
    <row r="2201" customFormat="false" ht="15" hidden="false" customHeight="false" outlineLevel="0" collapsed="false">
      <c r="A2201" s="37" t="s">
        <v>207</v>
      </c>
      <c r="B2201" s="37" t="s">
        <v>244</v>
      </c>
      <c r="C2201" s="37" t="s">
        <v>179</v>
      </c>
      <c r="D2201" s="37" t="s">
        <v>56</v>
      </c>
      <c r="E2201" s="38" t="n">
        <f aca="false">'Matrice des notes'!S64</f>
        <v>1</v>
      </c>
      <c r="F2201" s="37" t="s">
        <v>839</v>
      </c>
      <c r="G2201" s="39" t="s">
        <v>854</v>
      </c>
    </row>
    <row r="2202" customFormat="false" ht="15" hidden="false" customHeight="false" outlineLevel="0" collapsed="false">
      <c r="A2202" s="37" t="s">
        <v>207</v>
      </c>
      <c r="B2202" s="37" t="s">
        <v>244</v>
      </c>
      <c r="C2202" s="37" t="s">
        <v>179</v>
      </c>
      <c r="D2202" s="37" t="s">
        <v>59</v>
      </c>
      <c r="E2202" s="38" t="n">
        <f aca="false">'Matrice des notes'!T64</f>
        <v>1</v>
      </c>
      <c r="F2202" s="37" t="s">
        <v>839</v>
      </c>
      <c r="G2202" s="39" t="s">
        <v>855</v>
      </c>
    </row>
    <row r="2203" customFormat="false" ht="15" hidden="false" customHeight="false" outlineLevel="0" collapsed="false">
      <c r="A2203" s="37" t="s">
        <v>207</v>
      </c>
      <c r="B2203" s="37" t="s">
        <v>244</v>
      </c>
      <c r="C2203" s="37" t="s">
        <v>179</v>
      </c>
      <c r="D2203" s="37" t="s">
        <v>62</v>
      </c>
      <c r="E2203" s="38" t="n">
        <f aca="false">'Matrice des notes'!U64</f>
        <v>1</v>
      </c>
      <c r="F2203" s="37" t="s">
        <v>927</v>
      </c>
      <c r="G2203" s="39" t="s">
        <v>929</v>
      </c>
    </row>
    <row r="2204" customFormat="false" ht="15" hidden="false" customHeight="false" outlineLevel="0" collapsed="false">
      <c r="A2204" s="37" t="s">
        <v>207</v>
      </c>
      <c r="B2204" s="37" t="s">
        <v>244</v>
      </c>
      <c r="C2204" s="37" t="s">
        <v>179</v>
      </c>
      <c r="D2204" s="37" t="s">
        <v>65</v>
      </c>
      <c r="E2204" s="38" t="n">
        <f aca="false">'Matrice des notes'!V64</f>
        <v>3</v>
      </c>
      <c r="F2204" s="37" t="s">
        <v>903</v>
      </c>
      <c r="G2204" s="39" t="s">
        <v>904</v>
      </c>
    </row>
    <row r="2205" customFormat="false" ht="15" hidden="false" customHeight="false" outlineLevel="0" collapsed="false">
      <c r="A2205" s="37" t="s">
        <v>207</v>
      </c>
      <c r="B2205" s="37" t="s">
        <v>244</v>
      </c>
      <c r="C2205" s="37" t="s">
        <v>179</v>
      </c>
      <c r="D2205" s="37" t="s">
        <v>68</v>
      </c>
      <c r="E2205" s="38" t="n">
        <f aca="false">'Matrice des notes'!W64</f>
        <v>1</v>
      </c>
      <c r="F2205" s="37" t="s">
        <v>827</v>
      </c>
      <c r="G2205" s="39" t="s">
        <v>872</v>
      </c>
    </row>
    <row r="2206" customFormat="false" ht="15" hidden="false" customHeight="false" outlineLevel="0" collapsed="false">
      <c r="A2206" s="37" t="s">
        <v>207</v>
      </c>
      <c r="B2206" s="37" t="s">
        <v>244</v>
      </c>
      <c r="C2206" s="37" t="s">
        <v>179</v>
      </c>
      <c r="D2206" s="37" t="s">
        <v>71</v>
      </c>
      <c r="E2206" s="38" t="n">
        <f aca="false">'Matrice des notes'!X64</f>
        <v>1</v>
      </c>
      <c r="F2206" s="37" t="s">
        <v>708</v>
      </c>
      <c r="G2206" s="39" t="s">
        <v>857</v>
      </c>
    </row>
    <row r="2207" customFormat="false" ht="15" hidden="false" customHeight="false" outlineLevel="0" collapsed="false">
      <c r="A2207" s="37" t="s">
        <v>207</v>
      </c>
      <c r="B2207" s="37" t="s">
        <v>244</v>
      </c>
      <c r="C2207" s="37" t="s">
        <v>179</v>
      </c>
      <c r="D2207" s="37" t="s">
        <v>74</v>
      </c>
      <c r="E2207" s="38" t="n">
        <f aca="false">'Matrice des notes'!Y64</f>
        <v>3</v>
      </c>
      <c r="F2207" s="37" t="s">
        <v>673</v>
      </c>
      <c r="G2207" s="39" t="s">
        <v>896</v>
      </c>
    </row>
    <row r="2208" customFormat="false" ht="15" hidden="false" customHeight="false" outlineLevel="0" collapsed="false">
      <c r="A2208" s="37" t="s">
        <v>207</v>
      </c>
      <c r="B2208" s="37" t="s">
        <v>244</v>
      </c>
      <c r="C2208" s="37" t="s">
        <v>179</v>
      </c>
      <c r="D2208" s="37" t="s">
        <v>77</v>
      </c>
      <c r="E2208" s="38" t="n">
        <f aca="false">'Matrice des notes'!Z64</f>
        <v>1</v>
      </c>
      <c r="F2208" s="37" t="s">
        <v>842</v>
      </c>
      <c r="G2208" s="39" t="s">
        <v>858</v>
      </c>
    </row>
    <row r="2209" customFormat="false" ht="15" hidden="false" customHeight="false" outlineLevel="0" collapsed="false">
      <c r="A2209" s="37" t="s">
        <v>207</v>
      </c>
      <c r="B2209" s="37" t="s">
        <v>244</v>
      </c>
      <c r="C2209" s="37" t="s">
        <v>179</v>
      </c>
      <c r="D2209" s="37" t="s">
        <v>80</v>
      </c>
      <c r="E2209" s="38" t="n">
        <f aca="false">'Matrice des notes'!AA64</f>
        <v>3</v>
      </c>
      <c r="F2209" s="37" t="s">
        <v>907</v>
      </c>
      <c r="G2209" s="39" t="s">
        <v>908</v>
      </c>
    </row>
    <row r="2210" customFormat="false" ht="15" hidden="false" customHeight="false" outlineLevel="0" collapsed="false">
      <c r="A2210" s="37" t="s">
        <v>207</v>
      </c>
      <c r="B2210" s="37" t="s">
        <v>244</v>
      </c>
      <c r="C2210" s="37" t="s">
        <v>179</v>
      </c>
      <c r="D2210" s="37" t="s">
        <v>83</v>
      </c>
      <c r="E2210" s="38" t="n">
        <f aca="false">'Matrice des notes'!AB64</f>
        <v>2</v>
      </c>
      <c r="F2210" s="37" t="s">
        <v>944</v>
      </c>
      <c r="G2210" s="39" t="s">
        <v>945</v>
      </c>
    </row>
    <row r="2211" customFormat="false" ht="15" hidden="false" customHeight="false" outlineLevel="0" collapsed="false">
      <c r="A2211" s="37" t="s">
        <v>207</v>
      </c>
      <c r="B2211" s="37" t="s">
        <v>244</v>
      </c>
      <c r="C2211" s="37" t="s">
        <v>179</v>
      </c>
      <c r="D2211" s="37" t="s">
        <v>86</v>
      </c>
      <c r="E2211" s="38" t="n">
        <f aca="false">'Matrice des notes'!AC64</f>
        <v>3</v>
      </c>
      <c r="F2211" s="37" t="s">
        <v>935</v>
      </c>
      <c r="G2211" s="39" t="s">
        <v>936</v>
      </c>
    </row>
    <row r="2212" customFormat="false" ht="15" hidden="false" customHeight="false" outlineLevel="0" collapsed="false">
      <c r="A2212" s="37" t="s">
        <v>207</v>
      </c>
      <c r="B2212" s="37" t="s">
        <v>244</v>
      </c>
      <c r="C2212" s="37" t="s">
        <v>179</v>
      </c>
      <c r="D2212" s="37" t="s">
        <v>89</v>
      </c>
      <c r="E2212" s="38" t="n">
        <f aca="false">'Matrice des notes'!AD64</f>
        <v>3</v>
      </c>
      <c r="F2212" s="37" t="s">
        <v>937</v>
      </c>
      <c r="G2212" s="39" t="s">
        <v>938</v>
      </c>
    </row>
    <row r="2213" customFormat="false" ht="15" hidden="false" customHeight="false" outlineLevel="0" collapsed="false">
      <c r="A2213" s="37" t="s">
        <v>207</v>
      </c>
      <c r="B2213" s="37" t="s">
        <v>244</v>
      </c>
      <c r="C2213" s="37" t="s">
        <v>179</v>
      </c>
      <c r="D2213" s="37" t="s">
        <v>92</v>
      </c>
      <c r="E2213" s="38" t="n">
        <f aca="false">'Matrice des notes'!AE64</f>
        <v>3</v>
      </c>
      <c r="F2213" s="37" t="s">
        <v>966</v>
      </c>
      <c r="G2213" s="39" t="s">
        <v>967</v>
      </c>
    </row>
    <row r="2214" customFormat="false" ht="15" hidden="false" customHeight="false" outlineLevel="0" collapsed="false">
      <c r="A2214" s="37" t="s">
        <v>207</v>
      </c>
      <c r="B2214" s="37" t="s">
        <v>244</v>
      </c>
      <c r="C2214" s="37" t="s">
        <v>180</v>
      </c>
      <c r="D2214" s="37" t="s">
        <v>95</v>
      </c>
      <c r="E2214" s="38" t="n">
        <f aca="false">'Matrice des notes'!AF64</f>
        <v>1</v>
      </c>
      <c r="F2214" s="37" t="s">
        <v>631</v>
      </c>
      <c r="G2214" s="39" t="s">
        <v>654</v>
      </c>
    </row>
    <row r="2215" customFormat="false" ht="15" hidden="false" customHeight="false" outlineLevel="0" collapsed="false">
      <c r="A2215" s="37" t="s">
        <v>207</v>
      </c>
      <c r="B2215" s="37" t="s">
        <v>244</v>
      </c>
      <c r="C2215" s="37" t="s">
        <v>180</v>
      </c>
      <c r="D2215" s="37" t="s">
        <v>99</v>
      </c>
      <c r="E2215" s="38" t="n">
        <f aca="false">'Matrice des notes'!AG64</f>
        <v>1</v>
      </c>
      <c r="F2215" s="37" t="s">
        <v>655</v>
      </c>
      <c r="G2215" s="39" t="s">
        <v>656</v>
      </c>
    </row>
    <row r="2216" customFormat="false" ht="15" hidden="false" customHeight="false" outlineLevel="0" collapsed="false">
      <c r="A2216" s="37" t="s">
        <v>207</v>
      </c>
      <c r="B2216" s="37" t="s">
        <v>244</v>
      </c>
      <c r="C2216" s="37" t="s">
        <v>180</v>
      </c>
      <c r="D2216" s="37" t="s">
        <v>102</v>
      </c>
      <c r="E2216" s="38" t="n">
        <f aca="false">'Matrice des notes'!AH64</f>
        <v>1</v>
      </c>
      <c r="F2216" s="37" t="s">
        <v>655</v>
      </c>
      <c r="G2216" s="39" t="s">
        <v>656</v>
      </c>
    </row>
    <row r="2217" customFormat="false" ht="15" hidden="false" customHeight="false" outlineLevel="0" collapsed="false">
      <c r="A2217" s="37" t="s">
        <v>207</v>
      </c>
      <c r="B2217" s="37" t="s">
        <v>244</v>
      </c>
      <c r="C2217" s="37" t="s">
        <v>180</v>
      </c>
      <c r="D2217" s="37" t="s">
        <v>104</v>
      </c>
      <c r="E2217" s="38" t="n">
        <f aca="false">'Matrice des notes'!AI64</f>
        <v>1</v>
      </c>
      <c r="F2217" s="37" t="s">
        <v>631</v>
      </c>
      <c r="G2217" s="39" t="s">
        <v>654</v>
      </c>
    </row>
    <row r="2218" customFormat="false" ht="15" hidden="false" customHeight="false" outlineLevel="0" collapsed="false">
      <c r="A2218" s="37" t="s">
        <v>207</v>
      </c>
      <c r="B2218" s="37" t="s">
        <v>244</v>
      </c>
      <c r="C2218" s="37" t="s">
        <v>180</v>
      </c>
      <c r="D2218" s="37" t="s">
        <v>107</v>
      </c>
      <c r="E2218" s="38" t="n">
        <f aca="false">'Matrice des notes'!AJ64</f>
        <v>1</v>
      </c>
      <c r="F2218" s="37" t="s">
        <v>631</v>
      </c>
      <c r="G2218" s="39" t="s">
        <v>654</v>
      </c>
    </row>
    <row r="2219" customFormat="false" ht="15" hidden="false" customHeight="false" outlineLevel="0" collapsed="false">
      <c r="A2219" s="37" t="s">
        <v>207</v>
      </c>
      <c r="B2219" s="37" t="s">
        <v>244</v>
      </c>
      <c r="C2219" s="37" t="s">
        <v>180</v>
      </c>
      <c r="D2219" s="37" t="s">
        <v>110</v>
      </c>
      <c r="E2219" s="38" t="n">
        <f aca="false">'Matrice des notes'!AK64</f>
        <v>1</v>
      </c>
      <c r="F2219" s="37" t="s">
        <v>631</v>
      </c>
      <c r="G2219" s="39" t="s">
        <v>654</v>
      </c>
    </row>
    <row r="2220" customFormat="false" ht="15" hidden="false" customHeight="false" outlineLevel="0" collapsed="false">
      <c r="A2220" s="37" t="s">
        <v>207</v>
      </c>
      <c r="B2220" s="37" t="s">
        <v>244</v>
      </c>
      <c r="C2220" s="37" t="s">
        <v>180</v>
      </c>
      <c r="D2220" s="37" t="s">
        <v>113</v>
      </c>
      <c r="E2220" s="38" t="n">
        <f aca="false">'Matrice des notes'!AL64</f>
        <v>1</v>
      </c>
      <c r="F2220" s="37" t="s">
        <v>631</v>
      </c>
      <c r="G2220" s="39" t="s">
        <v>654</v>
      </c>
    </row>
    <row r="2221" customFormat="false" ht="15" hidden="false" customHeight="false" outlineLevel="0" collapsed="false">
      <c r="A2221" s="37" t="s">
        <v>207</v>
      </c>
      <c r="B2221" s="37" t="s">
        <v>244</v>
      </c>
      <c r="C2221" s="37" t="s">
        <v>180</v>
      </c>
      <c r="D2221" s="37" t="s">
        <v>116</v>
      </c>
      <c r="E2221" s="38" t="n">
        <f aca="false">'Matrice des notes'!AM64</f>
        <v>1</v>
      </c>
      <c r="F2221" s="37" t="s">
        <v>655</v>
      </c>
      <c r="G2221" s="39" t="s">
        <v>656</v>
      </c>
    </row>
    <row r="2222" customFormat="false" ht="15" hidden="false" customHeight="false" outlineLevel="0" collapsed="false">
      <c r="A2222" s="37" t="s">
        <v>207</v>
      </c>
      <c r="B2222" s="37" t="s">
        <v>244</v>
      </c>
      <c r="C2222" s="37" t="s">
        <v>180</v>
      </c>
      <c r="D2222" s="37" t="s">
        <v>119</v>
      </c>
      <c r="E2222" s="38" t="n">
        <f aca="false">'Matrice des notes'!AN64</f>
        <v>1</v>
      </c>
      <c r="F2222" s="37" t="s">
        <v>631</v>
      </c>
      <c r="G2222" s="39" t="s">
        <v>654</v>
      </c>
    </row>
    <row r="2223" customFormat="false" ht="15" hidden="false" customHeight="false" outlineLevel="0" collapsed="false">
      <c r="A2223" s="37" t="s">
        <v>207</v>
      </c>
      <c r="B2223" s="37" t="s">
        <v>244</v>
      </c>
      <c r="C2223" s="37" t="s">
        <v>180</v>
      </c>
      <c r="D2223" s="37" t="s">
        <v>121</v>
      </c>
      <c r="E2223" s="38" t="n">
        <f aca="false">'Matrice des notes'!AO64</f>
        <v>1</v>
      </c>
      <c r="F2223" s="37" t="s">
        <v>657</v>
      </c>
      <c r="G2223" s="39" t="s">
        <v>658</v>
      </c>
    </row>
    <row r="2224" customFormat="false" ht="15" hidden="false" customHeight="false" outlineLevel="0" collapsed="false">
      <c r="A2224" s="37" t="s">
        <v>207</v>
      </c>
      <c r="B2224" s="37" t="s">
        <v>244</v>
      </c>
      <c r="C2224" s="37" t="s">
        <v>180</v>
      </c>
      <c r="D2224" s="37" t="s">
        <v>124</v>
      </c>
      <c r="E2224" s="38" t="n">
        <f aca="false">'Matrice des notes'!AP64</f>
        <v>1</v>
      </c>
      <c r="F2224" s="37" t="s">
        <v>863</v>
      </c>
      <c r="G2224" s="39" t="s">
        <v>864</v>
      </c>
    </row>
    <row r="2225" customFormat="false" ht="22.35" hidden="false" customHeight="false" outlineLevel="0" collapsed="false">
      <c r="A2225" s="37" t="s">
        <v>207</v>
      </c>
      <c r="B2225" s="37" t="s">
        <v>245</v>
      </c>
      <c r="C2225" s="37" t="s">
        <v>178</v>
      </c>
      <c r="D2225" s="37" t="s">
        <v>7</v>
      </c>
      <c r="E2225" s="38" t="n">
        <f aca="false">'Matrice des notes'!D65</f>
        <v>1</v>
      </c>
      <c r="F2225" s="37" t="s">
        <v>720</v>
      </c>
      <c r="G2225" s="39" t="s">
        <v>890</v>
      </c>
    </row>
    <row r="2226" customFormat="false" ht="15" hidden="false" customHeight="false" outlineLevel="0" collapsed="false">
      <c r="A2226" s="37" t="s">
        <v>207</v>
      </c>
      <c r="B2226" s="37" t="s">
        <v>245</v>
      </c>
      <c r="C2226" s="37" t="s">
        <v>178</v>
      </c>
      <c r="D2226" s="37" t="s">
        <v>11</v>
      </c>
      <c r="E2226" s="38" t="n">
        <f aca="false">'Matrice des notes'!E65</f>
        <v>1</v>
      </c>
      <c r="F2226" s="37" t="s">
        <v>839</v>
      </c>
      <c r="G2226" s="39" t="s">
        <v>840</v>
      </c>
    </row>
    <row r="2227" customFormat="false" ht="15" hidden="false" customHeight="false" outlineLevel="0" collapsed="false">
      <c r="A2227" s="37" t="s">
        <v>207</v>
      </c>
      <c r="B2227" s="37" t="s">
        <v>245</v>
      </c>
      <c r="C2227" s="37" t="s">
        <v>178</v>
      </c>
      <c r="D2227" s="37" t="s">
        <v>14</v>
      </c>
      <c r="E2227" s="38" t="n">
        <f aca="false">'Matrice des notes'!F65</f>
        <v>1</v>
      </c>
      <c r="F2227" s="37" t="s">
        <v>677</v>
      </c>
      <c r="G2227" s="39" t="s">
        <v>841</v>
      </c>
    </row>
    <row r="2228" customFormat="false" ht="15" hidden="false" customHeight="false" outlineLevel="0" collapsed="false">
      <c r="A2228" s="37" t="s">
        <v>207</v>
      </c>
      <c r="B2228" s="37" t="s">
        <v>245</v>
      </c>
      <c r="C2228" s="37" t="s">
        <v>178</v>
      </c>
      <c r="D2228" s="37" t="s">
        <v>17</v>
      </c>
      <c r="E2228" s="38" t="n">
        <f aca="false">'Matrice des notes'!G65</f>
        <v>1</v>
      </c>
      <c r="F2228" s="37" t="s">
        <v>842</v>
      </c>
      <c r="G2228" s="39" t="s">
        <v>843</v>
      </c>
    </row>
    <row r="2229" customFormat="false" ht="15" hidden="false" customHeight="false" outlineLevel="0" collapsed="false">
      <c r="A2229" s="37" t="s">
        <v>207</v>
      </c>
      <c r="B2229" s="37" t="s">
        <v>245</v>
      </c>
      <c r="C2229" s="37" t="s">
        <v>178</v>
      </c>
      <c r="D2229" s="37" t="s">
        <v>20</v>
      </c>
      <c r="E2229" s="38" t="n">
        <f aca="false">'Matrice des notes'!H65</f>
        <v>1</v>
      </c>
      <c r="F2229" s="37" t="s">
        <v>839</v>
      </c>
      <c r="G2229" s="39" t="s">
        <v>844</v>
      </c>
    </row>
    <row r="2230" customFormat="false" ht="15" hidden="false" customHeight="false" outlineLevel="0" collapsed="false">
      <c r="A2230" s="37" t="s">
        <v>207</v>
      </c>
      <c r="B2230" s="37" t="s">
        <v>245</v>
      </c>
      <c r="C2230" s="37" t="s">
        <v>178</v>
      </c>
      <c r="D2230" s="37" t="s">
        <v>23</v>
      </c>
      <c r="E2230" s="38" t="n">
        <f aca="false">'Matrice des notes'!I65</f>
        <v>1</v>
      </c>
      <c r="F2230" s="37" t="s">
        <v>839</v>
      </c>
      <c r="G2230" s="39" t="s">
        <v>845</v>
      </c>
    </row>
    <row r="2231" customFormat="false" ht="15" hidden="false" customHeight="false" outlineLevel="0" collapsed="false">
      <c r="A2231" s="37" t="s">
        <v>207</v>
      </c>
      <c r="B2231" s="37" t="s">
        <v>245</v>
      </c>
      <c r="C2231" s="37" t="s">
        <v>178</v>
      </c>
      <c r="D2231" s="37" t="s">
        <v>26</v>
      </c>
      <c r="E2231" s="38" t="n">
        <f aca="false">'Matrice des notes'!J65</f>
        <v>1</v>
      </c>
      <c r="F2231" s="37" t="s">
        <v>835</v>
      </c>
      <c r="G2231" s="39" t="s">
        <v>846</v>
      </c>
    </row>
    <row r="2232" customFormat="false" ht="15" hidden="false" customHeight="false" outlineLevel="0" collapsed="false">
      <c r="A2232" s="37" t="s">
        <v>207</v>
      </c>
      <c r="B2232" s="37" t="s">
        <v>245</v>
      </c>
      <c r="C2232" s="37" t="s">
        <v>178</v>
      </c>
      <c r="D2232" s="37" t="s">
        <v>30</v>
      </c>
      <c r="E2232" s="38" t="n">
        <f aca="false">'Matrice des notes'!K65</f>
        <v>1</v>
      </c>
      <c r="F2232" s="37" t="s">
        <v>677</v>
      </c>
      <c r="G2232" s="39" t="s">
        <v>847</v>
      </c>
    </row>
    <row r="2233" customFormat="false" ht="22.35" hidden="false" customHeight="false" outlineLevel="0" collapsed="false">
      <c r="A2233" s="37" t="s">
        <v>207</v>
      </c>
      <c r="B2233" s="37" t="s">
        <v>245</v>
      </c>
      <c r="C2233" s="37" t="s">
        <v>178</v>
      </c>
      <c r="D2233" s="37" t="s">
        <v>34</v>
      </c>
      <c r="E2233" s="38" t="n">
        <f aca="false">'Matrice des notes'!L65</f>
        <v>1</v>
      </c>
      <c r="F2233" s="37" t="s">
        <v>972</v>
      </c>
      <c r="G2233" s="39" t="s">
        <v>973</v>
      </c>
    </row>
    <row r="2234" customFormat="false" ht="15" hidden="false" customHeight="false" outlineLevel="0" collapsed="false">
      <c r="A2234" s="37" t="s">
        <v>207</v>
      </c>
      <c r="B2234" s="37" t="s">
        <v>245</v>
      </c>
      <c r="C2234" s="37" t="s">
        <v>178</v>
      </c>
      <c r="D2234" s="37" t="s">
        <v>37</v>
      </c>
      <c r="E2234" s="38" t="n">
        <f aca="false">'Matrice des notes'!M65</f>
        <v>1</v>
      </c>
      <c r="F2234" s="37" t="s">
        <v>812</v>
      </c>
      <c r="G2234" s="39" t="s">
        <v>813</v>
      </c>
    </row>
    <row r="2235" customFormat="false" ht="15" hidden="false" customHeight="false" outlineLevel="0" collapsed="false">
      <c r="A2235" s="37" t="s">
        <v>207</v>
      </c>
      <c r="B2235" s="37" t="s">
        <v>245</v>
      </c>
      <c r="C2235" s="37" t="s">
        <v>178</v>
      </c>
      <c r="D2235" s="37" t="s">
        <v>40</v>
      </c>
      <c r="E2235" s="38" t="n">
        <f aca="false">'Matrice des notes'!N65</f>
        <v>1</v>
      </c>
      <c r="F2235" s="37" t="s">
        <v>849</v>
      </c>
      <c r="G2235" s="39" t="s">
        <v>850</v>
      </c>
    </row>
    <row r="2236" customFormat="false" ht="15" hidden="false" customHeight="false" outlineLevel="0" collapsed="false">
      <c r="A2236" s="37" t="s">
        <v>207</v>
      </c>
      <c r="B2236" s="37" t="s">
        <v>245</v>
      </c>
      <c r="C2236" s="37" t="s">
        <v>178</v>
      </c>
      <c r="D2236" s="37" t="s">
        <v>43</v>
      </c>
      <c r="E2236" s="38" t="n">
        <f aca="false">'Matrice des notes'!O65</f>
        <v>1</v>
      </c>
      <c r="F2236" s="37" t="s">
        <v>816</v>
      </c>
      <c r="G2236" s="39" t="s">
        <v>866</v>
      </c>
    </row>
    <row r="2237" customFormat="false" ht="15" hidden="false" customHeight="false" outlineLevel="0" collapsed="false">
      <c r="A2237" s="37" t="s">
        <v>207</v>
      </c>
      <c r="B2237" s="37" t="s">
        <v>245</v>
      </c>
      <c r="C2237" s="37" t="s">
        <v>178</v>
      </c>
      <c r="D2237" s="37" t="s">
        <v>46</v>
      </c>
      <c r="E2237" s="38" t="n">
        <f aca="false">'Matrice des notes'!P65</f>
        <v>1</v>
      </c>
      <c r="F2237" s="37" t="s">
        <v>839</v>
      </c>
      <c r="G2237" s="39" t="s">
        <v>851</v>
      </c>
    </row>
    <row r="2238" customFormat="false" ht="22.35" hidden="false" customHeight="false" outlineLevel="0" collapsed="false">
      <c r="A2238" s="37" t="s">
        <v>207</v>
      </c>
      <c r="B2238" s="37" t="s">
        <v>245</v>
      </c>
      <c r="C2238" s="37" t="s">
        <v>179</v>
      </c>
      <c r="D2238" s="37" t="s">
        <v>49</v>
      </c>
      <c r="E2238" s="38" t="n">
        <f aca="false">'Matrice des notes'!Q65</f>
        <v>1</v>
      </c>
      <c r="F2238" s="37" t="s">
        <v>974</v>
      </c>
      <c r="G2238" s="39" t="s">
        <v>975</v>
      </c>
    </row>
    <row r="2239" customFormat="false" ht="22.35" hidden="false" customHeight="false" outlineLevel="0" collapsed="false">
      <c r="A2239" s="37" t="s">
        <v>207</v>
      </c>
      <c r="B2239" s="37" t="s">
        <v>245</v>
      </c>
      <c r="C2239" s="37" t="s">
        <v>179</v>
      </c>
      <c r="D2239" s="37" t="s">
        <v>53</v>
      </c>
      <c r="E2239" s="38" t="n">
        <f aca="false">'Matrice des notes'!R65</f>
        <v>1</v>
      </c>
      <c r="F2239" s="37" t="s">
        <v>972</v>
      </c>
      <c r="G2239" s="39" t="s">
        <v>976</v>
      </c>
    </row>
    <row r="2240" customFormat="false" ht="15" hidden="false" customHeight="false" outlineLevel="0" collapsed="false">
      <c r="A2240" s="37" t="s">
        <v>207</v>
      </c>
      <c r="B2240" s="37" t="s">
        <v>245</v>
      </c>
      <c r="C2240" s="37" t="s">
        <v>179</v>
      </c>
      <c r="D2240" s="37" t="s">
        <v>56</v>
      </c>
      <c r="E2240" s="38" t="n">
        <f aca="false">'Matrice des notes'!S65</f>
        <v>1</v>
      </c>
      <c r="F2240" s="37" t="s">
        <v>839</v>
      </c>
      <c r="G2240" s="39" t="s">
        <v>854</v>
      </c>
    </row>
    <row r="2241" customFormat="false" ht="15" hidden="false" customHeight="false" outlineLevel="0" collapsed="false">
      <c r="A2241" s="37" t="s">
        <v>207</v>
      </c>
      <c r="B2241" s="37" t="s">
        <v>245</v>
      </c>
      <c r="C2241" s="37" t="s">
        <v>179</v>
      </c>
      <c r="D2241" s="37" t="s">
        <v>59</v>
      </c>
      <c r="E2241" s="38" t="n">
        <f aca="false">'Matrice des notes'!T65</f>
        <v>1</v>
      </c>
      <c r="F2241" s="37" t="s">
        <v>839</v>
      </c>
      <c r="G2241" s="39" t="s">
        <v>855</v>
      </c>
    </row>
    <row r="2242" customFormat="false" ht="22.35" hidden="false" customHeight="false" outlineLevel="0" collapsed="false">
      <c r="A2242" s="37" t="s">
        <v>207</v>
      </c>
      <c r="B2242" s="37" t="s">
        <v>245</v>
      </c>
      <c r="C2242" s="37" t="s">
        <v>179</v>
      </c>
      <c r="D2242" s="37" t="s">
        <v>62</v>
      </c>
      <c r="E2242" s="38" t="n">
        <f aca="false">'Matrice des notes'!U65</f>
        <v>1</v>
      </c>
      <c r="F2242" s="37" t="s">
        <v>974</v>
      </c>
      <c r="G2242" s="39" t="s">
        <v>977</v>
      </c>
    </row>
    <row r="2243" customFormat="false" ht="22.35" hidden="false" customHeight="false" outlineLevel="0" collapsed="false">
      <c r="A2243" s="37" t="s">
        <v>207</v>
      </c>
      <c r="B2243" s="37" t="s">
        <v>245</v>
      </c>
      <c r="C2243" s="37" t="s">
        <v>179</v>
      </c>
      <c r="D2243" s="37" t="s">
        <v>65</v>
      </c>
      <c r="E2243" s="38" t="n">
        <f aca="false">'Matrice des notes'!V65</f>
        <v>1</v>
      </c>
      <c r="F2243" s="37" t="s">
        <v>891</v>
      </c>
      <c r="G2243" s="39" t="s">
        <v>914</v>
      </c>
    </row>
    <row r="2244" customFormat="false" ht="15" hidden="false" customHeight="false" outlineLevel="0" collapsed="false">
      <c r="A2244" s="37" t="s">
        <v>207</v>
      </c>
      <c r="B2244" s="37" t="s">
        <v>245</v>
      </c>
      <c r="C2244" s="37" t="s">
        <v>179</v>
      </c>
      <c r="D2244" s="37" t="s">
        <v>68</v>
      </c>
      <c r="E2244" s="38" t="n">
        <f aca="false">'Matrice des notes'!W65</f>
        <v>1</v>
      </c>
      <c r="F2244" s="37" t="s">
        <v>827</v>
      </c>
      <c r="G2244" s="39" t="s">
        <v>872</v>
      </c>
    </row>
    <row r="2245" customFormat="false" ht="15" hidden="false" customHeight="false" outlineLevel="0" collapsed="false">
      <c r="A2245" s="37" t="s">
        <v>207</v>
      </c>
      <c r="B2245" s="37" t="s">
        <v>245</v>
      </c>
      <c r="C2245" s="37" t="s">
        <v>179</v>
      </c>
      <c r="D2245" s="37" t="s">
        <v>71</v>
      </c>
      <c r="E2245" s="38" t="n">
        <f aca="false">'Matrice des notes'!X65</f>
        <v>1</v>
      </c>
      <c r="F2245" s="37" t="s">
        <v>708</v>
      </c>
      <c r="G2245" s="39" t="s">
        <v>857</v>
      </c>
    </row>
    <row r="2246" customFormat="false" ht="15" hidden="false" customHeight="false" outlineLevel="0" collapsed="false">
      <c r="A2246" s="37" t="s">
        <v>207</v>
      </c>
      <c r="B2246" s="37" t="s">
        <v>245</v>
      </c>
      <c r="C2246" s="37" t="s">
        <v>179</v>
      </c>
      <c r="D2246" s="37" t="s">
        <v>74</v>
      </c>
      <c r="E2246" s="38" t="n">
        <f aca="false">'Matrice des notes'!Y65</f>
        <v>1</v>
      </c>
      <c r="F2246" s="37" t="s">
        <v>915</v>
      </c>
      <c r="G2246" s="39" t="s">
        <v>916</v>
      </c>
    </row>
    <row r="2247" customFormat="false" ht="15" hidden="false" customHeight="false" outlineLevel="0" collapsed="false">
      <c r="A2247" s="37" t="s">
        <v>207</v>
      </c>
      <c r="B2247" s="37" t="s">
        <v>245</v>
      </c>
      <c r="C2247" s="37" t="s">
        <v>179</v>
      </c>
      <c r="D2247" s="37" t="s">
        <v>77</v>
      </c>
      <c r="E2247" s="38" t="n">
        <f aca="false">'Matrice des notes'!Z65</f>
        <v>1</v>
      </c>
      <c r="F2247" s="37" t="s">
        <v>842</v>
      </c>
      <c r="G2247" s="39" t="s">
        <v>858</v>
      </c>
    </row>
    <row r="2248" customFormat="false" ht="15" hidden="false" customHeight="false" outlineLevel="0" collapsed="false">
      <c r="A2248" s="37" t="s">
        <v>207</v>
      </c>
      <c r="B2248" s="37" t="s">
        <v>245</v>
      </c>
      <c r="C2248" s="37" t="s">
        <v>179</v>
      </c>
      <c r="D2248" s="37" t="s">
        <v>80</v>
      </c>
      <c r="E2248" s="38" t="n">
        <f aca="false">'Matrice des notes'!AA65</f>
        <v>1</v>
      </c>
      <c r="F2248" s="37" t="s">
        <v>917</v>
      </c>
      <c r="G2248" s="39" t="s">
        <v>918</v>
      </c>
    </row>
    <row r="2249" customFormat="false" ht="22.35" hidden="false" customHeight="false" outlineLevel="0" collapsed="false">
      <c r="A2249" s="37" t="s">
        <v>207</v>
      </c>
      <c r="B2249" s="37" t="s">
        <v>245</v>
      </c>
      <c r="C2249" s="37" t="s">
        <v>179</v>
      </c>
      <c r="D2249" s="37" t="s">
        <v>83</v>
      </c>
      <c r="E2249" s="38" t="n">
        <f aca="false">'Matrice des notes'!AB65</f>
        <v>1</v>
      </c>
      <c r="F2249" s="37" t="s">
        <v>978</v>
      </c>
      <c r="G2249" s="39" t="s">
        <v>979</v>
      </c>
    </row>
    <row r="2250" customFormat="false" ht="22.35" hidden="false" customHeight="false" outlineLevel="0" collapsed="false">
      <c r="A2250" s="37" t="s">
        <v>207</v>
      </c>
      <c r="B2250" s="37" t="s">
        <v>245</v>
      </c>
      <c r="C2250" s="37" t="s">
        <v>179</v>
      </c>
      <c r="D2250" s="37" t="s">
        <v>86</v>
      </c>
      <c r="E2250" s="38" t="n">
        <f aca="false">'Matrice des notes'!AC65</f>
        <v>2</v>
      </c>
      <c r="F2250" s="37" t="s">
        <v>980</v>
      </c>
      <c r="G2250" s="39" t="s">
        <v>981</v>
      </c>
    </row>
    <row r="2251" customFormat="false" ht="22.35" hidden="false" customHeight="false" outlineLevel="0" collapsed="false">
      <c r="A2251" s="37" t="s">
        <v>207</v>
      </c>
      <c r="B2251" s="37" t="s">
        <v>245</v>
      </c>
      <c r="C2251" s="37" t="s">
        <v>179</v>
      </c>
      <c r="D2251" s="37" t="s">
        <v>89</v>
      </c>
      <c r="E2251" s="38" t="n">
        <f aca="false">'Matrice des notes'!AD65</f>
        <v>2</v>
      </c>
      <c r="F2251" s="37" t="s">
        <v>982</v>
      </c>
      <c r="G2251" s="39" t="s">
        <v>983</v>
      </c>
    </row>
    <row r="2252" customFormat="false" ht="22.35" hidden="false" customHeight="false" outlineLevel="0" collapsed="false">
      <c r="A2252" s="37" t="s">
        <v>207</v>
      </c>
      <c r="B2252" s="37" t="s">
        <v>245</v>
      </c>
      <c r="C2252" s="37" t="s">
        <v>179</v>
      </c>
      <c r="D2252" s="37" t="s">
        <v>92</v>
      </c>
      <c r="E2252" s="38" t="n">
        <f aca="false">'Matrice des notes'!AE65</f>
        <v>2</v>
      </c>
      <c r="F2252" s="37" t="s">
        <v>923</v>
      </c>
      <c r="G2252" s="39" t="s">
        <v>924</v>
      </c>
    </row>
    <row r="2253" customFormat="false" ht="15" hidden="false" customHeight="false" outlineLevel="0" collapsed="false">
      <c r="A2253" s="37" t="s">
        <v>207</v>
      </c>
      <c r="B2253" s="37" t="s">
        <v>245</v>
      </c>
      <c r="C2253" s="37" t="s">
        <v>180</v>
      </c>
      <c r="D2253" s="37" t="s">
        <v>95</v>
      </c>
      <c r="E2253" s="38" t="n">
        <f aca="false">'Matrice des notes'!AF65</f>
        <v>1</v>
      </c>
      <c r="F2253" s="37" t="s">
        <v>631</v>
      </c>
      <c r="G2253" s="39" t="s">
        <v>654</v>
      </c>
    </row>
    <row r="2254" customFormat="false" ht="15" hidden="false" customHeight="false" outlineLevel="0" collapsed="false">
      <c r="A2254" s="37" t="s">
        <v>207</v>
      </c>
      <c r="B2254" s="37" t="s">
        <v>245</v>
      </c>
      <c r="C2254" s="37" t="s">
        <v>180</v>
      </c>
      <c r="D2254" s="37" t="s">
        <v>99</v>
      </c>
      <c r="E2254" s="38" t="n">
        <f aca="false">'Matrice des notes'!AG65</f>
        <v>1</v>
      </c>
      <c r="F2254" s="37" t="s">
        <v>655</v>
      </c>
      <c r="G2254" s="39" t="s">
        <v>656</v>
      </c>
    </row>
    <row r="2255" customFormat="false" ht="15" hidden="false" customHeight="false" outlineLevel="0" collapsed="false">
      <c r="A2255" s="37" t="s">
        <v>207</v>
      </c>
      <c r="B2255" s="37" t="s">
        <v>245</v>
      </c>
      <c r="C2255" s="37" t="s">
        <v>180</v>
      </c>
      <c r="D2255" s="37" t="s">
        <v>102</v>
      </c>
      <c r="E2255" s="38" t="n">
        <f aca="false">'Matrice des notes'!AH65</f>
        <v>1</v>
      </c>
      <c r="F2255" s="37" t="s">
        <v>655</v>
      </c>
      <c r="G2255" s="39" t="s">
        <v>656</v>
      </c>
    </row>
    <row r="2256" customFormat="false" ht="15" hidden="false" customHeight="false" outlineLevel="0" collapsed="false">
      <c r="A2256" s="37" t="s">
        <v>207</v>
      </c>
      <c r="B2256" s="37" t="s">
        <v>245</v>
      </c>
      <c r="C2256" s="37" t="s">
        <v>180</v>
      </c>
      <c r="D2256" s="37" t="s">
        <v>104</v>
      </c>
      <c r="E2256" s="38" t="n">
        <f aca="false">'Matrice des notes'!AI65</f>
        <v>1</v>
      </c>
      <c r="F2256" s="37" t="s">
        <v>631</v>
      </c>
      <c r="G2256" s="39" t="s">
        <v>654</v>
      </c>
    </row>
    <row r="2257" customFormat="false" ht="15" hidden="false" customHeight="false" outlineLevel="0" collapsed="false">
      <c r="A2257" s="37" t="s">
        <v>207</v>
      </c>
      <c r="B2257" s="37" t="s">
        <v>245</v>
      </c>
      <c r="C2257" s="37" t="s">
        <v>180</v>
      </c>
      <c r="D2257" s="37" t="s">
        <v>107</v>
      </c>
      <c r="E2257" s="38" t="n">
        <f aca="false">'Matrice des notes'!AJ65</f>
        <v>1</v>
      </c>
      <c r="F2257" s="37" t="s">
        <v>631</v>
      </c>
      <c r="G2257" s="39" t="s">
        <v>654</v>
      </c>
    </row>
    <row r="2258" customFormat="false" ht="15" hidden="false" customHeight="false" outlineLevel="0" collapsed="false">
      <c r="A2258" s="37" t="s">
        <v>207</v>
      </c>
      <c r="B2258" s="37" t="s">
        <v>245</v>
      </c>
      <c r="C2258" s="37" t="s">
        <v>180</v>
      </c>
      <c r="D2258" s="37" t="s">
        <v>110</v>
      </c>
      <c r="E2258" s="38" t="n">
        <f aca="false">'Matrice des notes'!AK65</f>
        <v>1</v>
      </c>
      <c r="F2258" s="37" t="s">
        <v>631</v>
      </c>
      <c r="G2258" s="39" t="s">
        <v>654</v>
      </c>
    </row>
    <row r="2259" customFormat="false" ht="15" hidden="false" customHeight="false" outlineLevel="0" collapsed="false">
      <c r="A2259" s="37" t="s">
        <v>207</v>
      </c>
      <c r="B2259" s="37" t="s">
        <v>245</v>
      </c>
      <c r="C2259" s="37" t="s">
        <v>180</v>
      </c>
      <c r="D2259" s="37" t="s">
        <v>113</v>
      </c>
      <c r="E2259" s="38" t="n">
        <f aca="false">'Matrice des notes'!AL65</f>
        <v>1</v>
      </c>
      <c r="F2259" s="37" t="s">
        <v>631</v>
      </c>
      <c r="G2259" s="39" t="s">
        <v>654</v>
      </c>
    </row>
    <row r="2260" customFormat="false" ht="15" hidden="false" customHeight="false" outlineLevel="0" collapsed="false">
      <c r="A2260" s="37" t="s">
        <v>207</v>
      </c>
      <c r="B2260" s="37" t="s">
        <v>245</v>
      </c>
      <c r="C2260" s="37" t="s">
        <v>180</v>
      </c>
      <c r="D2260" s="37" t="s">
        <v>116</v>
      </c>
      <c r="E2260" s="38" t="n">
        <f aca="false">'Matrice des notes'!AM65</f>
        <v>1</v>
      </c>
      <c r="F2260" s="37" t="s">
        <v>655</v>
      </c>
      <c r="G2260" s="39" t="s">
        <v>656</v>
      </c>
    </row>
    <row r="2261" customFormat="false" ht="15" hidden="false" customHeight="false" outlineLevel="0" collapsed="false">
      <c r="A2261" s="37" t="s">
        <v>207</v>
      </c>
      <c r="B2261" s="37" t="s">
        <v>245</v>
      </c>
      <c r="C2261" s="37" t="s">
        <v>180</v>
      </c>
      <c r="D2261" s="37" t="s">
        <v>119</v>
      </c>
      <c r="E2261" s="38" t="n">
        <f aca="false">'Matrice des notes'!AN65</f>
        <v>1</v>
      </c>
      <c r="F2261" s="37" t="s">
        <v>631</v>
      </c>
      <c r="G2261" s="39" t="s">
        <v>654</v>
      </c>
    </row>
    <row r="2262" customFormat="false" ht="15" hidden="false" customHeight="false" outlineLevel="0" collapsed="false">
      <c r="A2262" s="37" t="s">
        <v>207</v>
      </c>
      <c r="B2262" s="37" t="s">
        <v>245</v>
      </c>
      <c r="C2262" s="37" t="s">
        <v>180</v>
      </c>
      <c r="D2262" s="37" t="s">
        <v>121</v>
      </c>
      <c r="E2262" s="38" t="n">
        <f aca="false">'Matrice des notes'!AO65</f>
        <v>1</v>
      </c>
      <c r="F2262" s="37" t="s">
        <v>657</v>
      </c>
      <c r="G2262" s="39" t="s">
        <v>658</v>
      </c>
    </row>
    <row r="2263" customFormat="false" ht="15" hidden="false" customHeight="false" outlineLevel="0" collapsed="false">
      <c r="A2263" s="37" t="s">
        <v>207</v>
      </c>
      <c r="B2263" s="37" t="s">
        <v>245</v>
      </c>
      <c r="C2263" s="37" t="s">
        <v>180</v>
      </c>
      <c r="D2263" s="37" t="s">
        <v>124</v>
      </c>
      <c r="E2263" s="38" t="n">
        <f aca="false">'Matrice des notes'!AP65</f>
        <v>1</v>
      </c>
      <c r="F2263" s="37" t="s">
        <v>863</v>
      </c>
      <c r="G2263" s="39" t="s">
        <v>864</v>
      </c>
    </row>
    <row r="2264" customFormat="false" ht="15" hidden="false" customHeight="false" outlineLevel="0" collapsed="false">
      <c r="A2264" s="37" t="s">
        <v>207</v>
      </c>
      <c r="B2264" s="37" t="s">
        <v>246</v>
      </c>
      <c r="C2264" s="37" t="s">
        <v>178</v>
      </c>
      <c r="D2264" s="37" t="s">
        <v>7</v>
      </c>
      <c r="E2264" s="38" t="n">
        <f aca="false">'Matrice des notes'!D66</f>
        <v>3</v>
      </c>
      <c r="F2264" s="37" t="s">
        <v>673</v>
      </c>
      <c r="G2264" s="39" t="s">
        <v>674</v>
      </c>
    </row>
    <row r="2265" customFormat="false" ht="15" hidden="false" customHeight="false" outlineLevel="0" collapsed="false">
      <c r="A2265" s="37" t="s">
        <v>207</v>
      </c>
      <c r="B2265" s="37" t="s">
        <v>246</v>
      </c>
      <c r="C2265" s="37" t="s">
        <v>178</v>
      </c>
      <c r="D2265" s="37" t="s">
        <v>11</v>
      </c>
      <c r="E2265" s="38" t="n">
        <f aca="false">'Matrice des notes'!E66</f>
        <v>1</v>
      </c>
      <c r="F2265" s="37" t="s">
        <v>839</v>
      </c>
      <c r="G2265" s="39" t="s">
        <v>840</v>
      </c>
    </row>
    <row r="2266" customFormat="false" ht="15" hidden="false" customHeight="false" outlineLevel="0" collapsed="false">
      <c r="A2266" s="37" t="s">
        <v>207</v>
      </c>
      <c r="B2266" s="37" t="s">
        <v>246</v>
      </c>
      <c r="C2266" s="37" t="s">
        <v>178</v>
      </c>
      <c r="D2266" s="37" t="s">
        <v>14</v>
      </c>
      <c r="E2266" s="38" t="n">
        <f aca="false">'Matrice des notes'!F66</f>
        <v>1</v>
      </c>
      <c r="F2266" s="37" t="s">
        <v>677</v>
      </c>
      <c r="G2266" s="39" t="s">
        <v>841</v>
      </c>
    </row>
    <row r="2267" customFormat="false" ht="15" hidden="false" customHeight="false" outlineLevel="0" collapsed="false">
      <c r="A2267" s="37" t="s">
        <v>207</v>
      </c>
      <c r="B2267" s="37" t="s">
        <v>246</v>
      </c>
      <c r="C2267" s="37" t="s">
        <v>178</v>
      </c>
      <c r="D2267" s="37" t="s">
        <v>17</v>
      </c>
      <c r="E2267" s="38" t="n">
        <f aca="false">'Matrice des notes'!G66</f>
        <v>1</v>
      </c>
      <c r="F2267" s="37" t="s">
        <v>842</v>
      </c>
      <c r="G2267" s="39" t="s">
        <v>843</v>
      </c>
    </row>
    <row r="2268" customFormat="false" ht="15" hidden="false" customHeight="false" outlineLevel="0" collapsed="false">
      <c r="A2268" s="37" t="s">
        <v>207</v>
      </c>
      <c r="B2268" s="37" t="s">
        <v>246</v>
      </c>
      <c r="C2268" s="37" t="s">
        <v>178</v>
      </c>
      <c r="D2268" s="37" t="s">
        <v>20</v>
      </c>
      <c r="E2268" s="38" t="n">
        <f aca="false">'Matrice des notes'!H66</f>
        <v>1</v>
      </c>
      <c r="F2268" s="37" t="s">
        <v>839</v>
      </c>
      <c r="G2268" s="39" t="s">
        <v>844</v>
      </c>
    </row>
    <row r="2269" customFormat="false" ht="15" hidden="false" customHeight="false" outlineLevel="0" collapsed="false">
      <c r="A2269" s="37" t="s">
        <v>207</v>
      </c>
      <c r="B2269" s="37" t="s">
        <v>246</v>
      </c>
      <c r="C2269" s="37" t="s">
        <v>178</v>
      </c>
      <c r="D2269" s="37" t="s">
        <v>23</v>
      </c>
      <c r="E2269" s="38" t="n">
        <f aca="false">'Matrice des notes'!I66</f>
        <v>1</v>
      </c>
      <c r="F2269" s="37" t="s">
        <v>839</v>
      </c>
      <c r="G2269" s="39" t="s">
        <v>845</v>
      </c>
    </row>
    <row r="2270" customFormat="false" ht="15" hidden="false" customHeight="false" outlineLevel="0" collapsed="false">
      <c r="A2270" s="37" t="s">
        <v>207</v>
      </c>
      <c r="B2270" s="37" t="s">
        <v>246</v>
      </c>
      <c r="C2270" s="37" t="s">
        <v>178</v>
      </c>
      <c r="D2270" s="37" t="s">
        <v>26</v>
      </c>
      <c r="E2270" s="38" t="n">
        <f aca="false">'Matrice des notes'!J66</f>
        <v>1</v>
      </c>
      <c r="F2270" s="37" t="s">
        <v>835</v>
      </c>
      <c r="G2270" s="39" t="s">
        <v>846</v>
      </c>
    </row>
    <row r="2271" customFormat="false" ht="15" hidden="false" customHeight="false" outlineLevel="0" collapsed="false">
      <c r="A2271" s="37" t="s">
        <v>207</v>
      </c>
      <c r="B2271" s="37" t="s">
        <v>246</v>
      </c>
      <c r="C2271" s="37" t="s">
        <v>178</v>
      </c>
      <c r="D2271" s="37" t="s">
        <v>30</v>
      </c>
      <c r="E2271" s="38" t="n">
        <f aca="false">'Matrice des notes'!K66</f>
        <v>1</v>
      </c>
      <c r="F2271" s="37" t="s">
        <v>677</v>
      </c>
      <c r="G2271" s="39" t="s">
        <v>847</v>
      </c>
    </row>
    <row r="2272" customFormat="false" ht="15" hidden="false" customHeight="false" outlineLevel="0" collapsed="false">
      <c r="A2272" s="37" t="s">
        <v>207</v>
      </c>
      <c r="B2272" s="37" t="s">
        <v>246</v>
      </c>
      <c r="C2272" s="37" t="s">
        <v>178</v>
      </c>
      <c r="D2272" s="37" t="s">
        <v>34</v>
      </c>
      <c r="E2272" s="38" t="n">
        <f aca="false">'Matrice des notes'!L66</f>
        <v>4</v>
      </c>
      <c r="F2272" s="37" t="s">
        <v>810</v>
      </c>
      <c r="G2272" s="39" t="s">
        <v>963</v>
      </c>
    </row>
    <row r="2273" customFormat="false" ht="15" hidden="false" customHeight="false" outlineLevel="0" collapsed="false">
      <c r="A2273" s="37" t="s">
        <v>207</v>
      </c>
      <c r="B2273" s="37" t="s">
        <v>246</v>
      </c>
      <c r="C2273" s="37" t="s">
        <v>178</v>
      </c>
      <c r="D2273" s="37" t="s">
        <v>37</v>
      </c>
      <c r="E2273" s="38" t="n">
        <f aca="false">'Matrice des notes'!M66</f>
        <v>1</v>
      </c>
      <c r="F2273" s="37" t="s">
        <v>812</v>
      </c>
      <c r="G2273" s="39" t="s">
        <v>813</v>
      </c>
    </row>
    <row r="2274" customFormat="false" ht="15" hidden="false" customHeight="false" outlineLevel="0" collapsed="false">
      <c r="A2274" s="37" t="s">
        <v>207</v>
      </c>
      <c r="B2274" s="37" t="s">
        <v>246</v>
      </c>
      <c r="C2274" s="37" t="s">
        <v>178</v>
      </c>
      <c r="D2274" s="37" t="s">
        <v>40</v>
      </c>
      <c r="E2274" s="38" t="n">
        <f aca="false">'Matrice des notes'!N66</f>
        <v>1</v>
      </c>
      <c r="F2274" s="37" t="s">
        <v>849</v>
      </c>
      <c r="G2274" s="39" t="s">
        <v>850</v>
      </c>
    </row>
    <row r="2275" customFormat="false" ht="15" hidden="false" customHeight="false" outlineLevel="0" collapsed="false">
      <c r="A2275" s="37" t="s">
        <v>207</v>
      </c>
      <c r="B2275" s="37" t="s">
        <v>246</v>
      </c>
      <c r="C2275" s="37" t="s">
        <v>178</v>
      </c>
      <c r="D2275" s="37" t="s">
        <v>43</v>
      </c>
      <c r="E2275" s="38" t="n">
        <f aca="false">'Matrice des notes'!O66</f>
        <v>1</v>
      </c>
      <c r="F2275" s="37" t="s">
        <v>816</v>
      </c>
      <c r="G2275" s="39" t="s">
        <v>866</v>
      </c>
    </row>
    <row r="2276" customFormat="false" ht="15" hidden="false" customHeight="false" outlineLevel="0" collapsed="false">
      <c r="A2276" s="37" t="s">
        <v>207</v>
      </c>
      <c r="B2276" s="37" t="s">
        <v>246</v>
      </c>
      <c r="C2276" s="37" t="s">
        <v>178</v>
      </c>
      <c r="D2276" s="37" t="s">
        <v>46</v>
      </c>
      <c r="E2276" s="38" t="n">
        <f aca="false">'Matrice des notes'!P66</f>
        <v>1</v>
      </c>
      <c r="F2276" s="37" t="s">
        <v>839</v>
      </c>
      <c r="G2276" s="39" t="s">
        <v>851</v>
      </c>
    </row>
    <row r="2277" customFormat="false" ht="22.35" hidden="false" customHeight="false" outlineLevel="0" collapsed="false">
      <c r="A2277" s="37" t="s">
        <v>207</v>
      </c>
      <c r="B2277" s="37" t="s">
        <v>246</v>
      </c>
      <c r="C2277" s="37" t="s">
        <v>179</v>
      </c>
      <c r="D2277" s="37" t="s">
        <v>49</v>
      </c>
      <c r="E2277" s="38" t="n">
        <f aca="false">'Matrice des notes'!Q66</f>
        <v>1</v>
      </c>
      <c r="F2277" s="37" t="s">
        <v>867</v>
      </c>
      <c r="G2277" s="39" t="s">
        <v>868</v>
      </c>
    </row>
    <row r="2278" customFormat="false" ht="15" hidden="false" customHeight="false" outlineLevel="0" collapsed="false">
      <c r="A2278" s="37" t="s">
        <v>207</v>
      </c>
      <c r="B2278" s="37" t="s">
        <v>246</v>
      </c>
      <c r="C2278" s="37" t="s">
        <v>179</v>
      </c>
      <c r="D2278" s="37" t="s">
        <v>53</v>
      </c>
      <c r="E2278" s="38" t="n">
        <f aca="false">'Matrice des notes'!R66</f>
        <v>4</v>
      </c>
      <c r="F2278" s="37" t="s">
        <v>810</v>
      </c>
      <c r="G2278" s="39" t="s">
        <v>963</v>
      </c>
    </row>
    <row r="2279" customFormat="false" ht="15" hidden="false" customHeight="false" outlineLevel="0" collapsed="false">
      <c r="A2279" s="37" t="s">
        <v>207</v>
      </c>
      <c r="B2279" s="37" t="s">
        <v>246</v>
      </c>
      <c r="C2279" s="37" t="s">
        <v>179</v>
      </c>
      <c r="D2279" s="37" t="s">
        <v>56</v>
      </c>
      <c r="E2279" s="38" t="n">
        <f aca="false">'Matrice des notes'!S66</f>
        <v>1</v>
      </c>
      <c r="F2279" s="37" t="s">
        <v>839</v>
      </c>
      <c r="G2279" s="39" t="s">
        <v>854</v>
      </c>
    </row>
    <row r="2280" customFormat="false" ht="15" hidden="false" customHeight="false" outlineLevel="0" collapsed="false">
      <c r="A2280" s="37" t="s">
        <v>207</v>
      </c>
      <c r="B2280" s="37" t="s">
        <v>246</v>
      </c>
      <c r="C2280" s="37" t="s">
        <v>179</v>
      </c>
      <c r="D2280" s="37" t="s">
        <v>59</v>
      </c>
      <c r="E2280" s="38" t="n">
        <f aca="false">'Matrice des notes'!T66</f>
        <v>1</v>
      </c>
      <c r="F2280" s="37" t="s">
        <v>839</v>
      </c>
      <c r="G2280" s="39" t="s">
        <v>855</v>
      </c>
    </row>
    <row r="2281" customFormat="false" ht="22.35" hidden="false" customHeight="false" outlineLevel="0" collapsed="false">
      <c r="A2281" s="37" t="s">
        <v>207</v>
      </c>
      <c r="B2281" s="37" t="s">
        <v>246</v>
      </c>
      <c r="C2281" s="37" t="s">
        <v>179</v>
      </c>
      <c r="D2281" s="37" t="s">
        <v>62</v>
      </c>
      <c r="E2281" s="38" t="n">
        <f aca="false">'Matrice des notes'!U66</f>
        <v>1</v>
      </c>
      <c r="F2281" s="37" t="s">
        <v>867</v>
      </c>
      <c r="G2281" s="39" t="s">
        <v>869</v>
      </c>
    </row>
    <row r="2282" customFormat="false" ht="15" hidden="false" customHeight="false" outlineLevel="0" collapsed="false">
      <c r="A2282" s="37" t="s">
        <v>207</v>
      </c>
      <c r="B2282" s="37" t="s">
        <v>246</v>
      </c>
      <c r="C2282" s="37" t="s">
        <v>179</v>
      </c>
      <c r="D2282" s="37" t="s">
        <v>65</v>
      </c>
      <c r="E2282" s="38" t="n">
        <f aca="false">'Matrice des notes'!V66</f>
        <v>4</v>
      </c>
      <c r="F2282" s="37" t="s">
        <v>810</v>
      </c>
      <c r="G2282" s="39" t="s">
        <v>963</v>
      </c>
    </row>
    <row r="2283" customFormat="false" ht="15" hidden="false" customHeight="false" outlineLevel="0" collapsed="false">
      <c r="A2283" s="37" t="s">
        <v>207</v>
      </c>
      <c r="B2283" s="37" t="s">
        <v>246</v>
      </c>
      <c r="C2283" s="37" t="s">
        <v>179</v>
      </c>
      <c r="D2283" s="37" t="s">
        <v>68</v>
      </c>
      <c r="E2283" s="38" t="n">
        <f aca="false">'Matrice des notes'!W66</f>
        <v>1</v>
      </c>
      <c r="F2283" s="37" t="s">
        <v>827</v>
      </c>
      <c r="G2283" s="39" t="s">
        <v>872</v>
      </c>
    </row>
    <row r="2284" customFormat="false" ht="15" hidden="false" customHeight="false" outlineLevel="0" collapsed="false">
      <c r="A2284" s="37" t="s">
        <v>207</v>
      </c>
      <c r="B2284" s="37" t="s">
        <v>246</v>
      </c>
      <c r="C2284" s="37" t="s">
        <v>179</v>
      </c>
      <c r="D2284" s="37" t="s">
        <v>71</v>
      </c>
      <c r="E2284" s="38" t="n">
        <f aca="false">'Matrice des notes'!X66</f>
        <v>1</v>
      </c>
      <c r="F2284" s="37" t="s">
        <v>708</v>
      </c>
      <c r="G2284" s="39" t="s">
        <v>857</v>
      </c>
    </row>
    <row r="2285" customFormat="false" ht="15" hidden="false" customHeight="false" outlineLevel="0" collapsed="false">
      <c r="A2285" s="37" t="s">
        <v>207</v>
      </c>
      <c r="B2285" s="37" t="s">
        <v>246</v>
      </c>
      <c r="C2285" s="37" t="s">
        <v>179</v>
      </c>
      <c r="D2285" s="37" t="s">
        <v>74</v>
      </c>
      <c r="E2285" s="38" t="n">
        <f aca="false">'Matrice des notes'!Y66</f>
        <v>4</v>
      </c>
      <c r="F2285" s="37" t="s">
        <v>837</v>
      </c>
      <c r="G2285" s="39" t="s">
        <v>964</v>
      </c>
    </row>
    <row r="2286" customFormat="false" ht="15" hidden="false" customHeight="false" outlineLevel="0" collapsed="false">
      <c r="A2286" s="37" t="s">
        <v>207</v>
      </c>
      <c r="B2286" s="37" t="s">
        <v>246</v>
      </c>
      <c r="C2286" s="37" t="s">
        <v>179</v>
      </c>
      <c r="D2286" s="37" t="s">
        <v>77</v>
      </c>
      <c r="E2286" s="38" t="n">
        <f aca="false">'Matrice des notes'!Z66</f>
        <v>1</v>
      </c>
      <c r="F2286" s="37" t="s">
        <v>842</v>
      </c>
      <c r="G2286" s="39" t="s">
        <v>858</v>
      </c>
    </row>
    <row r="2287" customFormat="false" ht="15" hidden="false" customHeight="false" outlineLevel="0" collapsed="false">
      <c r="A2287" s="37" t="s">
        <v>207</v>
      </c>
      <c r="B2287" s="37" t="s">
        <v>246</v>
      </c>
      <c r="C2287" s="37" t="s">
        <v>179</v>
      </c>
      <c r="D2287" s="37" t="s">
        <v>80</v>
      </c>
      <c r="E2287" s="38" t="n">
        <f aca="false">'Matrice des notes'!AA66</f>
        <v>4</v>
      </c>
      <c r="F2287" s="37" t="s">
        <v>859</v>
      </c>
      <c r="G2287" s="39" t="s">
        <v>984</v>
      </c>
    </row>
    <row r="2288" customFormat="false" ht="15" hidden="false" customHeight="false" outlineLevel="0" collapsed="false">
      <c r="A2288" s="37" t="s">
        <v>207</v>
      </c>
      <c r="B2288" s="37" t="s">
        <v>246</v>
      </c>
      <c r="C2288" s="37" t="s">
        <v>179</v>
      </c>
      <c r="D2288" s="37" t="s">
        <v>83</v>
      </c>
      <c r="E2288" s="38" t="n">
        <f aca="false">'Matrice des notes'!AB66</f>
        <v>3</v>
      </c>
      <c r="F2288" s="37" t="s">
        <v>712</v>
      </c>
      <c r="G2288" s="39" t="s">
        <v>713</v>
      </c>
    </row>
    <row r="2289" customFormat="false" ht="15" hidden="false" customHeight="false" outlineLevel="0" collapsed="false">
      <c r="A2289" s="37" t="s">
        <v>207</v>
      </c>
      <c r="B2289" s="37" t="s">
        <v>246</v>
      </c>
      <c r="C2289" s="37" t="s">
        <v>179</v>
      </c>
      <c r="D2289" s="37" t="s">
        <v>86</v>
      </c>
      <c r="E2289" s="38" t="n">
        <f aca="false">'Matrice des notes'!AC66</f>
        <v>4</v>
      </c>
      <c r="F2289" s="37" t="s">
        <v>861</v>
      </c>
      <c r="G2289" s="39" t="s">
        <v>985</v>
      </c>
    </row>
    <row r="2290" customFormat="false" ht="15" hidden="false" customHeight="false" outlineLevel="0" collapsed="false">
      <c r="A2290" s="37" t="s">
        <v>207</v>
      </c>
      <c r="B2290" s="37" t="s">
        <v>246</v>
      </c>
      <c r="C2290" s="37" t="s">
        <v>179</v>
      </c>
      <c r="D2290" s="37" t="s">
        <v>89</v>
      </c>
      <c r="E2290" s="38" t="n">
        <f aca="false">'Matrice des notes'!AD66</f>
        <v>4</v>
      </c>
      <c r="F2290" s="37" t="s">
        <v>810</v>
      </c>
      <c r="G2290" s="39" t="s">
        <v>963</v>
      </c>
    </row>
    <row r="2291" customFormat="false" ht="15" hidden="false" customHeight="false" outlineLevel="0" collapsed="false">
      <c r="A2291" s="37" t="s">
        <v>207</v>
      </c>
      <c r="B2291" s="37" t="s">
        <v>246</v>
      </c>
      <c r="C2291" s="37" t="s">
        <v>179</v>
      </c>
      <c r="D2291" s="37" t="s">
        <v>92</v>
      </c>
      <c r="E2291" s="38" t="n">
        <f aca="false">'Matrice des notes'!AE66</f>
        <v>3</v>
      </c>
      <c r="F2291" s="37" t="s">
        <v>708</v>
      </c>
      <c r="G2291" s="39" t="s">
        <v>714</v>
      </c>
    </row>
    <row r="2292" customFormat="false" ht="15" hidden="false" customHeight="false" outlineLevel="0" collapsed="false">
      <c r="A2292" s="37" t="s">
        <v>207</v>
      </c>
      <c r="B2292" s="37" t="s">
        <v>246</v>
      </c>
      <c r="C2292" s="37" t="s">
        <v>180</v>
      </c>
      <c r="D2292" s="37" t="s">
        <v>95</v>
      </c>
      <c r="E2292" s="38" t="n">
        <f aca="false">'Matrice des notes'!AF66</f>
        <v>1</v>
      </c>
      <c r="F2292" s="37" t="s">
        <v>631</v>
      </c>
      <c r="G2292" s="39" t="s">
        <v>654</v>
      </c>
    </row>
    <row r="2293" customFormat="false" ht="15" hidden="false" customHeight="false" outlineLevel="0" collapsed="false">
      <c r="A2293" s="37" t="s">
        <v>207</v>
      </c>
      <c r="B2293" s="37" t="s">
        <v>246</v>
      </c>
      <c r="C2293" s="37" t="s">
        <v>180</v>
      </c>
      <c r="D2293" s="37" t="s">
        <v>99</v>
      </c>
      <c r="E2293" s="38" t="n">
        <f aca="false">'Matrice des notes'!AG66</f>
        <v>1</v>
      </c>
      <c r="F2293" s="37" t="s">
        <v>655</v>
      </c>
      <c r="G2293" s="39" t="s">
        <v>656</v>
      </c>
    </row>
    <row r="2294" customFormat="false" ht="15" hidden="false" customHeight="false" outlineLevel="0" collapsed="false">
      <c r="A2294" s="37" t="s">
        <v>207</v>
      </c>
      <c r="B2294" s="37" t="s">
        <v>246</v>
      </c>
      <c r="C2294" s="37" t="s">
        <v>180</v>
      </c>
      <c r="D2294" s="37" t="s">
        <v>102</v>
      </c>
      <c r="E2294" s="38" t="n">
        <f aca="false">'Matrice des notes'!AH66</f>
        <v>1</v>
      </c>
      <c r="F2294" s="37" t="s">
        <v>655</v>
      </c>
      <c r="G2294" s="39" t="s">
        <v>656</v>
      </c>
    </row>
    <row r="2295" customFormat="false" ht="15" hidden="false" customHeight="false" outlineLevel="0" collapsed="false">
      <c r="A2295" s="37" t="s">
        <v>207</v>
      </c>
      <c r="B2295" s="37" t="s">
        <v>246</v>
      </c>
      <c r="C2295" s="37" t="s">
        <v>180</v>
      </c>
      <c r="D2295" s="37" t="s">
        <v>104</v>
      </c>
      <c r="E2295" s="38" t="n">
        <f aca="false">'Matrice des notes'!AI66</f>
        <v>1</v>
      </c>
      <c r="F2295" s="37" t="s">
        <v>631</v>
      </c>
      <c r="G2295" s="39" t="s">
        <v>654</v>
      </c>
    </row>
    <row r="2296" customFormat="false" ht="15" hidden="false" customHeight="false" outlineLevel="0" collapsed="false">
      <c r="A2296" s="37" t="s">
        <v>207</v>
      </c>
      <c r="B2296" s="37" t="s">
        <v>246</v>
      </c>
      <c r="C2296" s="37" t="s">
        <v>180</v>
      </c>
      <c r="D2296" s="37" t="s">
        <v>107</v>
      </c>
      <c r="E2296" s="38" t="n">
        <f aca="false">'Matrice des notes'!AJ66</f>
        <v>1</v>
      </c>
      <c r="F2296" s="37" t="s">
        <v>631</v>
      </c>
      <c r="G2296" s="39" t="s">
        <v>654</v>
      </c>
    </row>
    <row r="2297" customFormat="false" ht="15" hidden="false" customHeight="false" outlineLevel="0" collapsed="false">
      <c r="A2297" s="37" t="s">
        <v>207</v>
      </c>
      <c r="B2297" s="37" t="s">
        <v>246</v>
      </c>
      <c r="C2297" s="37" t="s">
        <v>180</v>
      </c>
      <c r="D2297" s="37" t="s">
        <v>110</v>
      </c>
      <c r="E2297" s="38" t="n">
        <f aca="false">'Matrice des notes'!AK66</f>
        <v>1</v>
      </c>
      <c r="F2297" s="37" t="s">
        <v>631</v>
      </c>
      <c r="G2297" s="39" t="s">
        <v>654</v>
      </c>
    </row>
    <row r="2298" customFormat="false" ht="15" hidden="false" customHeight="false" outlineLevel="0" collapsed="false">
      <c r="A2298" s="37" t="s">
        <v>207</v>
      </c>
      <c r="B2298" s="37" t="s">
        <v>246</v>
      </c>
      <c r="C2298" s="37" t="s">
        <v>180</v>
      </c>
      <c r="D2298" s="37" t="s">
        <v>113</v>
      </c>
      <c r="E2298" s="38" t="n">
        <f aca="false">'Matrice des notes'!AL66</f>
        <v>1</v>
      </c>
      <c r="F2298" s="37" t="s">
        <v>631</v>
      </c>
      <c r="G2298" s="39" t="s">
        <v>654</v>
      </c>
    </row>
    <row r="2299" customFormat="false" ht="15" hidden="false" customHeight="false" outlineLevel="0" collapsed="false">
      <c r="A2299" s="37" t="s">
        <v>207</v>
      </c>
      <c r="B2299" s="37" t="s">
        <v>246</v>
      </c>
      <c r="C2299" s="37" t="s">
        <v>180</v>
      </c>
      <c r="D2299" s="37" t="s">
        <v>116</v>
      </c>
      <c r="E2299" s="38" t="n">
        <f aca="false">'Matrice des notes'!AM66</f>
        <v>1</v>
      </c>
      <c r="F2299" s="37" t="s">
        <v>655</v>
      </c>
      <c r="G2299" s="39" t="s">
        <v>656</v>
      </c>
    </row>
    <row r="2300" customFormat="false" ht="15" hidden="false" customHeight="false" outlineLevel="0" collapsed="false">
      <c r="A2300" s="37" t="s">
        <v>207</v>
      </c>
      <c r="B2300" s="37" t="s">
        <v>246</v>
      </c>
      <c r="C2300" s="37" t="s">
        <v>180</v>
      </c>
      <c r="D2300" s="37" t="s">
        <v>119</v>
      </c>
      <c r="E2300" s="38" t="n">
        <f aca="false">'Matrice des notes'!AN66</f>
        <v>1</v>
      </c>
      <c r="F2300" s="37" t="s">
        <v>631</v>
      </c>
      <c r="G2300" s="39" t="s">
        <v>654</v>
      </c>
    </row>
    <row r="2301" customFormat="false" ht="15" hidden="false" customHeight="false" outlineLevel="0" collapsed="false">
      <c r="A2301" s="37" t="s">
        <v>207</v>
      </c>
      <c r="B2301" s="37" t="s">
        <v>246</v>
      </c>
      <c r="C2301" s="37" t="s">
        <v>180</v>
      </c>
      <c r="D2301" s="37" t="s">
        <v>121</v>
      </c>
      <c r="E2301" s="38" t="n">
        <f aca="false">'Matrice des notes'!AO66</f>
        <v>1</v>
      </c>
      <c r="F2301" s="37" t="s">
        <v>657</v>
      </c>
      <c r="G2301" s="39" t="s">
        <v>658</v>
      </c>
    </row>
    <row r="2302" customFormat="false" ht="15" hidden="false" customHeight="false" outlineLevel="0" collapsed="false">
      <c r="A2302" s="37" t="s">
        <v>207</v>
      </c>
      <c r="B2302" s="37" t="s">
        <v>246</v>
      </c>
      <c r="C2302" s="37" t="s">
        <v>180</v>
      </c>
      <c r="D2302" s="37" t="s">
        <v>124</v>
      </c>
      <c r="E2302" s="38" t="n">
        <f aca="false">'Matrice des notes'!AP66</f>
        <v>2</v>
      </c>
      <c r="F2302" s="37" t="s">
        <v>659</v>
      </c>
      <c r="G2302" s="39" t="s">
        <v>965</v>
      </c>
    </row>
    <row r="2303" customFormat="false" ht="22.35" hidden="false" customHeight="false" outlineLevel="0" collapsed="false">
      <c r="A2303" s="37" t="s">
        <v>207</v>
      </c>
      <c r="B2303" s="37" t="s">
        <v>247</v>
      </c>
      <c r="C2303" s="37" t="s">
        <v>178</v>
      </c>
      <c r="D2303" s="37" t="s">
        <v>7</v>
      </c>
      <c r="E2303" s="38" t="n">
        <f aca="false">'Matrice des notes'!D67</f>
        <v>1</v>
      </c>
      <c r="F2303" s="37" t="s">
        <v>720</v>
      </c>
      <c r="G2303" s="39" t="s">
        <v>906</v>
      </c>
    </row>
    <row r="2304" customFormat="false" ht="15" hidden="false" customHeight="false" outlineLevel="0" collapsed="false">
      <c r="A2304" s="37" t="s">
        <v>207</v>
      </c>
      <c r="B2304" s="37" t="s">
        <v>247</v>
      </c>
      <c r="C2304" s="37" t="s">
        <v>178</v>
      </c>
      <c r="D2304" s="37" t="s">
        <v>11</v>
      </c>
      <c r="E2304" s="38" t="n">
        <f aca="false">'Matrice des notes'!E67</f>
        <v>1</v>
      </c>
      <c r="F2304" s="37" t="s">
        <v>839</v>
      </c>
      <c r="G2304" s="39" t="s">
        <v>840</v>
      </c>
    </row>
    <row r="2305" customFormat="false" ht="15" hidden="false" customHeight="false" outlineLevel="0" collapsed="false">
      <c r="A2305" s="37" t="s">
        <v>207</v>
      </c>
      <c r="B2305" s="37" t="s">
        <v>247</v>
      </c>
      <c r="C2305" s="37" t="s">
        <v>178</v>
      </c>
      <c r="D2305" s="37" t="s">
        <v>14</v>
      </c>
      <c r="E2305" s="38" t="n">
        <f aca="false">'Matrice des notes'!F67</f>
        <v>1</v>
      </c>
      <c r="F2305" s="37" t="s">
        <v>677</v>
      </c>
      <c r="G2305" s="39" t="s">
        <v>841</v>
      </c>
    </row>
    <row r="2306" customFormat="false" ht="15" hidden="false" customHeight="false" outlineLevel="0" collapsed="false">
      <c r="A2306" s="37" t="s">
        <v>207</v>
      </c>
      <c r="B2306" s="37" t="s">
        <v>247</v>
      </c>
      <c r="C2306" s="37" t="s">
        <v>178</v>
      </c>
      <c r="D2306" s="37" t="s">
        <v>17</v>
      </c>
      <c r="E2306" s="38" t="n">
        <f aca="false">'Matrice des notes'!G67</f>
        <v>1</v>
      </c>
      <c r="F2306" s="37" t="s">
        <v>842</v>
      </c>
      <c r="G2306" s="39" t="s">
        <v>843</v>
      </c>
    </row>
    <row r="2307" customFormat="false" ht="15" hidden="false" customHeight="false" outlineLevel="0" collapsed="false">
      <c r="A2307" s="37" t="s">
        <v>207</v>
      </c>
      <c r="B2307" s="37" t="s">
        <v>247</v>
      </c>
      <c r="C2307" s="37" t="s">
        <v>178</v>
      </c>
      <c r="D2307" s="37" t="s">
        <v>20</v>
      </c>
      <c r="E2307" s="38" t="n">
        <f aca="false">'Matrice des notes'!H67</f>
        <v>1</v>
      </c>
      <c r="F2307" s="37" t="s">
        <v>839</v>
      </c>
      <c r="G2307" s="39" t="s">
        <v>844</v>
      </c>
    </row>
    <row r="2308" customFormat="false" ht="15" hidden="false" customHeight="false" outlineLevel="0" collapsed="false">
      <c r="A2308" s="37" t="s">
        <v>207</v>
      </c>
      <c r="B2308" s="37" t="s">
        <v>247</v>
      </c>
      <c r="C2308" s="37" t="s">
        <v>178</v>
      </c>
      <c r="D2308" s="37" t="s">
        <v>23</v>
      </c>
      <c r="E2308" s="38" t="n">
        <f aca="false">'Matrice des notes'!I67</f>
        <v>1</v>
      </c>
      <c r="F2308" s="37" t="s">
        <v>839</v>
      </c>
      <c r="G2308" s="39" t="s">
        <v>845</v>
      </c>
    </row>
    <row r="2309" customFormat="false" ht="15" hidden="false" customHeight="false" outlineLevel="0" collapsed="false">
      <c r="A2309" s="37" t="s">
        <v>207</v>
      </c>
      <c r="B2309" s="37" t="s">
        <v>247</v>
      </c>
      <c r="C2309" s="37" t="s">
        <v>178</v>
      </c>
      <c r="D2309" s="37" t="s">
        <v>26</v>
      </c>
      <c r="E2309" s="38" t="n">
        <f aca="false">'Matrice des notes'!J67</f>
        <v>1</v>
      </c>
      <c r="F2309" s="37" t="s">
        <v>835</v>
      </c>
      <c r="G2309" s="39" t="s">
        <v>846</v>
      </c>
    </row>
    <row r="2310" customFormat="false" ht="15" hidden="false" customHeight="false" outlineLevel="0" collapsed="false">
      <c r="A2310" s="37" t="s">
        <v>207</v>
      </c>
      <c r="B2310" s="37" t="s">
        <v>247</v>
      </c>
      <c r="C2310" s="37" t="s">
        <v>178</v>
      </c>
      <c r="D2310" s="37" t="s">
        <v>30</v>
      </c>
      <c r="E2310" s="38" t="n">
        <f aca="false">'Matrice des notes'!K67</f>
        <v>1</v>
      </c>
      <c r="F2310" s="37" t="s">
        <v>677</v>
      </c>
      <c r="G2310" s="39" t="s">
        <v>847</v>
      </c>
    </row>
    <row r="2311" customFormat="false" ht="15" hidden="false" customHeight="false" outlineLevel="0" collapsed="false">
      <c r="A2311" s="37" t="s">
        <v>207</v>
      </c>
      <c r="B2311" s="37" t="s">
        <v>247</v>
      </c>
      <c r="C2311" s="37" t="s">
        <v>178</v>
      </c>
      <c r="D2311" s="37" t="s">
        <v>34</v>
      </c>
      <c r="E2311" s="38" t="n">
        <f aca="false">'Matrice des notes'!L67</f>
        <v>3</v>
      </c>
      <c r="F2311" s="37" t="s">
        <v>903</v>
      </c>
      <c r="G2311" s="39" t="s">
        <v>931</v>
      </c>
    </row>
    <row r="2312" customFormat="false" ht="15" hidden="false" customHeight="false" outlineLevel="0" collapsed="false">
      <c r="A2312" s="37" t="s">
        <v>207</v>
      </c>
      <c r="B2312" s="37" t="s">
        <v>247</v>
      </c>
      <c r="C2312" s="37" t="s">
        <v>178</v>
      </c>
      <c r="D2312" s="37" t="s">
        <v>37</v>
      </c>
      <c r="E2312" s="38" t="n">
        <f aca="false">'Matrice des notes'!M67</f>
        <v>1</v>
      </c>
      <c r="F2312" s="37" t="s">
        <v>812</v>
      </c>
      <c r="G2312" s="39" t="s">
        <v>813</v>
      </c>
    </row>
    <row r="2313" customFormat="false" ht="15" hidden="false" customHeight="false" outlineLevel="0" collapsed="false">
      <c r="A2313" s="37" t="s">
        <v>207</v>
      </c>
      <c r="B2313" s="37" t="s">
        <v>247</v>
      </c>
      <c r="C2313" s="37" t="s">
        <v>178</v>
      </c>
      <c r="D2313" s="37" t="s">
        <v>40</v>
      </c>
      <c r="E2313" s="38" t="n">
        <f aca="false">'Matrice des notes'!N67</f>
        <v>1</v>
      </c>
      <c r="F2313" s="37" t="s">
        <v>849</v>
      </c>
      <c r="G2313" s="39" t="s">
        <v>850</v>
      </c>
    </row>
    <row r="2314" customFormat="false" ht="15" hidden="false" customHeight="false" outlineLevel="0" collapsed="false">
      <c r="A2314" s="37" t="s">
        <v>207</v>
      </c>
      <c r="B2314" s="37" t="s">
        <v>247</v>
      </c>
      <c r="C2314" s="37" t="s">
        <v>178</v>
      </c>
      <c r="D2314" s="37" t="s">
        <v>43</v>
      </c>
      <c r="E2314" s="38" t="n">
        <f aca="false">'Matrice des notes'!O67</f>
        <v>1</v>
      </c>
      <c r="F2314" s="37" t="s">
        <v>816</v>
      </c>
      <c r="G2314" s="39" t="s">
        <v>866</v>
      </c>
    </row>
    <row r="2315" customFormat="false" ht="15" hidden="false" customHeight="false" outlineLevel="0" collapsed="false">
      <c r="A2315" s="37" t="s">
        <v>207</v>
      </c>
      <c r="B2315" s="37" t="s">
        <v>247</v>
      </c>
      <c r="C2315" s="37" t="s">
        <v>178</v>
      </c>
      <c r="D2315" s="37" t="s">
        <v>46</v>
      </c>
      <c r="E2315" s="38" t="n">
        <f aca="false">'Matrice des notes'!P67</f>
        <v>1</v>
      </c>
      <c r="F2315" s="37" t="s">
        <v>839</v>
      </c>
      <c r="G2315" s="39" t="s">
        <v>851</v>
      </c>
    </row>
    <row r="2316" customFormat="false" ht="22.35" hidden="false" customHeight="false" outlineLevel="0" collapsed="false">
      <c r="A2316" s="37" t="s">
        <v>207</v>
      </c>
      <c r="B2316" s="37" t="s">
        <v>247</v>
      </c>
      <c r="C2316" s="37" t="s">
        <v>179</v>
      </c>
      <c r="D2316" s="37" t="s">
        <v>49</v>
      </c>
      <c r="E2316" s="38" t="n">
        <f aca="false">'Matrice des notes'!Q67</f>
        <v>1</v>
      </c>
      <c r="F2316" s="37" t="s">
        <v>867</v>
      </c>
      <c r="G2316" s="39" t="s">
        <v>868</v>
      </c>
    </row>
    <row r="2317" customFormat="false" ht="15" hidden="false" customHeight="false" outlineLevel="0" collapsed="false">
      <c r="A2317" s="37" t="s">
        <v>207</v>
      </c>
      <c r="B2317" s="37" t="s">
        <v>247</v>
      </c>
      <c r="C2317" s="37" t="s">
        <v>179</v>
      </c>
      <c r="D2317" s="37" t="s">
        <v>53</v>
      </c>
      <c r="E2317" s="38" t="n">
        <f aca="false">'Matrice des notes'!R67</f>
        <v>3</v>
      </c>
      <c r="F2317" s="37" t="s">
        <v>903</v>
      </c>
      <c r="G2317" s="39" t="s">
        <v>932</v>
      </c>
    </row>
    <row r="2318" customFormat="false" ht="15" hidden="false" customHeight="false" outlineLevel="0" collapsed="false">
      <c r="A2318" s="37" t="s">
        <v>207</v>
      </c>
      <c r="B2318" s="37" t="s">
        <v>247</v>
      </c>
      <c r="C2318" s="37" t="s">
        <v>179</v>
      </c>
      <c r="D2318" s="37" t="s">
        <v>56</v>
      </c>
      <c r="E2318" s="38" t="n">
        <f aca="false">'Matrice des notes'!S67</f>
        <v>1</v>
      </c>
      <c r="F2318" s="37" t="s">
        <v>839</v>
      </c>
      <c r="G2318" s="39" t="s">
        <v>854</v>
      </c>
    </row>
    <row r="2319" customFormat="false" ht="15" hidden="false" customHeight="false" outlineLevel="0" collapsed="false">
      <c r="A2319" s="37" t="s">
        <v>207</v>
      </c>
      <c r="B2319" s="37" t="s">
        <v>247</v>
      </c>
      <c r="C2319" s="37" t="s">
        <v>179</v>
      </c>
      <c r="D2319" s="37" t="s">
        <v>59</v>
      </c>
      <c r="E2319" s="38" t="n">
        <f aca="false">'Matrice des notes'!T67</f>
        <v>1</v>
      </c>
      <c r="F2319" s="37" t="s">
        <v>839</v>
      </c>
      <c r="G2319" s="39" t="s">
        <v>855</v>
      </c>
    </row>
    <row r="2320" customFormat="false" ht="22.35" hidden="false" customHeight="false" outlineLevel="0" collapsed="false">
      <c r="A2320" s="37" t="s">
        <v>207</v>
      </c>
      <c r="B2320" s="37" t="s">
        <v>247</v>
      </c>
      <c r="C2320" s="37" t="s">
        <v>179</v>
      </c>
      <c r="D2320" s="37" t="s">
        <v>62</v>
      </c>
      <c r="E2320" s="38" t="n">
        <f aca="false">'Matrice des notes'!U67</f>
        <v>1</v>
      </c>
      <c r="F2320" s="37" t="s">
        <v>867</v>
      </c>
      <c r="G2320" s="39" t="s">
        <v>869</v>
      </c>
    </row>
    <row r="2321" customFormat="false" ht="15" hidden="false" customHeight="false" outlineLevel="0" collapsed="false">
      <c r="A2321" s="37" t="s">
        <v>207</v>
      </c>
      <c r="B2321" s="37" t="s">
        <v>247</v>
      </c>
      <c r="C2321" s="37" t="s">
        <v>179</v>
      </c>
      <c r="D2321" s="37" t="s">
        <v>65</v>
      </c>
      <c r="E2321" s="38" t="n">
        <f aca="false">'Matrice des notes'!V67</f>
        <v>3</v>
      </c>
      <c r="F2321" s="37" t="s">
        <v>903</v>
      </c>
      <c r="G2321" s="39" t="s">
        <v>904</v>
      </c>
    </row>
    <row r="2322" customFormat="false" ht="15" hidden="false" customHeight="false" outlineLevel="0" collapsed="false">
      <c r="A2322" s="37" t="s">
        <v>207</v>
      </c>
      <c r="B2322" s="37" t="s">
        <v>247</v>
      </c>
      <c r="C2322" s="37" t="s">
        <v>179</v>
      </c>
      <c r="D2322" s="37" t="s">
        <v>68</v>
      </c>
      <c r="E2322" s="38" t="n">
        <f aca="false">'Matrice des notes'!W67</f>
        <v>1</v>
      </c>
      <c r="F2322" s="37" t="s">
        <v>827</v>
      </c>
      <c r="G2322" s="39" t="s">
        <v>872</v>
      </c>
    </row>
    <row r="2323" customFormat="false" ht="15" hidden="false" customHeight="false" outlineLevel="0" collapsed="false">
      <c r="A2323" s="37" t="s">
        <v>207</v>
      </c>
      <c r="B2323" s="37" t="s">
        <v>247</v>
      </c>
      <c r="C2323" s="37" t="s">
        <v>179</v>
      </c>
      <c r="D2323" s="37" t="s">
        <v>71</v>
      </c>
      <c r="E2323" s="38" t="n">
        <f aca="false">'Matrice des notes'!X67</f>
        <v>1</v>
      </c>
      <c r="F2323" s="37" t="s">
        <v>708</v>
      </c>
      <c r="G2323" s="39" t="s">
        <v>857</v>
      </c>
    </row>
    <row r="2324" customFormat="false" ht="15" hidden="false" customHeight="false" outlineLevel="0" collapsed="false">
      <c r="A2324" s="37" t="s">
        <v>207</v>
      </c>
      <c r="B2324" s="37" t="s">
        <v>247</v>
      </c>
      <c r="C2324" s="37" t="s">
        <v>179</v>
      </c>
      <c r="D2324" s="37" t="s">
        <v>74</v>
      </c>
      <c r="E2324" s="38" t="n">
        <f aca="false">'Matrice des notes'!Y67</f>
        <v>3</v>
      </c>
      <c r="F2324" s="37" t="s">
        <v>673</v>
      </c>
      <c r="G2324" s="39" t="s">
        <v>896</v>
      </c>
    </row>
    <row r="2325" customFormat="false" ht="15" hidden="false" customHeight="false" outlineLevel="0" collapsed="false">
      <c r="A2325" s="37" t="s">
        <v>207</v>
      </c>
      <c r="B2325" s="37" t="s">
        <v>247</v>
      </c>
      <c r="C2325" s="37" t="s">
        <v>179</v>
      </c>
      <c r="D2325" s="37" t="s">
        <v>77</v>
      </c>
      <c r="E2325" s="38" t="n">
        <f aca="false">'Matrice des notes'!Z67</f>
        <v>1</v>
      </c>
      <c r="F2325" s="37" t="s">
        <v>842</v>
      </c>
      <c r="G2325" s="39" t="s">
        <v>858</v>
      </c>
    </row>
    <row r="2326" customFormat="false" ht="15" hidden="false" customHeight="false" outlineLevel="0" collapsed="false">
      <c r="A2326" s="37" t="s">
        <v>207</v>
      </c>
      <c r="B2326" s="37" t="s">
        <v>247</v>
      </c>
      <c r="C2326" s="37" t="s">
        <v>179</v>
      </c>
      <c r="D2326" s="37" t="s">
        <v>80</v>
      </c>
      <c r="E2326" s="38" t="n">
        <f aca="false">'Matrice des notes'!AA67</f>
        <v>3</v>
      </c>
      <c r="F2326" s="37" t="s">
        <v>907</v>
      </c>
      <c r="G2326" s="39" t="s">
        <v>908</v>
      </c>
    </row>
    <row r="2327" customFormat="false" ht="15" hidden="false" customHeight="false" outlineLevel="0" collapsed="false">
      <c r="A2327" s="37" t="s">
        <v>207</v>
      </c>
      <c r="B2327" s="37" t="s">
        <v>247</v>
      </c>
      <c r="C2327" s="37" t="s">
        <v>179</v>
      </c>
      <c r="D2327" s="37" t="s">
        <v>83</v>
      </c>
      <c r="E2327" s="38" t="n">
        <f aca="false">'Matrice des notes'!AB67</f>
        <v>2</v>
      </c>
      <c r="F2327" s="37" t="s">
        <v>933</v>
      </c>
      <c r="G2327" s="39" t="s">
        <v>934</v>
      </c>
    </row>
    <row r="2328" customFormat="false" ht="15" hidden="false" customHeight="false" outlineLevel="0" collapsed="false">
      <c r="A2328" s="37" t="s">
        <v>207</v>
      </c>
      <c r="B2328" s="37" t="s">
        <v>247</v>
      </c>
      <c r="C2328" s="37" t="s">
        <v>179</v>
      </c>
      <c r="D2328" s="37" t="s">
        <v>86</v>
      </c>
      <c r="E2328" s="38" t="n">
        <f aca="false">'Matrice des notes'!AC67</f>
        <v>4</v>
      </c>
      <c r="F2328" s="37" t="s">
        <v>861</v>
      </c>
      <c r="G2328" s="39" t="s">
        <v>986</v>
      </c>
    </row>
    <row r="2329" customFormat="false" ht="15" hidden="false" customHeight="false" outlineLevel="0" collapsed="false">
      <c r="A2329" s="37" t="s">
        <v>207</v>
      </c>
      <c r="B2329" s="37" t="s">
        <v>247</v>
      </c>
      <c r="C2329" s="37" t="s">
        <v>179</v>
      </c>
      <c r="D2329" s="37" t="s">
        <v>89</v>
      </c>
      <c r="E2329" s="38" t="n">
        <f aca="false">'Matrice des notes'!AD67</f>
        <v>4</v>
      </c>
      <c r="F2329" s="37" t="s">
        <v>810</v>
      </c>
      <c r="G2329" s="39" t="s">
        <v>865</v>
      </c>
    </row>
    <row r="2330" customFormat="false" ht="15" hidden="false" customHeight="false" outlineLevel="0" collapsed="false">
      <c r="A2330" s="37" t="s">
        <v>207</v>
      </c>
      <c r="B2330" s="37" t="s">
        <v>247</v>
      </c>
      <c r="C2330" s="37" t="s">
        <v>179</v>
      </c>
      <c r="D2330" s="37" t="s">
        <v>92</v>
      </c>
      <c r="E2330" s="38" t="n">
        <f aca="false">'Matrice des notes'!AE67</f>
        <v>2</v>
      </c>
      <c r="F2330" s="37" t="s">
        <v>900</v>
      </c>
      <c r="G2330" s="39" t="s">
        <v>901</v>
      </c>
    </row>
    <row r="2331" customFormat="false" ht="15" hidden="false" customHeight="false" outlineLevel="0" collapsed="false">
      <c r="A2331" s="37" t="s">
        <v>207</v>
      </c>
      <c r="B2331" s="37" t="s">
        <v>247</v>
      </c>
      <c r="C2331" s="37" t="s">
        <v>180</v>
      </c>
      <c r="D2331" s="37" t="s">
        <v>95</v>
      </c>
      <c r="E2331" s="38" t="n">
        <f aca="false">'Matrice des notes'!AF67</f>
        <v>1</v>
      </c>
      <c r="F2331" s="37" t="s">
        <v>631</v>
      </c>
      <c r="G2331" s="39" t="s">
        <v>654</v>
      </c>
    </row>
    <row r="2332" customFormat="false" ht="15" hidden="false" customHeight="false" outlineLevel="0" collapsed="false">
      <c r="A2332" s="37" t="s">
        <v>207</v>
      </c>
      <c r="B2332" s="37" t="s">
        <v>247</v>
      </c>
      <c r="C2332" s="37" t="s">
        <v>180</v>
      </c>
      <c r="D2332" s="37" t="s">
        <v>99</v>
      </c>
      <c r="E2332" s="38" t="n">
        <f aca="false">'Matrice des notes'!AG67</f>
        <v>1</v>
      </c>
      <c r="F2332" s="37" t="s">
        <v>655</v>
      </c>
      <c r="G2332" s="39" t="s">
        <v>656</v>
      </c>
    </row>
    <row r="2333" customFormat="false" ht="15" hidden="false" customHeight="false" outlineLevel="0" collapsed="false">
      <c r="A2333" s="37" t="s">
        <v>207</v>
      </c>
      <c r="B2333" s="37" t="s">
        <v>247</v>
      </c>
      <c r="C2333" s="37" t="s">
        <v>180</v>
      </c>
      <c r="D2333" s="37" t="s">
        <v>102</v>
      </c>
      <c r="E2333" s="38" t="n">
        <f aca="false">'Matrice des notes'!AH67</f>
        <v>1</v>
      </c>
      <c r="F2333" s="37" t="s">
        <v>655</v>
      </c>
      <c r="G2333" s="39" t="s">
        <v>656</v>
      </c>
    </row>
    <row r="2334" customFormat="false" ht="15" hidden="false" customHeight="false" outlineLevel="0" collapsed="false">
      <c r="A2334" s="37" t="s">
        <v>207</v>
      </c>
      <c r="B2334" s="37" t="s">
        <v>247</v>
      </c>
      <c r="C2334" s="37" t="s">
        <v>180</v>
      </c>
      <c r="D2334" s="37" t="s">
        <v>104</v>
      </c>
      <c r="E2334" s="38" t="n">
        <f aca="false">'Matrice des notes'!AI67</f>
        <v>1</v>
      </c>
      <c r="F2334" s="37" t="s">
        <v>631</v>
      </c>
      <c r="G2334" s="39" t="s">
        <v>654</v>
      </c>
    </row>
    <row r="2335" customFormat="false" ht="15" hidden="false" customHeight="false" outlineLevel="0" collapsed="false">
      <c r="A2335" s="37" t="s">
        <v>207</v>
      </c>
      <c r="B2335" s="37" t="s">
        <v>247</v>
      </c>
      <c r="C2335" s="37" t="s">
        <v>180</v>
      </c>
      <c r="D2335" s="37" t="s">
        <v>107</v>
      </c>
      <c r="E2335" s="38" t="n">
        <f aca="false">'Matrice des notes'!AJ67</f>
        <v>1</v>
      </c>
      <c r="F2335" s="37" t="s">
        <v>631</v>
      </c>
      <c r="G2335" s="39" t="s">
        <v>654</v>
      </c>
    </row>
    <row r="2336" customFormat="false" ht="15" hidden="false" customHeight="false" outlineLevel="0" collapsed="false">
      <c r="A2336" s="37" t="s">
        <v>207</v>
      </c>
      <c r="B2336" s="37" t="s">
        <v>247</v>
      </c>
      <c r="C2336" s="37" t="s">
        <v>180</v>
      </c>
      <c r="D2336" s="37" t="s">
        <v>110</v>
      </c>
      <c r="E2336" s="38" t="n">
        <f aca="false">'Matrice des notes'!AK67</f>
        <v>1</v>
      </c>
      <c r="F2336" s="37" t="s">
        <v>631</v>
      </c>
      <c r="G2336" s="39" t="s">
        <v>654</v>
      </c>
    </row>
    <row r="2337" customFormat="false" ht="15" hidden="false" customHeight="false" outlineLevel="0" collapsed="false">
      <c r="A2337" s="37" t="s">
        <v>207</v>
      </c>
      <c r="B2337" s="37" t="s">
        <v>247</v>
      </c>
      <c r="C2337" s="37" t="s">
        <v>180</v>
      </c>
      <c r="D2337" s="37" t="s">
        <v>113</v>
      </c>
      <c r="E2337" s="38" t="n">
        <f aca="false">'Matrice des notes'!AL67</f>
        <v>1</v>
      </c>
      <c r="F2337" s="37" t="s">
        <v>631</v>
      </c>
      <c r="G2337" s="39" t="s">
        <v>654</v>
      </c>
    </row>
    <row r="2338" customFormat="false" ht="15" hidden="false" customHeight="false" outlineLevel="0" collapsed="false">
      <c r="A2338" s="37" t="s">
        <v>207</v>
      </c>
      <c r="B2338" s="37" t="s">
        <v>247</v>
      </c>
      <c r="C2338" s="37" t="s">
        <v>180</v>
      </c>
      <c r="D2338" s="37" t="s">
        <v>116</v>
      </c>
      <c r="E2338" s="38" t="n">
        <f aca="false">'Matrice des notes'!AM67</f>
        <v>1</v>
      </c>
      <c r="F2338" s="37" t="s">
        <v>655</v>
      </c>
      <c r="G2338" s="39" t="s">
        <v>656</v>
      </c>
    </row>
    <row r="2339" customFormat="false" ht="15" hidden="false" customHeight="false" outlineLevel="0" collapsed="false">
      <c r="A2339" s="37" t="s">
        <v>207</v>
      </c>
      <c r="B2339" s="37" t="s">
        <v>247</v>
      </c>
      <c r="C2339" s="37" t="s">
        <v>180</v>
      </c>
      <c r="D2339" s="37" t="s">
        <v>119</v>
      </c>
      <c r="E2339" s="38" t="n">
        <f aca="false">'Matrice des notes'!AN67</f>
        <v>1</v>
      </c>
      <c r="F2339" s="37" t="s">
        <v>631</v>
      </c>
      <c r="G2339" s="39" t="s">
        <v>654</v>
      </c>
    </row>
    <row r="2340" customFormat="false" ht="15" hidden="false" customHeight="false" outlineLevel="0" collapsed="false">
      <c r="A2340" s="37" t="s">
        <v>207</v>
      </c>
      <c r="B2340" s="37" t="s">
        <v>247</v>
      </c>
      <c r="C2340" s="37" t="s">
        <v>180</v>
      </c>
      <c r="D2340" s="37" t="s">
        <v>121</v>
      </c>
      <c r="E2340" s="38" t="n">
        <f aca="false">'Matrice des notes'!AO67</f>
        <v>1</v>
      </c>
      <c r="F2340" s="37" t="s">
        <v>657</v>
      </c>
      <c r="G2340" s="39" t="s">
        <v>658</v>
      </c>
    </row>
    <row r="2341" customFormat="false" ht="15" hidden="false" customHeight="false" outlineLevel="0" collapsed="false">
      <c r="A2341" s="37" t="s">
        <v>207</v>
      </c>
      <c r="B2341" s="37" t="s">
        <v>247</v>
      </c>
      <c r="C2341" s="37" t="s">
        <v>180</v>
      </c>
      <c r="D2341" s="37" t="s">
        <v>124</v>
      </c>
      <c r="E2341" s="38" t="n">
        <f aca="false">'Matrice des notes'!AP67</f>
        <v>2</v>
      </c>
      <c r="F2341" s="37" t="s">
        <v>659</v>
      </c>
      <c r="G2341" s="39" t="s">
        <v>965</v>
      </c>
    </row>
    <row r="2342" customFormat="false" ht="22.35" hidden="false" customHeight="false" outlineLevel="0" collapsed="false">
      <c r="A2342" s="37" t="s">
        <v>207</v>
      </c>
      <c r="B2342" s="37" t="s">
        <v>248</v>
      </c>
      <c r="C2342" s="37" t="s">
        <v>178</v>
      </c>
      <c r="D2342" s="37" t="s">
        <v>7</v>
      </c>
      <c r="E2342" s="38" t="n">
        <f aca="false">'Matrice des notes'!D68</f>
        <v>1</v>
      </c>
      <c r="F2342" s="37" t="s">
        <v>720</v>
      </c>
      <c r="G2342" s="39" t="s">
        <v>906</v>
      </c>
    </row>
    <row r="2343" customFormat="false" ht="15" hidden="false" customHeight="false" outlineLevel="0" collapsed="false">
      <c r="A2343" s="37" t="s">
        <v>207</v>
      </c>
      <c r="B2343" s="37" t="s">
        <v>248</v>
      </c>
      <c r="C2343" s="37" t="s">
        <v>178</v>
      </c>
      <c r="D2343" s="37" t="s">
        <v>11</v>
      </c>
      <c r="E2343" s="38" t="n">
        <f aca="false">'Matrice des notes'!E68</f>
        <v>1</v>
      </c>
      <c r="F2343" s="37" t="s">
        <v>839</v>
      </c>
      <c r="G2343" s="39" t="s">
        <v>840</v>
      </c>
    </row>
    <row r="2344" customFormat="false" ht="15" hidden="false" customHeight="false" outlineLevel="0" collapsed="false">
      <c r="A2344" s="37" t="s">
        <v>207</v>
      </c>
      <c r="B2344" s="37" t="s">
        <v>248</v>
      </c>
      <c r="C2344" s="37" t="s">
        <v>178</v>
      </c>
      <c r="D2344" s="37" t="s">
        <v>14</v>
      </c>
      <c r="E2344" s="38" t="n">
        <f aca="false">'Matrice des notes'!F68</f>
        <v>1</v>
      </c>
      <c r="F2344" s="37" t="s">
        <v>677</v>
      </c>
      <c r="G2344" s="39" t="s">
        <v>841</v>
      </c>
    </row>
    <row r="2345" customFormat="false" ht="15" hidden="false" customHeight="false" outlineLevel="0" collapsed="false">
      <c r="A2345" s="37" t="s">
        <v>207</v>
      </c>
      <c r="B2345" s="37" t="s">
        <v>248</v>
      </c>
      <c r="C2345" s="37" t="s">
        <v>178</v>
      </c>
      <c r="D2345" s="37" t="s">
        <v>17</v>
      </c>
      <c r="E2345" s="38" t="n">
        <f aca="false">'Matrice des notes'!G68</f>
        <v>1</v>
      </c>
      <c r="F2345" s="37" t="s">
        <v>842</v>
      </c>
      <c r="G2345" s="39" t="s">
        <v>843</v>
      </c>
    </row>
    <row r="2346" customFormat="false" ht="15" hidden="false" customHeight="false" outlineLevel="0" collapsed="false">
      <c r="A2346" s="37" t="s">
        <v>207</v>
      </c>
      <c r="B2346" s="37" t="s">
        <v>248</v>
      </c>
      <c r="C2346" s="37" t="s">
        <v>178</v>
      </c>
      <c r="D2346" s="37" t="s">
        <v>20</v>
      </c>
      <c r="E2346" s="38" t="n">
        <f aca="false">'Matrice des notes'!H68</f>
        <v>1</v>
      </c>
      <c r="F2346" s="37" t="s">
        <v>839</v>
      </c>
      <c r="G2346" s="39" t="s">
        <v>844</v>
      </c>
    </row>
    <row r="2347" customFormat="false" ht="15" hidden="false" customHeight="false" outlineLevel="0" collapsed="false">
      <c r="A2347" s="37" t="s">
        <v>207</v>
      </c>
      <c r="B2347" s="37" t="s">
        <v>248</v>
      </c>
      <c r="C2347" s="37" t="s">
        <v>178</v>
      </c>
      <c r="D2347" s="37" t="s">
        <v>23</v>
      </c>
      <c r="E2347" s="38" t="n">
        <f aca="false">'Matrice des notes'!I68</f>
        <v>1</v>
      </c>
      <c r="F2347" s="37" t="s">
        <v>839</v>
      </c>
      <c r="G2347" s="39" t="s">
        <v>845</v>
      </c>
    </row>
    <row r="2348" customFormat="false" ht="15" hidden="false" customHeight="false" outlineLevel="0" collapsed="false">
      <c r="A2348" s="37" t="s">
        <v>207</v>
      </c>
      <c r="B2348" s="37" t="s">
        <v>248</v>
      </c>
      <c r="C2348" s="37" t="s">
        <v>178</v>
      </c>
      <c r="D2348" s="37" t="s">
        <v>26</v>
      </c>
      <c r="E2348" s="38" t="n">
        <f aca="false">'Matrice des notes'!J68</f>
        <v>1</v>
      </c>
      <c r="F2348" s="37" t="s">
        <v>835</v>
      </c>
      <c r="G2348" s="39" t="s">
        <v>846</v>
      </c>
    </row>
    <row r="2349" customFormat="false" ht="15" hidden="false" customHeight="false" outlineLevel="0" collapsed="false">
      <c r="A2349" s="37" t="s">
        <v>207</v>
      </c>
      <c r="B2349" s="37" t="s">
        <v>248</v>
      </c>
      <c r="C2349" s="37" t="s">
        <v>178</v>
      </c>
      <c r="D2349" s="37" t="s">
        <v>30</v>
      </c>
      <c r="E2349" s="38" t="n">
        <f aca="false">'Matrice des notes'!K68</f>
        <v>1</v>
      </c>
      <c r="F2349" s="37" t="s">
        <v>677</v>
      </c>
      <c r="G2349" s="39" t="s">
        <v>847</v>
      </c>
    </row>
    <row r="2350" customFormat="false" ht="15" hidden="false" customHeight="false" outlineLevel="0" collapsed="false">
      <c r="A2350" s="37" t="s">
        <v>207</v>
      </c>
      <c r="B2350" s="37" t="s">
        <v>248</v>
      </c>
      <c r="C2350" s="37" t="s">
        <v>178</v>
      </c>
      <c r="D2350" s="37" t="s">
        <v>34</v>
      </c>
      <c r="E2350" s="38" t="n">
        <f aca="false">'Matrice des notes'!L68</f>
        <v>1</v>
      </c>
      <c r="F2350" s="37" t="s">
        <v>891</v>
      </c>
      <c r="G2350" s="39" t="s">
        <v>892</v>
      </c>
    </row>
    <row r="2351" customFormat="false" ht="15" hidden="false" customHeight="false" outlineLevel="0" collapsed="false">
      <c r="A2351" s="37" t="s">
        <v>207</v>
      </c>
      <c r="B2351" s="37" t="s">
        <v>248</v>
      </c>
      <c r="C2351" s="37" t="s">
        <v>178</v>
      </c>
      <c r="D2351" s="37" t="s">
        <v>37</v>
      </c>
      <c r="E2351" s="38" t="n">
        <f aca="false">'Matrice des notes'!M68</f>
        <v>1</v>
      </c>
      <c r="F2351" s="37" t="s">
        <v>812</v>
      </c>
      <c r="G2351" s="39" t="s">
        <v>813</v>
      </c>
    </row>
    <row r="2352" customFormat="false" ht="15" hidden="false" customHeight="false" outlineLevel="0" collapsed="false">
      <c r="A2352" s="37" t="s">
        <v>207</v>
      </c>
      <c r="B2352" s="37" t="s">
        <v>248</v>
      </c>
      <c r="C2352" s="37" t="s">
        <v>178</v>
      </c>
      <c r="D2352" s="37" t="s">
        <v>40</v>
      </c>
      <c r="E2352" s="38" t="n">
        <f aca="false">'Matrice des notes'!N68</f>
        <v>1</v>
      </c>
      <c r="F2352" s="37" t="s">
        <v>849</v>
      </c>
      <c r="G2352" s="39" t="s">
        <v>850</v>
      </c>
    </row>
    <row r="2353" customFormat="false" ht="15" hidden="false" customHeight="false" outlineLevel="0" collapsed="false">
      <c r="A2353" s="37" t="s">
        <v>207</v>
      </c>
      <c r="B2353" s="37" t="s">
        <v>248</v>
      </c>
      <c r="C2353" s="37" t="s">
        <v>178</v>
      </c>
      <c r="D2353" s="37" t="s">
        <v>43</v>
      </c>
      <c r="E2353" s="38" t="n">
        <f aca="false">'Matrice des notes'!O68</f>
        <v>1</v>
      </c>
      <c r="F2353" s="37" t="s">
        <v>816</v>
      </c>
      <c r="G2353" s="39" t="s">
        <v>866</v>
      </c>
    </row>
    <row r="2354" customFormat="false" ht="15" hidden="false" customHeight="false" outlineLevel="0" collapsed="false">
      <c r="A2354" s="37" t="s">
        <v>207</v>
      </c>
      <c r="B2354" s="37" t="s">
        <v>248</v>
      </c>
      <c r="C2354" s="37" t="s">
        <v>178</v>
      </c>
      <c r="D2354" s="37" t="s">
        <v>46</v>
      </c>
      <c r="E2354" s="38" t="n">
        <f aca="false">'Matrice des notes'!P68</f>
        <v>1</v>
      </c>
      <c r="F2354" s="37" t="s">
        <v>839</v>
      </c>
      <c r="G2354" s="39" t="s">
        <v>851</v>
      </c>
    </row>
    <row r="2355" customFormat="false" ht="22.35" hidden="false" customHeight="false" outlineLevel="0" collapsed="false">
      <c r="A2355" s="37" t="s">
        <v>207</v>
      </c>
      <c r="B2355" s="37" t="s">
        <v>248</v>
      </c>
      <c r="C2355" s="37" t="s">
        <v>179</v>
      </c>
      <c r="D2355" s="37" t="s">
        <v>49</v>
      </c>
      <c r="E2355" s="38" t="n">
        <f aca="false">'Matrice des notes'!Q68</f>
        <v>1</v>
      </c>
      <c r="F2355" s="37" t="s">
        <v>867</v>
      </c>
      <c r="G2355" s="39" t="s">
        <v>868</v>
      </c>
    </row>
    <row r="2356" customFormat="false" ht="15" hidden="false" customHeight="false" outlineLevel="0" collapsed="false">
      <c r="A2356" s="37" t="s">
        <v>207</v>
      </c>
      <c r="B2356" s="37" t="s">
        <v>248</v>
      </c>
      <c r="C2356" s="37" t="s">
        <v>179</v>
      </c>
      <c r="D2356" s="37" t="s">
        <v>53</v>
      </c>
      <c r="E2356" s="38" t="n">
        <f aca="false">'Matrice des notes'!R68</f>
        <v>1</v>
      </c>
      <c r="F2356" s="37" t="s">
        <v>891</v>
      </c>
      <c r="G2356" s="39" t="s">
        <v>893</v>
      </c>
    </row>
    <row r="2357" customFormat="false" ht="15" hidden="false" customHeight="false" outlineLevel="0" collapsed="false">
      <c r="A2357" s="37" t="s">
        <v>207</v>
      </c>
      <c r="B2357" s="37" t="s">
        <v>248</v>
      </c>
      <c r="C2357" s="37" t="s">
        <v>179</v>
      </c>
      <c r="D2357" s="37" t="s">
        <v>56</v>
      </c>
      <c r="E2357" s="38" t="n">
        <f aca="false">'Matrice des notes'!S68</f>
        <v>1</v>
      </c>
      <c r="F2357" s="37" t="s">
        <v>839</v>
      </c>
      <c r="G2357" s="39" t="s">
        <v>854</v>
      </c>
    </row>
    <row r="2358" customFormat="false" ht="15" hidden="false" customHeight="false" outlineLevel="0" collapsed="false">
      <c r="A2358" s="37" t="s">
        <v>207</v>
      </c>
      <c r="B2358" s="37" t="s">
        <v>248</v>
      </c>
      <c r="C2358" s="37" t="s">
        <v>179</v>
      </c>
      <c r="D2358" s="37" t="s">
        <v>59</v>
      </c>
      <c r="E2358" s="38" t="n">
        <f aca="false">'Matrice des notes'!T68</f>
        <v>1</v>
      </c>
      <c r="F2358" s="37" t="s">
        <v>839</v>
      </c>
      <c r="G2358" s="39" t="s">
        <v>855</v>
      </c>
    </row>
    <row r="2359" customFormat="false" ht="22.35" hidden="false" customHeight="false" outlineLevel="0" collapsed="false">
      <c r="A2359" s="37" t="s">
        <v>207</v>
      </c>
      <c r="B2359" s="37" t="s">
        <v>248</v>
      </c>
      <c r="C2359" s="37" t="s">
        <v>179</v>
      </c>
      <c r="D2359" s="37" t="s">
        <v>62</v>
      </c>
      <c r="E2359" s="38" t="n">
        <f aca="false">'Matrice des notes'!U68</f>
        <v>1</v>
      </c>
      <c r="F2359" s="37" t="s">
        <v>867</v>
      </c>
      <c r="G2359" s="39" t="s">
        <v>869</v>
      </c>
    </row>
    <row r="2360" customFormat="false" ht="15" hidden="false" customHeight="false" outlineLevel="0" collapsed="false">
      <c r="A2360" s="37" t="s">
        <v>207</v>
      </c>
      <c r="B2360" s="37" t="s">
        <v>248</v>
      </c>
      <c r="C2360" s="37" t="s">
        <v>179</v>
      </c>
      <c r="D2360" s="37" t="s">
        <v>65</v>
      </c>
      <c r="E2360" s="38" t="n">
        <f aca="false">'Matrice des notes'!V68</f>
        <v>2</v>
      </c>
      <c r="F2360" s="37" t="s">
        <v>903</v>
      </c>
      <c r="G2360" s="39" t="s">
        <v>904</v>
      </c>
    </row>
    <row r="2361" customFormat="false" ht="15" hidden="false" customHeight="false" outlineLevel="0" collapsed="false">
      <c r="A2361" s="37" t="s">
        <v>207</v>
      </c>
      <c r="B2361" s="37" t="s">
        <v>248</v>
      </c>
      <c r="C2361" s="37" t="s">
        <v>179</v>
      </c>
      <c r="D2361" s="37" t="s">
        <v>68</v>
      </c>
      <c r="E2361" s="38" t="n">
        <f aca="false">'Matrice des notes'!W68</f>
        <v>1</v>
      </c>
      <c r="F2361" s="37" t="s">
        <v>827</v>
      </c>
      <c r="G2361" s="39" t="s">
        <v>872</v>
      </c>
    </row>
    <row r="2362" customFormat="false" ht="15" hidden="false" customHeight="false" outlineLevel="0" collapsed="false">
      <c r="A2362" s="37" t="s">
        <v>207</v>
      </c>
      <c r="B2362" s="37" t="s">
        <v>248</v>
      </c>
      <c r="C2362" s="37" t="s">
        <v>179</v>
      </c>
      <c r="D2362" s="37" t="s">
        <v>71</v>
      </c>
      <c r="E2362" s="38" t="n">
        <f aca="false">'Matrice des notes'!X68</f>
        <v>1</v>
      </c>
      <c r="F2362" s="37" t="s">
        <v>708</v>
      </c>
      <c r="G2362" s="39" t="s">
        <v>857</v>
      </c>
    </row>
    <row r="2363" customFormat="false" ht="15" hidden="false" customHeight="false" outlineLevel="0" collapsed="false">
      <c r="A2363" s="37" t="s">
        <v>207</v>
      </c>
      <c r="B2363" s="37" t="s">
        <v>248</v>
      </c>
      <c r="C2363" s="37" t="s">
        <v>179</v>
      </c>
      <c r="D2363" s="37" t="s">
        <v>74</v>
      </c>
      <c r="E2363" s="38" t="n">
        <f aca="false">'Matrice des notes'!Y68</f>
        <v>2</v>
      </c>
      <c r="F2363" s="37" t="s">
        <v>673</v>
      </c>
      <c r="G2363" s="39" t="s">
        <v>896</v>
      </c>
    </row>
    <row r="2364" customFormat="false" ht="15" hidden="false" customHeight="false" outlineLevel="0" collapsed="false">
      <c r="A2364" s="37" t="s">
        <v>207</v>
      </c>
      <c r="B2364" s="37" t="s">
        <v>248</v>
      </c>
      <c r="C2364" s="37" t="s">
        <v>179</v>
      </c>
      <c r="D2364" s="37" t="s">
        <v>77</v>
      </c>
      <c r="E2364" s="38" t="n">
        <f aca="false">'Matrice des notes'!Z68</f>
        <v>1</v>
      </c>
      <c r="F2364" s="37" t="s">
        <v>842</v>
      </c>
      <c r="G2364" s="39" t="s">
        <v>858</v>
      </c>
    </row>
    <row r="2365" customFormat="false" ht="15" hidden="false" customHeight="false" outlineLevel="0" collapsed="false">
      <c r="A2365" s="37" t="s">
        <v>207</v>
      </c>
      <c r="B2365" s="37" t="s">
        <v>248</v>
      </c>
      <c r="C2365" s="37" t="s">
        <v>179</v>
      </c>
      <c r="D2365" s="37" t="s">
        <v>80</v>
      </c>
      <c r="E2365" s="38" t="n">
        <f aca="false">'Matrice des notes'!AA68</f>
        <v>2</v>
      </c>
      <c r="F2365" s="37" t="s">
        <v>907</v>
      </c>
      <c r="G2365" s="39" t="s">
        <v>908</v>
      </c>
    </row>
    <row r="2366" customFormat="false" ht="22.35" hidden="false" customHeight="false" outlineLevel="0" collapsed="false">
      <c r="A2366" s="37" t="s">
        <v>207</v>
      </c>
      <c r="B2366" s="37" t="s">
        <v>248</v>
      </c>
      <c r="C2366" s="37" t="s">
        <v>179</v>
      </c>
      <c r="D2366" s="37" t="s">
        <v>83</v>
      </c>
      <c r="E2366" s="38" t="n">
        <f aca="false">'Matrice des notes'!AB68</f>
        <v>1</v>
      </c>
      <c r="F2366" s="37" t="s">
        <v>898</v>
      </c>
      <c r="G2366" s="39" t="s">
        <v>899</v>
      </c>
    </row>
    <row r="2367" customFormat="false" ht="15" hidden="false" customHeight="false" outlineLevel="0" collapsed="false">
      <c r="A2367" s="37" t="s">
        <v>207</v>
      </c>
      <c r="B2367" s="37" t="s">
        <v>248</v>
      </c>
      <c r="C2367" s="37" t="s">
        <v>179</v>
      </c>
      <c r="D2367" s="37" t="s">
        <v>86</v>
      </c>
      <c r="E2367" s="38" t="n">
        <f aca="false">'Matrice des notes'!AC68</f>
        <v>2</v>
      </c>
      <c r="F2367" s="37" t="s">
        <v>935</v>
      </c>
      <c r="G2367" s="39" t="s">
        <v>968</v>
      </c>
    </row>
    <row r="2368" customFormat="false" ht="15" hidden="false" customHeight="false" outlineLevel="0" collapsed="false">
      <c r="A2368" s="37" t="s">
        <v>207</v>
      </c>
      <c r="B2368" s="37" t="s">
        <v>248</v>
      </c>
      <c r="C2368" s="37" t="s">
        <v>179</v>
      </c>
      <c r="D2368" s="37" t="s">
        <v>89</v>
      </c>
      <c r="E2368" s="38" t="n">
        <f aca="false">'Matrice des notes'!AD68</f>
        <v>2</v>
      </c>
      <c r="F2368" s="37" t="s">
        <v>937</v>
      </c>
      <c r="G2368" s="39" t="s">
        <v>969</v>
      </c>
    </row>
    <row r="2369" customFormat="false" ht="15" hidden="false" customHeight="false" outlineLevel="0" collapsed="false">
      <c r="A2369" s="37" t="s">
        <v>207</v>
      </c>
      <c r="B2369" s="37" t="s">
        <v>248</v>
      </c>
      <c r="C2369" s="37" t="s">
        <v>179</v>
      </c>
      <c r="D2369" s="37" t="s">
        <v>92</v>
      </c>
      <c r="E2369" s="38" t="n">
        <f aca="false">'Matrice des notes'!AE68</f>
        <v>2</v>
      </c>
      <c r="F2369" s="37" t="s">
        <v>900</v>
      </c>
      <c r="G2369" s="39" t="s">
        <v>901</v>
      </c>
    </row>
    <row r="2370" customFormat="false" ht="15" hidden="false" customHeight="false" outlineLevel="0" collapsed="false">
      <c r="A2370" s="37" t="s">
        <v>207</v>
      </c>
      <c r="B2370" s="37" t="s">
        <v>248</v>
      </c>
      <c r="C2370" s="37" t="s">
        <v>180</v>
      </c>
      <c r="D2370" s="37" t="s">
        <v>95</v>
      </c>
      <c r="E2370" s="38" t="n">
        <f aca="false">'Matrice des notes'!AF68</f>
        <v>1</v>
      </c>
      <c r="F2370" s="37" t="s">
        <v>631</v>
      </c>
      <c r="G2370" s="39" t="s">
        <v>654</v>
      </c>
    </row>
    <row r="2371" customFormat="false" ht="15" hidden="false" customHeight="false" outlineLevel="0" collapsed="false">
      <c r="A2371" s="37" t="s">
        <v>207</v>
      </c>
      <c r="B2371" s="37" t="s">
        <v>248</v>
      </c>
      <c r="C2371" s="37" t="s">
        <v>180</v>
      </c>
      <c r="D2371" s="37" t="s">
        <v>99</v>
      </c>
      <c r="E2371" s="38" t="n">
        <f aca="false">'Matrice des notes'!AG68</f>
        <v>1</v>
      </c>
      <c r="F2371" s="37" t="s">
        <v>655</v>
      </c>
      <c r="G2371" s="39" t="s">
        <v>656</v>
      </c>
    </row>
    <row r="2372" customFormat="false" ht="15" hidden="false" customHeight="false" outlineLevel="0" collapsed="false">
      <c r="A2372" s="37" t="s">
        <v>207</v>
      </c>
      <c r="B2372" s="37" t="s">
        <v>248</v>
      </c>
      <c r="C2372" s="37" t="s">
        <v>180</v>
      </c>
      <c r="D2372" s="37" t="s">
        <v>102</v>
      </c>
      <c r="E2372" s="38" t="n">
        <f aca="false">'Matrice des notes'!AH68</f>
        <v>1</v>
      </c>
      <c r="F2372" s="37" t="s">
        <v>655</v>
      </c>
      <c r="G2372" s="39" t="s">
        <v>656</v>
      </c>
    </row>
    <row r="2373" customFormat="false" ht="15" hidden="false" customHeight="false" outlineLevel="0" collapsed="false">
      <c r="A2373" s="37" t="s">
        <v>207</v>
      </c>
      <c r="B2373" s="37" t="s">
        <v>248</v>
      </c>
      <c r="C2373" s="37" t="s">
        <v>180</v>
      </c>
      <c r="D2373" s="37" t="s">
        <v>104</v>
      </c>
      <c r="E2373" s="38" t="n">
        <f aca="false">'Matrice des notes'!AI68</f>
        <v>1</v>
      </c>
      <c r="F2373" s="37" t="s">
        <v>631</v>
      </c>
      <c r="G2373" s="39" t="s">
        <v>654</v>
      </c>
    </row>
    <row r="2374" customFormat="false" ht="15" hidden="false" customHeight="false" outlineLevel="0" collapsed="false">
      <c r="A2374" s="37" t="s">
        <v>207</v>
      </c>
      <c r="B2374" s="37" t="s">
        <v>248</v>
      </c>
      <c r="C2374" s="37" t="s">
        <v>180</v>
      </c>
      <c r="D2374" s="37" t="s">
        <v>107</v>
      </c>
      <c r="E2374" s="38" t="n">
        <f aca="false">'Matrice des notes'!AJ68</f>
        <v>1</v>
      </c>
      <c r="F2374" s="37" t="s">
        <v>631</v>
      </c>
      <c r="G2374" s="39" t="s">
        <v>654</v>
      </c>
    </row>
    <row r="2375" customFormat="false" ht="15" hidden="false" customHeight="false" outlineLevel="0" collapsed="false">
      <c r="A2375" s="37" t="s">
        <v>207</v>
      </c>
      <c r="B2375" s="37" t="s">
        <v>248</v>
      </c>
      <c r="C2375" s="37" t="s">
        <v>180</v>
      </c>
      <c r="D2375" s="37" t="s">
        <v>110</v>
      </c>
      <c r="E2375" s="38" t="n">
        <f aca="false">'Matrice des notes'!AK68</f>
        <v>1</v>
      </c>
      <c r="F2375" s="37" t="s">
        <v>631</v>
      </c>
      <c r="G2375" s="39" t="s">
        <v>654</v>
      </c>
    </row>
    <row r="2376" customFormat="false" ht="15" hidden="false" customHeight="false" outlineLevel="0" collapsed="false">
      <c r="A2376" s="37" t="s">
        <v>207</v>
      </c>
      <c r="B2376" s="37" t="s">
        <v>248</v>
      </c>
      <c r="C2376" s="37" t="s">
        <v>180</v>
      </c>
      <c r="D2376" s="37" t="s">
        <v>113</v>
      </c>
      <c r="E2376" s="38" t="n">
        <f aca="false">'Matrice des notes'!AL68</f>
        <v>1</v>
      </c>
      <c r="F2376" s="37" t="s">
        <v>631</v>
      </c>
      <c r="G2376" s="39" t="s">
        <v>654</v>
      </c>
    </row>
    <row r="2377" customFormat="false" ht="15" hidden="false" customHeight="false" outlineLevel="0" collapsed="false">
      <c r="A2377" s="37" t="s">
        <v>207</v>
      </c>
      <c r="B2377" s="37" t="s">
        <v>248</v>
      </c>
      <c r="C2377" s="37" t="s">
        <v>180</v>
      </c>
      <c r="D2377" s="37" t="s">
        <v>116</v>
      </c>
      <c r="E2377" s="38" t="n">
        <f aca="false">'Matrice des notes'!AM68</f>
        <v>1</v>
      </c>
      <c r="F2377" s="37" t="s">
        <v>655</v>
      </c>
      <c r="G2377" s="39" t="s">
        <v>656</v>
      </c>
    </row>
    <row r="2378" customFormat="false" ht="15" hidden="false" customHeight="false" outlineLevel="0" collapsed="false">
      <c r="A2378" s="37" t="s">
        <v>207</v>
      </c>
      <c r="B2378" s="37" t="s">
        <v>248</v>
      </c>
      <c r="C2378" s="37" t="s">
        <v>180</v>
      </c>
      <c r="D2378" s="37" t="s">
        <v>119</v>
      </c>
      <c r="E2378" s="38" t="n">
        <f aca="false">'Matrice des notes'!AN68</f>
        <v>1</v>
      </c>
      <c r="F2378" s="37" t="s">
        <v>631</v>
      </c>
      <c r="G2378" s="39" t="s">
        <v>654</v>
      </c>
    </row>
    <row r="2379" customFormat="false" ht="15" hidden="false" customHeight="false" outlineLevel="0" collapsed="false">
      <c r="A2379" s="37" t="s">
        <v>207</v>
      </c>
      <c r="B2379" s="37" t="s">
        <v>248</v>
      </c>
      <c r="C2379" s="37" t="s">
        <v>180</v>
      </c>
      <c r="D2379" s="37" t="s">
        <v>121</v>
      </c>
      <c r="E2379" s="38" t="n">
        <f aca="false">'Matrice des notes'!AO68</f>
        <v>1</v>
      </c>
      <c r="F2379" s="37" t="s">
        <v>657</v>
      </c>
      <c r="G2379" s="39" t="s">
        <v>658</v>
      </c>
    </row>
    <row r="2380" customFormat="false" ht="15" hidden="false" customHeight="false" outlineLevel="0" collapsed="false">
      <c r="A2380" s="37" t="s">
        <v>207</v>
      </c>
      <c r="B2380" s="37" t="s">
        <v>248</v>
      </c>
      <c r="C2380" s="37" t="s">
        <v>180</v>
      </c>
      <c r="D2380" s="37" t="s">
        <v>124</v>
      </c>
      <c r="E2380" s="38" t="n">
        <f aca="false">'Matrice des notes'!AP68</f>
        <v>1</v>
      </c>
      <c r="F2380" s="37" t="s">
        <v>863</v>
      </c>
      <c r="G2380" s="39" t="s">
        <v>864</v>
      </c>
    </row>
    <row r="2381" customFormat="false" ht="15" hidden="false" customHeight="false" outlineLevel="0" collapsed="false">
      <c r="A2381" s="37" t="s">
        <v>249</v>
      </c>
      <c r="B2381" s="37" t="s">
        <v>251</v>
      </c>
      <c r="C2381" s="37" t="s">
        <v>178</v>
      </c>
      <c r="D2381" s="37" t="s">
        <v>7</v>
      </c>
      <c r="E2381" s="38" t="n">
        <f aca="false">'Matrice des notes'!D70</f>
        <v>3</v>
      </c>
      <c r="F2381" s="37" t="s">
        <v>617</v>
      </c>
      <c r="G2381" s="39" t="s">
        <v>618</v>
      </c>
    </row>
    <row r="2382" customFormat="false" ht="15" hidden="false" customHeight="false" outlineLevel="0" collapsed="false">
      <c r="A2382" s="37" t="s">
        <v>249</v>
      </c>
      <c r="B2382" s="37" t="s">
        <v>251</v>
      </c>
      <c r="C2382" s="37" t="s">
        <v>178</v>
      </c>
      <c r="D2382" s="37" t="s">
        <v>11</v>
      </c>
      <c r="E2382" s="38" t="n">
        <f aca="false">'Matrice des notes'!E70</f>
        <v>3</v>
      </c>
      <c r="F2382" s="37" t="s">
        <v>712</v>
      </c>
      <c r="G2382" s="39" t="s">
        <v>774</v>
      </c>
    </row>
    <row r="2383" customFormat="false" ht="15" hidden="false" customHeight="false" outlineLevel="0" collapsed="false">
      <c r="A2383" s="37" t="s">
        <v>249</v>
      </c>
      <c r="B2383" s="37" t="s">
        <v>251</v>
      </c>
      <c r="C2383" s="37" t="s">
        <v>178</v>
      </c>
      <c r="D2383" s="37" t="s">
        <v>14</v>
      </c>
      <c r="E2383" s="38" t="n">
        <f aca="false">'Matrice des notes'!F70</f>
        <v>3</v>
      </c>
      <c r="F2383" s="37" t="s">
        <v>712</v>
      </c>
      <c r="G2383" s="39" t="s">
        <v>775</v>
      </c>
    </row>
    <row r="2384" customFormat="false" ht="15" hidden="false" customHeight="false" outlineLevel="0" collapsed="false">
      <c r="A2384" s="37" t="s">
        <v>249</v>
      </c>
      <c r="B2384" s="37" t="s">
        <v>251</v>
      </c>
      <c r="C2384" s="37" t="s">
        <v>178</v>
      </c>
      <c r="D2384" s="37" t="s">
        <v>17</v>
      </c>
      <c r="E2384" s="38" t="n">
        <f aca="false">'Matrice des notes'!G70</f>
        <v>3</v>
      </c>
      <c r="F2384" s="37" t="s">
        <v>708</v>
      </c>
      <c r="G2384" s="39" t="s">
        <v>776</v>
      </c>
    </row>
    <row r="2385" customFormat="false" ht="15" hidden="false" customHeight="false" outlineLevel="0" collapsed="false">
      <c r="A2385" s="37" t="s">
        <v>249</v>
      </c>
      <c r="B2385" s="37" t="s">
        <v>251</v>
      </c>
      <c r="C2385" s="37" t="s">
        <v>178</v>
      </c>
      <c r="D2385" s="37" t="s">
        <v>20</v>
      </c>
      <c r="E2385" s="38" t="n">
        <f aca="false">'Matrice des notes'!H70</f>
        <v>3</v>
      </c>
      <c r="F2385" s="37" t="s">
        <v>777</v>
      </c>
      <c r="G2385" s="39" t="s">
        <v>778</v>
      </c>
    </row>
    <row r="2386" customFormat="false" ht="15" hidden="false" customHeight="false" outlineLevel="0" collapsed="false">
      <c r="A2386" s="37" t="s">
        <v>249</v>
      </c>
      <c r="B2386" s="37" t="s">
        <v>251</v>
      </c>
      <c r="C2386" s="37" t="s">
        <v>178</v>
      </c>
      <c r="D2386" s="37" t="s">
        <v>23</v>
      </c>
      <c r="E2386" s="38" t="n">
        <f aca="false">'Matrice des notes'!I70</f>
        <v>3</v>
      </c>
      <c r="F2386" s="37" t="s">
        <v>708</v>
      </c>
      <c r="G2386" s="39" t="s">
        <v>779</v>
      </c>
    </row>
    <row r="2387" customFormat="false" ht="15" hidden="false" customHeight="false" outlineLevel="0" collapsed="false">
      <c r="A2387" s="37" t="s">
        <v>249</v>
      </c>
      <c r="B2387" s="37" t="s">
        <v>251</v>
      </c>
      <c r="C2387" s="37" t="s">
        <v>178</v>
      </c>
      <c r="D2387" s="37" t="s">
        <v>26</v>
      </c>
      <c r="E2387" s="38" t="n">
        <f aca="false">'Matrice des notes'!J70</f>
        <v>3</v>
      </c>
      <c r="F2387" s="37" t="s">
        <v>677</v>
      </c>
      <c r="G2387" s="39" t="s">
        <v>780</v>
      </c>
    </row>
    <row r="2388" customFormat="false" ht="15" hidden="false" customHeight="false" outlineLevel="0" collapsed="false">
      <c r="A2388" s="37" t="s">
        <v>249</v>
      </c>
      <c r="B2388" s="37" t="s">
        <v>251</v>
      </c>
      <c r="C2388" s="37" t="s">
        <v>178</v>
      </c>
      <c r="D2388" s="37" t="s">
        <v>30</v>
      </c>
      <c r="E2388" s="38" t="n">
        <f aca="false">'Matrice des notes'!K70</f>
        <v>3</v>
      </c>
      <c r="F2388" s="37" t="s">
        <v>677</v>
      </c>
      <c r="G2388" s="39" t="s">
        <v>781</v>
      </c>
    </row>
    <row r="2389" customFormat="false" ht="15" hidden="false" customHeight="false" outlineLevel="0" collapsed="false">
      <c r="A2389" s="37" t="s">
        <v>249</v>
      </c>
      <c r="B2389" s="37" t="s">
        <v>251</v>
      </c>
      <c r="C2389" s="37" t="s">
        <v>178</v>
      </c>
      <c r="D2389" s="37" t="s">
        <v>34</v>
      </c>
      <c r="E2389" s="38" t="n">
        <f aca="false">'Matrice des notes'!L70</f>
        <v>3</v>
      </c>
      <c r="F2389" s="37" t="s">
        <v>623</v>
      </c>
      <c r="G2389" s="39" t="s">
        <v>987</v>
      </c>
    </row>
    <row r="2390" customFormat="false" ht="15" hidden="false" customHeight="false" outlineLevel="0" collapsed="false">
      <c r="A2390" s="37" t="s">
        <v>249</v>
      </c>
      <c r="B2390" s="37" t="s">
        <v>251</v>
      </c>
      <c r="C2390" s="37" t="s">
        <v>178</v>
      </c>
      <c r="D2390" s="37" t="s">
        <v>37</v>
      </c>
      <c r="E2390" s="38" t="n">
        <f aca="false">'Matrice des notes'!M70</f>
        <v>2</v>
      </c>
      <c r="F2390" s="37" t="s">
        <v>631</v>
      </c>
      <c r="G2390" s="39" t="s">
        <v>632</v>
      </c>
    </row>
    <row r="2391" customFormat="false" ht="15" hidden="false" customHeight="false" outlineLevel="0" collapsed="false">
      <c r="A2391" s="37" t="s">
        <v>249</v>
      </c>
      <c r="B2391" s="37" t="s">
        <v>251</v>
      </c>
      <c r="C2391" s="37" t="s">
        <v>178</v>
      </c>
      <c r="D2391" s="37" t="s">
        <v>40</v>
      </c>
      <c r="E2391" s="38" t="n">
        <f aca="false">'Matrice des notes'!N70</f>
        <v>3</v>
      </c>
      <c r="F2391" s="37" t="s">
        <v>712</v>
      </c>
      <c r="G2391" s="39" t="s">
        <v>783</v>
      </c>
    </row>
    <row r="2392" customFormat="false" ht="15" hidden="false" customHeight="false" outlineLevel="0" collapsed="false">
      <c r="A2392" s="37" t="s">
        <v>249</v>
      </c>
      <c r="B2392" s="37" t="s">
        <v>251</v>
      </c>
      <c r="C2392" s="37" t="s">
        <v>178</v>
      </c>
      <c r="D2392" s="37" t="s">
        <v>43</v>
      </c>
      <c r="E2392" s="38" t="n">
        <f aca="false">'Matrice des notes'!O70</f>
        <v>2</v>
      </c>
      <c r="F2392" s="37" t="s">
        <v>635</v>
      </c>
      <c r="G2392" s="39" t="s">
        <v>636</v>
      </c>
    </row>
    <row r="2393" customFormat="false" ht="15" hidden="false" customHeight="false" outlineLevel="0" collapsed="false">
      <c r="A2393" s="37" t="s">
        <v>249</v>
      </c>
      <c r="B2393" s="37" t="s">
        <v>251</v>
      </c>
      <c r="C2393" s="37" t="s">
        <v>178</v>
      </c>
      <c r="D2393" s="37" t="s">
        <v>46</v>
      </c>
      <c r="E2393" s="38" t="n">
        <f aca="false">'Matrice des notes'!P70</f>
        <v>3</v>
      </c>
      <c r="F2393" s="37" t="s">
        <v>637</v>
      </c>
      <c r="G2393" s="39" t="s">
        <v>638</v>
      </c>
    </row>
    <row r="2394" customFormat="false" ht="15" hidden="false" customHeight="false" outlineLevel="0" collapsed="false">
      <c r="A2394" s="37" t="s">
        <v>249</v>
      </c>
      <c r="B2394" s="37" t="s">
        <v>251</v>
      </c>
      <c r="C2394" s="37" t="s">
        <v>179</v>
      </c>
      <c r="D2394" s="37" t="s">
        <v>49</v>
      </c>
      <c r="E2394" s="38" t="n">
        <f aca="false">'Matrice des notes'!Q70</f>
        <v>3</v>
      </c>
      <c r="F2394" s="37" t="s">
        <v>712</v>
      </c>
      <c r="G2394" s="39" t="s">
        <v>988</v>
      </c>
    </row>
    <row r="2395" customFormat="false" ht="15" hidden="false" customHeight="false" outlineLevel="0" collapsed="false">
      <c r="A2395" s="37" t="s">
        <v>249</v>
      </c>
      <c r="B2395" s="37" t="s">
        <v>251</v>
      </c>
      <c r="C2395" s="37" t="s">
        <v>179</v>
      </c>
      <c r="D2395" s="37" t="s">
        <v>53</v>
      </c>
      <c r="E2395" s="38" t="n">
        <f aca="false">'Matrice des notes'!R70</f>
        <v>4</v>
      </c>
      <c r="F2395" s="37" t="s">
        <v>641</v>
      </c>
      <c r="G2395" s="39" t="s">
        <v>989</v>
      </c>
    </row>
    <row r="2396" customFormat="false" ht="15" hidden="false" customHeight="false" outlineLevel="0" collapsed="false">
      <c r="A2396" s="37" t="s">
        <v>249</v>
      </c>
      <c r="B2396" s="37" t="s">
        <v>251</v>
      </c>
      <c r="C2396" s="37" t="s">
        <v>179</v>
      </c>
      <c r="D2396" s="37" t="s">
        <v>56</v>
      </c>
      <c r="E2396" s="38" t="n">
        <f aca="false">'Matrice des notes'!S70</f>
        <v>3</v>
      </c>
      <c r="F2396" s="37" t="s">
        <v>708</v>
      </c>
      <c r="G2396" s="39" t="s">
        <v>709</v>
      </c>
    </row>
    <row r="2397" customFormat="false" ht="15" hidden="false" customHeight="false" outlineLevel="0" collapsed="false">
      <c r="A2397" s="37" t="s">
        <v>249</v>
      </c>
      <c r="B2397" s="37" t="s">
        <v>251</v>
      </c>
      <c r="C2397" s="37" t="s">
        <v>179</v>
      </c>
      <c r="D2397" s="37" t="s">
        <v>59</v>
      </c>
      <c r="E2397" s="38" t="n">
        <f aca="false">'Matrice des notes'!T70</f>
        <v>3</v>
      </c>
      <c r="F2397" s="37" t="s">
        <v>708</v>
      </c>
      <c r="G2397" s="39" t="s">
        <v>776</v>
      </c>
    </row>
    <row r="2398" customFormat="false" ht="15" hidden="false" customHeight="false" outlineLevel="0" collapsed="false">
      <c r="A2398" s="37" t="s">
        <v>249</v>
      </c>
      <c r="B2398" s="37" t="s">
        <v>251</v>
      </c>
      <c r="C2398" s="37" t="s">
        <v>179</v>
      </c>
      <c r="D2398" s="37" t="s">
        <v>62</v>
      </c>
      <c r="E2398" s="38" t="n">
        <f aca="false">'Matrice des notes'!U70</f>
        <v>3</v>
      </c>
      <c r="F2398" s="37" t="s">
        <v>712</v>
      </c>
      <c r="G2398" s="39" t="s">
        <v>775</v>
      </c>
    </row>
    <row r="2399" customFormat="false" ht="15" hidden="false" customHeight="false" outlineLevel="0" collapsed="false">
      <c r="A2399" s="37" t="s">
        <v>249</v>
      </c>
      <c r="B2399" s="37" t="s">
        <v>251</v>
      </c>
      <c r="C2399" s="37" t="s">
        <v>179</v>
      </c>
      <c r="D2399" s="37" t="s">
        <v>65</v>
      </c>
      <c r="E2399" s="38" t="n">
        <f aca="false">'Matrice des notes'!V70</f>
        <v>3</v>
      </c>
      <c r="F2399" s="37" t="s">
        <v>637</v>
      </c>
      <c r="G2399" s="39" t="s">
        <v>638</v>
      </c>
    </row>
    <row r="2400" customFormat="false" ht="15" hidden="false" customHeight="false" outlineLevel="0" collapsed="false">
      <c r="A2400" s="37" t="s">
        <v>249</v>
      </c>
      <c r="B2400" s="37" t="s">
        <v>251</v>
      </c>
      <c r="C2400" s="37" t="s">
        <v>179</v>
      </c>
      <c r="D2400" s="37" t="s">
        <v>68</v>
      </c>
      <c r="E2400" s="38" t="n">
        <f aca="false">'Matrice des notes'!W70</f>
        <v>2</v>
      </c>
      <c r="F2400" s="37" t="s">
        <v>649</v>
      </c>
      <c r="G2400" s="39" t="s">
        <v>650</v>
      </c>
    </row>
    <row r="2401" customFormat="false" ht="15" hidden="false" customHeight="false" outlineLevel="0" collapsed="false">
      <c r="A2401" s="37" t="s">
        <v>249</v>
      </c>
      <c r="B2401" s="37" t="s">
        <v>251</v>
      </c>
      <c r="C2401" s="37" t="s">
        <v>179</v>
      </c>
      <c r="D2401" s="37" t="s">
        <v>71</v>
      </c>
      <c r="E2401" s="38" t="n">
        <f aca="false">'Matrice des notes'!X70</f>
        <v>3</v>
      </c>
      <c r="F2401" s="37" t="s">
        <v>712</v>
      </c>
      <c r="G2401" s="39" t="s">
        <v>990</v>
      </c>
    </row>
    <row r="2402" customFormat="false" ht="15" hidden="false" customHeight="false" outlineLevel="0" collapsed="false">
      <c r="A2402" s="37" t="s">
        <v>249</v>
      </c>
      <c r="B2402" s="37" t="s">
        <v>251</v>
      </c>
      <c r="C2402" s="37" t="s">
        <v>179</v>
      </c>
      <c r="D2402" s="37" t="s">
        <v>74</v>
      </c>
      <c r="E2402" s="38" t="n">
        <f aca="false">'Matrice des notes'!Y70</f>
        <v>3</v>
      </c>
      <c r="F2402" s="37" t="s">
        <v>637</v>
      </c>
      <c r="G2402" s="39" t="s">
        <v>638</v>
      </c>
    </row>
    <row r="2403" customFormat="false" ht="15" hidden="false" customHeight="false" outlineLevel="0" collapsed="false">
      <c r="A2403" s="37" t="s">
        <v>249</v>
      </c>
      <c r="B2403" s="37" t="s">
        <v>251</v>
      </c>
      <c r="C2403" s="37" t="s">
        <v>179</v>
      </c>
      <c r="D2403" s="37" t="s">
        <v>77</v>
      </c>
      <c r="E2403" s="38" t="n">
        <f aca="false">'Matrice des notes'!Z70</f>
        <v>3</v>
      </c>
      <c r="F2403" s="37" t="s">
        <v>637</v>
      </c>
      <c r="G2403" s="39" t="s">
        <v>638</v>
      </c>
    </row>
    <row r="2404" customFormat="false" ht="15" hidden="false" customHeight="false" outlineLevel="0" collapsed="false">
      <c r="A2404" s="37" t="s">
        <v>249</v>
      </c>
      <c r="B2404" s="37" t="s">
        <v>251</v>
      </c>
      <c r="C2404" s="37" t="s">
        <v>179</v>
      </c>
      <c r="D2404" s="37" t="s">
        <v>80</v>
      </c>
      <c r="E2404" s="38" t="n">
        <f aca="false">'Matrice des notes'!AA70</f>
        <v>3</v>
      </c>
      <c r="F2404" s="37" t="s">
        <v>637</v>
      </c>
      <c r="G2404" s="39" t="s">
        <v>638</v>
      </c>
    </row>
    <row r="2405" customFormat="false" ht="15" hidden="false" customHeight="false" outlineLevel="0" collapsed="false">
      <c r="A2405" s="37" t="s">
        <v>249</v>
      </c>
      <c r="B2405" s="37" t="s">
        <v>251</v>
      </c>
      <c r="C2405" s="37" t="s">
        <v>179</v>
      </c>
      <c r="D2405" s="37" t="s">
        <v>83</v>
      </c>
      <c r="E2405" s="38" t="n">
        <f aca="false">'Matrice des notes'!AB70</f>
        <v>3</v>
      </c>
      <c r="F2405" s="37" t="s">
        <v>712</v>
      </c>
      <c r="G2405" s="39" t="s">
        <v>713</v>
      </c>
    </row>
    <row r="2406" customFormat="false" ht="15" hidden="false" customHeight="false" outlineLevel="0" collapsed="false">
      <c r="A2406" s="37" t="s">
        <v>249</v>
      </c>
      <c r="B2406" s="37" t="s">
        <v>251</v>
      </c>
      <c r="C2406" s="37" t="s">
        <v>179</v>
      </c>
      <c r="D2406" s="37" t="s">
        <v>86</v>
      </c>
      <c r="E2406" s="38" t="n">
        <f aca="false">'Matrice des notes'!AC70</f>
        <v>2</v>
      </c>
      <c r="F2406" s="37" t="s">
        <v>637</v>
      </c>
      <c r="G2406" s="39" t="s">
        <v>638</v>
      </c>
    </row>
    <row r="2407" customFormat="false" ht="15" hidden="false" customHeight="false" outlineLevel="0" collapsed="false">
      <c r="A2407" s="37" t="s">
        <v>249</v>
      </c>
      <c r="B2407" s="37" t="s">
        <v>251</v>
      </c>
      <c r="C2407" s="37" t="s">
        <v>179</v>
      </c>
      <c r="D2407" s="37" t="s">
        <v>89</v>
      </c>
      <c r="E2407" s="38" t="n">
        <f aca="false">'Matrice des notes'!AD70</f>
        <v>2</v>
      </c>
      <c r="F2407" s="37" t="s">
        <v>637</v>
      </c>
      <c r="G2407" s="39" t="s">
        <v>638</v>
      </c>
    </row>
    <row r="2408" customFormat="false" ht="15" hidden="false" customHeight="false" outlineLevel="0" collapsed="false">
      <c r="A2408" s="37" t="s">
        <v>249</v>
      </c>
      <c r="B2408" s="37" t="s">
        <v>251</v>
      </c>
      <c r="C2408" s="37" t="s">
        <v>179</v>
      </c>
      <c r="D2408" s="37" t="s">
        <v>92</v>
      </c>
      <c r="E2408" s="38" t="n">
        <f aca="false">'Matrice des notes'!AE70</f>
        <v>2</v>
      </c>
      <c r="F2408" s="37" t="s">
        <v>718</v>
      </c>
      <c r="G2408" s="39" t="s">
        <v>719</v>
      </c>
    </row>
    <row r="2409" customFormat="false" ht="15" hidden="false" customHeight="false" outlineLevel="0" collapsed="false">
      <c r="A2409" s="37" t="s">
        <v>249</v>
      </c>
      <c r="B2409" s="37" t="s">
        <v>251</v>
      </c>
      <c r="C2409" s="37" t="s">
        <v>180</v>
      </c>
      <c r="D2409" s="37" t="s">
        <v>95</v>
      </c>
      <c r="E2409" s="38" t="n">
        <f aca="false">'Matrice des notes'!AF70</f>
        <v>1</v>
      </c>
      <c r="F2409" s="37" t="s">
        <v>631</v>
      </c>
      <c r="G2409" s="39" t="s">
        <v>654</v>
      </c>
    </row>
    <row r="2410" customFormat="false" ht="15" hidden="false" customHeight="false" outlineLevel="0" collapsed="false">
      <c r="A2410" s="37" t="s">
        <v>249</v>
      </c>
      <c r="B2410" s="37" t="s">
        <v>251</v>
      </c>
      <c r="C2410" s="37" t="s">
        <v>180</v>
      </c>
      <c r="D2410" s="37" t="s">
        <v>99</v>
      </c>
      <c r="E2410" s="38" t="n">
        <f aca="false">'Matrice des notes'!AG70</f>
        <v>1</v>
      </c>
      <c r="F2410" s="37" t="s">
        <v>655</v>
      </c>
      <c r="G2410" s="39" t="s">
        <v>656</v>
      </c>
    </row>
    <row r="2411" customFormat="false" ht="15" hidden="false" customHeight="false" outlineLevel="0" collapsed="false">
      <c r="A2411" s="37" t="s">
        <v>249</v>
      </c>
      <c r="B2411" s="37" t="s">
        <v>251</v>
      </c>
      <c r="C2411" s="37" t="s">
        <v>180</v>
      </c>
      <c r="D2411" s="37" t="s">
        <v>102</v>
      </c>
      <c r="E2411" s="38" t="n">
        <f aca="false">'Matrice des notes'!AH70</f>
        <v>1</v>
      </c>
      <c r="F2411" s="37" t="s">
        <v>655</v>
      </c>
      <c r="G2411" s="39" t="s">
        <v>656</v>
      </c>
    </row>
    <row r="2412" customFormat="false" ht="15" hidden="false" customHeight="false" outlineLevel="0" collapsed="false">
      <c r="A2412" s="37" t="s">
        <v>249</v>
      </c>
      <c r="B2412" s="37" t="s">
        <v>251</v>
      </c>
      <c r="C2412" s="37" t="s">
        <v>180</v>
      </c>
      <c r="D2412" s="37" t="s">
        <v>104</v>
      </c>
      <c r="E2412" s="38" t="n">
        <f aca="false">'Matrice des notes'!AI70</f>
        <v>1</v>
      </c>
      <c r="F2412" s="37" t="s">
        <v>631</v>
      </c>
      <c r="G2412" s="39" t="s">
        <v>654</v>
      </c>
    </row>
    <row r="2413" customFormat="false" ht="15" hidden="false" customHeight="false" outlineLevel="0" collapsed="false">
      <c r="A2413" s="37" t="s">
        <v>249</v>
      </c>
      <c r="B2413" s="37" t="s">
        <v>251</v>
      </c>
      <c r="C2413" s="37" t="s">
        <v>180</v>
      </c>
      <c r="D2413" s="37" t="s">
        <v>107</v>
      </c>
      <c r="E2413" s="38" t="n">
        <f aca="false">'Matrice des notes'!AJ70</f>
        <v>1</v>
      </c>
      <c r="F2413" s="37" t="s">
        <v>631</v>
      </c>
      <c r="G2413" s="39" t="s">
        <v>654</v>
      </c>
    </row>
    <row r="2414" customFormat="false" ht="15" hidden="false" customHeight="false" outlineLevel="0" collapsed="false">
      <c r="A2414" s="37" t="s">
        <v>249</v>
      </c>
      <c r="B2414" s="37" t="s">
        <v>251</v>
      </c>
      <c r="C2414" s="37" t="s">
        <v>180</v>
      </c>
      <c r="D2414" s="37" t="s">
        <v>110</v>
      </c>
      <c r="E2414" s="38" t="n">
        <f aca="false">'Matrice des notes'!AK70</f>
        <v>1</v>
      </c>
      <c r="F2414" s="37" t="s">
        <v>631</v>
      </c>
      <c r="G2414" s="39" t="s">
        <v>654</v>
      </c>
    </row>
    <row r="2415" customFormat="false" ht="15" hidden="false" customHeight="false" outlineLevel="0" collapsed="false">
      <c r="A2415" s="37" t="s">
        <v>249</v>
      </c>
      <c r="B2415" s="37" t="s">
        <v>251</v>
      </c>
      <c r="C2415" s="37" t="s">
        <v>180</v>
      </c>
      <c r="D2415" s="37" t="s">
        <v>113</v>
      </c>
      <c r="E2415" s="38" t="n">
        <f aca="false">'Matrice des notes'!AL70</f>
        <v>1</v>
      </c>
      <c r="F2415" s="37" t="s">
        <v>631</v>
      </c>
      <c r="G2415" s="39" t="s">
        <v>654</v>
      </c>
    </row>
    <row r="2416" customFormat="false" ht="15" hidden="false" customHeight="false" outlineLevel="0" collapsed="false">
      <c r="A2416" s="37" t="s">
        <v>249</v>
      </c>
      <c r="B2416" s="37" t="s">
        <v>251</v>
      </c>
      <c r="C2416" s="37" t="s">
        <v>180</v>
      </c>
      <c r="D2416" s="37" t="s">
        <v>116</v>
      </c>
      <c r="E2416" s="38" t="n">
        <f aca="false">'Matrice des notes'!AM70</f>
        <v>1</v>
      </c>
      <c r="F2416" s="37" t="s">
        <v>655</v>
      </c>
      <c r="G2416" s="39" t="s">
        <v>656</v>
      </c>
    </row>
    <row r="2417" customFormat="false" ht="15" hidden="false" customHeight="false" outlineLevel="0" collapsed="false">
      <c r="A2417" s="37" t="s">
        <v>249</v>
      </c>
      <c r="B2417" s="37" t="s">
        <v>251</v>
      </c>
      <c r="C2417" s="37" t="s">
        <v>180</v>
      </c>
      <c r="D2417" s="37" t="s">
        <v>119</v>
      </c>
      <c r="E2417" s="38" t="n">
        <f aca="false">'Matrice des notes'!AN70</f>
        <v>1</v>
      </c>
      <c r="F2417" s="37" t="s">
        <v>631</v>
      </c>
      <c r="G2417" s="39" t="s">
        <v>654</v>
      </c>
    </row>
    <row r="2418" customFormat="false" ht="15" hidden="false" customHeight="false" outlineLevel="0" collapsed="false">
      <c r="A2418" s="37" t="s">
        <v>249</v>
      </c>
      <c r="B2418" s="37" t="s">
        <v>251</v>
      </c>
      <c r="C2418" s="37" t="s">
        <v>180</v>
      </c>
      <c r="D2418" s="37" t="s">
        <v>121</v>
      </c>
      <c r="E2418" s="38" t="n">
        <f aca="false">'Matrice des notes'!AO70</f>
        <v>1</v>
      </c>
      <c r="F2418" s="37" t="s">
        <v>657</v>
      </c>
      <c r="G2418" s="39" t="s">
        <v>658</v>
      </c>
    </row>
    <row r="2419" customFormat="false" ht="15" hidden="false" customHeight="false" outlineLevel="0" collapsed="false">
      <c r="A2419" s="37" t="s">
        <v>249</v>
      </c>
      <c r="B2419" s="37" t="s">
        <v>251</v>
      </c>
      <c r="C2419" s="37" t="s">
        <v>180</v>
      </c>
      <c r="D2419" s="37" t="s">
        <v>124</v>
      </c>
      <c r="E2419" s="38" t="n">
        <f aca="false">'Matrice des notes'!AP70</f>
        <v>2</v>
      </c>
      <c r="F2419" s="37" t="s">
        <v>807</v>
      </c>
      <c r="G2419" s="39" t="s">
        <v>991</v>
      </c>
    </row>
    <row r="2420" customFormat="false" ht="15" hidden="false" customHeight="false" outlineLevel="0" collapsed="false">
      <c r="A2420" s="37" t="s">
        <v>249</v>
      </c>
      <c r="B2420" s="37" t="s">
        <v>252</v>
      </c>
      <c r="C2420" s="37" t="s">
        <v>178</v>
      </c>
      <c r="D2420" s="37" t="s">
        <v>7</v>
      </c>
      <c r="E2420" s="38" t="n">
        <f aca="false">'Matrice des notes'!D71</f>
        <v>3</v>
      </c>
      <c r="F2420" s="37" t="s">
        <v>617</v>
      </c>
      <c r="G2420" s="39" t="s">
        <v>618</v>
      </c>
    </row>
    <row r="2421" customFormat="false" ht="15" hidden="false" customHeight="false" outlineLevel="0" collapsed="false">
      <c r="A2421" s="37" t="s">
        <v>249</v>
      </c>
      <c r="B2421" s="37" t="s">
        <v>252</v>
      </c>
      <c r="C2421" s="37" t="s">
        <v>178</v>
      </c>
      <c r="D2421" s="37" t="s">
        <v>11</v>
      </c>
      <c r="E2421" s="38" t="n">
        <f aca="false">'Matrice des notes'!E71</f>
        <v>3</v>
      </c>
      <c r="F2421" s="37" t="s">
        <v>712</v>
      </c>
      <c r="G2421" s="39" t="s">
        <v>774</v>
      </c>
    </row>
    <row r="2422" customFormat="false" ht="15" hidden="false" customHeight="false" outlineLevel="0" collapsed="false">
      <c r="A2422" s="37" t="s">
        <v>249</v>
      </c>
      <c r="B2422" s="37" t="s">
        <v>252</v>
      </c>
      <c r="C2422" s="37" t="s">
        <v>178</v>
      </c>
      <c r="D2422" s="37" t="s">
        <v>14</v>
      </c>
      <c r="E2422" s="38" t="n">
        <f aca="false">'Matrice des notes'!F71</f>
        <v>3</v>
      </c>
      <c r="F2422" s="37" t="s">
        <v>712</v>
      </c>
      <c r="G2422" s="39" t="s">
        <v>775</v>
      </c>
    </row>
    <row r="2423" customFormat="false" ht="15" hidden="false" customHeight="false" outlineLevel="0" collapsed="false">
      <c r="A2423" s="37" t="s">
        <v>249</v>
      </c>
      <c r="B2423" s="37" t="s">
        <v>252</v>
      </c>
      <c r="C2423" s="37" t="s">
        <v>178</v>
      </c>
      <c r="D2423" s="37" t="s">
        <v>17</v>
      </c>
      <c r="E2423" s="38" t="n">
        <f aca="false">'Matrice des notes'!G71</f>
        <v>3</v>
      </c>
      <c r="F2423" s="37" t="s">
        <v>708</v>
      </c>
      <c r="G2423" s="39" t="s">
        <v>776</v>
      </c>
    </row>
    <row r="2424" customFormat="false" ht="15" hidden="false" customHeight="false" outlineLevel="0" collapsed="false">
      <c r="A2424" s="37" t="s">
        <v>249</v>
      </c>
      <c r="B2424" s="37" t="s">
        <v>252</v>
      </c>
      <c r="C2424" s="37" t="s">
        <v>178</v>
      </c>
      <c r="D2424" s="37" t="s">
        <v>20</v>
      </c>
      <c r="E2424" s="38" t="n">
        <f aca="false">'Matrice des notes'!H71</f>
        <v>3</v>
      </c>
      <c r="F2424" s="37" t="s">
        <v>777</v>
      </c>
      <c r="G2424" s="39" t="s">
        <v>778</v>
      </c>
    </row>
    <row r="2425" customFormat="false" ht="15" hidden="false" customHeight="false" outlineLevel="0" collapsed="false">
      <c r="A2425" s="37" t="s">
        <v>249</v>
      </c>
      <c r="B2425" s="37" t="s">
        <v>252</v>
      </c>
      <c r="C2425" s="37" t="s">
        <v>178</v>
      </c>
      <c r="D2425" s="37" t="s">
        <v>23</v>
      </c>
      <c r="E2425" s="38" t="n">
        <f aca="false">'Matrice des notes'!I71</f>
        <v>3</v>
      </c>
      <c r="F2425" s="37" t="s">
        <v>708</v>
      </c>
      <c r="G2425" s="39" t="s">
        <v>779</v>
      </c>
    </row>
    <row r="2426" customFormat="false" ht="15" hidden="false" customHeight="false" outlineLevel="0" collapsed="false">
      <c r="A2426" s="37" t="s">
        <v>249</v>
      </c>
      <c r="B2426" s="37" t="s">
        <v>252</v>
      </c>
      <c r="C2426" s="37" t="s">
        <v>178</v>
      </c>
      <c r="D2426" s="37" t="s">
        <v>26</v>
      </c>
      <c r="E2426" s="38" t="n">
        <f aca="false">'Matrice des notes'!J71</f>
        <v>3</v>
      </c>
      <c r="F2426" s="37" t="s">
        <v>677</v>
      </c>
      <c r="G2426" s="39" t="s">
        <v>780</v>
      </c>
    </row>
    <row r="2427" customFormat="false" ht="15" hidden="false" customHeight="false" outlineLevel="0" collapsed="false">
      <c r="A2427" s="37" t="s">
        <v>249</v>
      </c>
      <c r="B2427" s="37" t="s">
        <v>252</v>
      </c>
      <c r="C2427" s="37" t="s">
        <v>178</v>
      </c>
      <c r="D2427" s="37" t="s">
        <v>30</v>
      </c>
      <c r="E2427" s="38" t="n">
        <f aca="false">'Matrice des notes'!K71</f>
        <v>3</v>
      </c>
      <c r="F2427" s="37" t="s">
        <v>677</v>
      </c>
      <c r="G2427" s="39" t="s">
        <v>781</v>
      </c>
    </row>
    <row r="2428" customFormat="false" ht="15" hidden="false" customHeight="false" outlineLevel="0" collapsed="false">
      <c r="A2428" s="37" t="s">
        <v>249</v>
      </c>
      <c r="B2428" s="37" t="s">
        <v>252</v>
      </c>
      <c r="C2428" s="37" t="s">
        <v>178</v>
      </c>
      <c r="D2428" s="37" t="s">
        <v>34</v>
      </c>
      <c r="E2428" s="38" t="n">
        <f aca="false">'Matrice des notes'!L71</f>
        <v>3</v>
      </c>
      <c r="F2428" s="37" t="s">
        <v>623</v>
      </c>
      <c r="G2428" s="39" t="s">
        <v>987</v>
      </c>
    </row>
    <row r="2429" customFormat="false" ht="15" hidden="false" customHeight="false" outlineLevel="0" collapsed="false">
      <c r="A2429" s="37" t="s">
        <v>249</v>
      </c>
      <c r="B2429" s="37" t="s">
        <v>252</v>
      </c>
      <c r="C2429" s="37" t="s">
        <v>178</v>
      </c>
      <c r="D2429" s="37" t="s">
        <v>37</v>
      </c>
      <c r="E2429" s="38" t="n">
        <f aca="false">'Matrice des notes'!M71</f>
        <v>2</v>
      </c>
      <c r="F2429" s="37" t="s">
        <v>631</v>
      </c>
      <c r="G2429" s="39" t="s">
        <v>632</v>
      </c>
    </row>
    <row r="2430" customFormat="false" ht="15" hidden="false" customHeight="false" outlineLevel="0" collapsed="false">
      <c r="A2430" s="37" t="s">
        <v>249</v>
      </c>
      <c r="B2430" s="37" t="s">
        <v>252</v>
      </c>
      <c r="C2430" s="37" t="s">
        <v>178</v>
      </c>
      <c r="D2430" s="37" t="s">
        <v>40</v>
      </c>
      <c r="E2430" s="38" t="n">
        <f aca="false">'Matrice des notes'!N71</f>
        <v>3</v>
      </c>
      <c r="F2430" s="37" t="s">
        <v>712</v>
      </c>
      <c r="G2430" s="39" t="s">
        <v>783</v>
      </c>
    </row>
    <row r="2431" customFormat="false" ht="15" hidden="false" customHeight="false" outlineLevel="0" collapsed="false">
      <c r="A2431" s="37" t="s">
        <v>249</v>
      </c>
      <c r="B2431" s="37" t="s">
        <v>252</v>
      </c>
      <c r="C2431" s="37" t="s">
        <v>178</v>
      </c>
      <c r="D2431" s="37" t="s">
        <v>43</v>
      </c>
      <c r="E2431" s="38" t="n">
        <f aca="false">'Matrice des notes'!O71</f>
        <v>2</v>
      </c>
      <c r="F2431" s="37" t="s">
        <v>635</v>
      </c>
      <c r="G2431" s="39" t="s">
        <v>636</v>
      </c>
    </row>
    <row r="2432" customFormat="false" ht="15" hidden="false" customHeight="false" outlineLevel="0" collapsed="false">
      <c r="A2432" s="37" t="s">
        <v>249</v>
      </c>
      <c r="B2432" s="37" t="s">
        <v>252</v>
      </c>
      <c r="C2432" s="37" t="s">
        <v>178</v>
      </c>
      <c r="D2432" s="37" t="s">
        <v>46</v>
      </c>
      <c r="E2432" s="38" t="n">
        <f aca="false">'Matrice des notes'!P71</f>
        <v>3</v>
      </c>
      <c r="F2432" s="37" t="s">
        <v>637</v>
      </c>
      <c r="G2432" s="39" t="s">
        <v>638</v>
      </c>
    </row>
    <row r="2433" customFormat="false" ht="15" hidden="false" customHeight="false" outlineLevel="0" collapsed="false">
      <c r="A2433" s="37" t="s">
        <v>249</v>
      </c>
      <c r="B2433" s="37" t="s">
        <v>252</v>
      </c>
      <c r="C2433" s="37" t="s">
        <v>179</v>
      </c>
      <c r="D2433" s="37" t="s">
        <v>49</v>
      </c>
      <c r="E2433" s="38" t="n">
        <f aca="false">'Matrice des notes'!Q71</f>
        <v>3</v>
      </c>
      <c r="F2433" s="37" t="s">
        <v>712</v>
      </c>
      <c r="G2433" s="39" t="s">
        <v>988</v>
      </c>
    </row>
    <row r="2434" customFormat="false" ht="15" hidden="false" customHeight="false" outlineLevel="0" collapsed="false">
      <c r="A2434" s="37" t="s">
        <v>249</v>
      </c>
      <c r="B2434" s="37" t="s">
        <v>252</v>
      </c>
      <c r="C2434" s="37" t="s">
        <v>179</v>
      </c>
      <c r="D2434" s="37" t="s">
        <v>53</v>
      </c>
      <c r="E2434" s="38" t="n">
        <f aca="false">'Matrice des notes'!R71</f>
        <v>4</v>
      </c>
      <c r="F2434" s="37" t="s">
        <v>641</v>
      </c>
      <c r="G2434" s="39" t="s">
        <v>989</v>
      </c>
    </row>
    <row r="2435" customFormat="false" ht="15" hidden="false" customHeight="false" outlineLevel="0" collapsed="false">
      <c r="A2435" s="37" t="s">
        <v>249</v>
      </c>
      <c r="B2435" s="37" t="s">
        <v>252</v>
      </c>
      <c r="C2435" s="37" t="s">
        <v>179</v>
      </c>
      <c r="D2435" s="37" t="s">
        <v>56</v>
      </c>
      <c r="E2435" s="38" t="n">
        <f aca="false">'Matrice des notes'!S71</f>
        <v>3</v>
      </c>
      <c r="F2435" s="37" t="s">
        <v>708</v>
      </c>
      <c r="G2435" s="39" t="s">
        <v>709</v>
      </c>
    </row>
    <row r="2436" customFormat="false" ht="15" hidden="false" customHeight="false" outlineLevel="0" collapsed="false">
      <c r="A2436" s="37" t="s">
        <v>249</v>
      </c>
      <c r="B2436" s="37" t="s">
        <v>252</v>
      </c>
      <c r="C2436" s="37" t="s">
        <v>179</v>
      </c>
      <c r="D2436" s="37" t="s">
        <v>59</v>
      </c>
      <c r="E2436" s="38" t="n">
        <f aca="false">'Matrice des notes'!T71</f>
        <v>3</v>
      </c>
      <c r="F2436" s="37" t="s">
        <v>708</v>
      </c>
      <c r="G2436" s="39" t="s">
        <v>776</v>
      </c>
    </row>
    <row r="2437" customFormat="false" ht="15" hidden="false" customHeight="false" outlineLevel="0" collapsed="false">
      <c r="A2437" s="37" t="s">
        <v>249</v>
      </c>
      <c r="B2437" s="37" t="s">
        <v>252</v>
      </c>
      <c r="C2437" s="37" t="s">
        <v>179</v>
      </c>
      <c r="D2437" s="37" t="s">
        <v>62</v>
      </c>
      <c r="E2437" s="38" t="n">
        <f aca="false">'Matrice des notes'!U71</f>
        <v>3</v>
      </c>
      <c r="F2437" s="37" t="s">
        <v>712</v>
      </c>
      <c r="G2437" s="39" t="s">
        <v>775</v>
      </c>
    </row>
    <row r="2438" customFormat="false" ht="15" hidden="false" customHeight="false" outlineLevel="0" collapsed="false">
      <c r="A2438" s="37" t="s">
        <v>249</v>
      </c>
      <c r="B2438" s="37" t="s">
        <v>252</v>
      </c>
      <c r="C2438" s="37" t="s">
        <v>179</v>
      </c>
      <c r="D2438" s="37" t="s">
        <v>65</v>
      </c>
      <c r="E2438" s="38" t="n">
        <f aca="false">'Matrice des notes'!V71</f>
        <v>3</v>
      </c>
      <c r="F2438" s="37" t="s">
        <v>637</v>
      </c>
      <c r="G2438" s="39" t="s">
        <v>638</v>
      </c>
    </row>
    <row r="2439" customFormat="false" ht="15" hidden="false" customHeight="false" outlineLevel="0" collapsed="false">
      <c r="A2439" s="37" t="s">
        <v>249</v>
      </c>
      <c r="B2439" s="37" t="s">
        <v>252</v>
      </c>
      <c r="C2439" s="37" t="s">
        <v>179</v>
      </c>
      <c r="D2439" s="37" t="s">
        <v>68</v>
      </c>
      <c r="E2439" s="38" t="n">
        <f aca="false">'Matrice des notes'!W71</f>
        <v>2</v>
      </c>
      <c r="F2439" s="37" t="s">
        <v>649</v>
      </c>
      <c r="G2439" s="39" t="s">
        <v>650</v>
      </c>
    </row>
    <row r="2440" customFormat="false" ht="15" hidden="false" customHeight="false" outlineLevel="0" collapsed="false">
      <c r="A2440" s="37" t="s">
        <v>249</v>
      </c>
      <c r="B2440" s="37" t="s">
        <v>252</v>
      </c>
      <c r="C2440" s="37" t="s">
        <v>179</v>
      </c>
      <c r="D2440" s="37" t="s">
        <v>71</v>
      </c>
      <c r="E2440" s="38" t="n">
        <f aca="false">'Matrice des notes'!X71</f>
        <v>3</v>
      </c>
      <c r="F2440" s="37" t="s">
        <v>712</v>
      </c>
      <c r="G2440" s="39" t="s">
        <v>990</v>
      </c>
    </row>
    <row r="2441" customFormat="false" ht="15" hidden="false" customHeight="false" outlineLevel="0" collapsed="false">
      <c r="A2441" s="37" t="s">
        <v>249</v>
      </c>
      <c r="B2441" s="37" t="s">
        <v>252</v>
      </c>
      <c r="C2441" s="37" t="s">
        <v>179</v>
      </c>
      <c r="D2441" s="37" t="s">
        <v>74</v>
      </c>
      <c r="E2441" s="38" t="n">
        <f aca="false">'Matrice des notes'!Y71</f>
        <v>3</v>
      </c>
      <c r="F2441" s="37" t="s">
        <v>637</v>
      </c>
      <c r="G2441" s="39" t="s">
        <v>638</v>
      </c>
    </row>
    <row r="2442" customFormat="false" ht="15" hidden="false" customHeight="false" outlineLevel="0" collapsed="false">
      <c r="A2442" s="37" t="s">
        <v>249</v>
      </c>
      <c r="B2442" s="37" t="s">
        <v>252</v>
      </c>
      <c r="C2442" s="37" t="s">
        <v>179</v>
      </c>
      <c r="D2442" s="37" t="s">
        <v>77</v>
      </c>
      <c r="E2442" s="38" t="n">
        <f aca="false">'Matrice des notes'!Z71</f>
        <v>3</v>
      </c>
      <c r="F2442" s="37" t="s">
        <v>637</v>
      </c>
      <c r="G2442" s="39" t="s">
        <v>638</v>
      </c>
    </row>
    <row r="2443" customFormat="false" ht="15" hidden="false" customHeight="false" outlineLevel="0" collapsed="false">
      <c r="A2443" s="37" t="s">
        <v>249</v>
      </c>
      <c r="B2443" s="37" t="s">
        <v>252</v>
      </c>
      <c r="C2443" s="37" t="s">
        <v>179</v>
      </c>
      <c r="D2443" s="37" t="s">
        <v>80</v>
      </c>
      <c r="E2443" s="38" t="n">
        <f aca="false">'Matrice des notes'!AA71</f>
        <v>3</v>
      </c>
      <c r="F2443" s="37" t="s">
        <v>637</v>
      </c>
      <c r="G2443" s="39" t="s">
        <v>638</v>
      </c>
    </row>
    <row r="2444" customFormat="false" ht="15" hidden="false" customHeight="false" outlineLevel="0" collapsed="false">
      <c r="A2444" s="37" t="s">
        <v>249</v>
      </c>
      <c r="B2444" s="37" t="s">
        <v>252</v>
      </c>
      <c r="C2444" s="37" t="s">
        <v>179</v>
      </c>
      <c r="D2444" s="37" t="s">
        <v>83</v>
      </c>
      <c r="E2444" s="38" t="n">
        <f aca="false">'Matrice des notes'!AB71</f>
        <v>3</v>
      </c>
      <c r="F2444" s="37" t="s">
        <v>712</v>
      </c>
      <c r="G2444" s="39" t="s">
        <v>713</v>
      </c>
    </row>
    <row r="2445" customFormat="false" ht="15" hidden="false" customHeight="false" outlineLevel="0" collapsed="false">
      <c r="A2445" s="37" t="s">
        <v>249</v>
      </c>
      <c r="B2445" s="37" t="s">
        <v>252</v>
      </c>
      <c r="C2445" s="37" t="s">
        <v>179</v>
      </c>
      <c r="D2445" s="37" t="s">
        <v>86</v>
      </c>
      <c r="E2445" s="38" t="n">
        <f aca="false">'Matrice des notes'!AC71</f>
        <v>2</v>
      </c>
      <c r="F2445" s="37" t="s">
        <v>637</v>
      </c>
      <c r="G2445" s="39" t="s">
        <v>638</v>
      </c>
    </row>
    <row r="2446" customFormat="false" ht="15" hidden="false" customHeight="false" outlineLevel="0" collapsed="false">
      <c r="A2446" s="37" t="s">
        <v>249</v>
      </c>
      <c r="B2446" s="37" t="s">
        <v>252</v>
      </c>
      <c r="C2446" s="37" t="s">
        <v>179</v>
      </c>
      <c r="D2446" s="37" t="s">
        <v>89</v>
      </c>
      <c r="E2446" s="38" t="n">
        <f aca="false">'Matrice des notes'!AD71</f>
        <v>2</v>
      </c>
      <c r="F2446" s="37" t="s">
        <v>637</v>
      </c>
      <c r="G2446" s="39" t="s">
        <v>638</v>
      </c>
    </row>
    <row r="2447" customFormat="false" ht="15" hidden="false" customHeight="false" outlineLevel="0" collapsed="false">
      <c r="A2447" s="37" t="s">
        <v>249</v>
      </c>
      <c r="B2447" s="37" t="s">
        <v>252</v>
      </c>
      <c r="C2447" s="37" t="s">
        <v>179</v>
      </c>
      <c r="D2447" s="37" t="s">
        <v>92</v>
      </c>
      <c r="E2447" s="38" t="n">
        <f aca="false">'Matrice des notes'!AE71</f>
        <v>2</v>
      </c>
      <c r="F2447" s="37" t="s">
        <v>718</v>
      </c>
      <c r="G2447" s="39" t="s">
        <v>719</v>
      </c>
    </row>
    <row r="2448" customFormat="false" ht="15" hidden="false" customHeight="false" outlineLevel="0" collapsed="false">
      <c r="A2448" s="37" t="s">
        <v>249</v>
      </c>
      <c r="B2448" s="37" t="s">
        <v>252</v>
      </c>
      <c r="C2448" s="37" t="s">
        <v>180</v>
      </c>
      <c r="D2448" s="37" t="s">
        <v>95</v>
      </c>
      <c r="E2448" s="38" t="n">
        <f aca="false">'Matrice des notes'!AF71</f>
        <v>1</v>
      </c>
      <c r="F2448" s="37" t="s">
        <v>631</v>
      </c>
      <c r="G2448" s="39" t="s">
        <v>654</v>
      </c>
    </row>
    <row r="2449" customFormat="false" ht="15" hidden="false" customHeight="false" outlineLevel="0" collapsed="false">
      <c r="A2449" s="37" t="s">
        <v>249</v>
      </c>
      <c r="B2449" s="37" t="s">
        <v>252</v>
      </c>
      <c r="C2449" s="37" t="s">
        <v>180</v>
      </c>
      <c r="D2449" s="37" t="s">
        <v>99</v>
      </c>
      <c r="E2449" s="38" t="n">
        <f aca="false">'Matrice des notes'!AG71</f>
        <v>1</v>
      </c>
      <c r="F2449" s="37" t="s">
        <v>655</v>
      </c>
      <c r="G2449" s="39" t="s">
        <v>656</v>
      </c>
    </row>
    <row r="2450" customFormat="false" ht="15" hidden="false" customHeight="false" outlineLevel="0" collapsed="false">
      <c r="A2450" s="37" t="s">
        <v>249</v>
      </c>
      <c r="B2450" s="37" t="s">
        <v>252</v>
      </c>
      <c r="C2450" s="37" t="s">
        <v>180</v>
      </c>
      <c r="D2450" s="37" t="s">
        <v>102</v>
      </c>
      <c r="E2450" s="38" t="n">
        <f aca="false">'Matrice des notes'!AH71</f>
        <v>1</v>
      </c>
      <c r="F2450" s="37" t="s">
        <v>655</v>
      </c>
      <c r="G2450" s="39" t="s">
        <v>656</v>
      </c>
    </row>
    <row r="2451" customFormat="false" ht="15" hidden="false" customHeight="false" outlineLevel="0" collapsed="false">
      <c r="A2451" s="37" t="s">
        <v>249</v>
      </c>
      <c r="B2451" s="37" t="s">
        <v>252</v>
      </c>
      <c r="C2451" s="37" t="s">
        <v>180</v>
      </c>
      <c r="D2451" s="37" t="s">
        <v>104</v>
      </c>
      <c r="E2451" s="38" t="n">
        <f aca="false">'Matrice des notes'!AI71</f>
        <v>1</v>
      </c>
      <c r="F2451" s="37" t="s">
        <v>631</v>
      </c>
      <c r="G2451" s="39" t="s">
        <v>654</v>
      </c>
    </row>
    <row r="2452" customFormat="false" ht="15" hidden="false" customHeight="false" outlineLevel="0" collapsed="false">
      <c r="A2452" s="37" t="s">
        <v>249</v>
      </c>
      <c r="B2452" s="37" t="s">
        <v>252</v>
      </c>
      <c r="C2452" s="37" t="s">
        <v>180</v>
      </c>
      <c r="D2452" s="37" t="s">
        <v>107</v>
      </c>
      <c r="E2452" s="38" t="n">
        <f aca="false">'Matrice des notes'!AJ71</f>
        <v>1</v>
      </c>
      <c r="F2452" s="37" t="s">
        <v>631</v>
      </c>
      <c r="G2452" s="39" t="s">
        <v>654</v>
      </c>
    </row>
    <row r="2453" customFormat="false" ht="15" hidden="false" customHeight="false" outlineLevel="0" collapsed="false">
      <c r="A2453" s="37" t="s">
        <v>249</v>
      </c>
      <c r="B2453" s="37" t="s">
        <v>252</v>
      </c>
      <c r="C2453" s="37" t="s">
        <v>180</v>
      </c>
      <c r="D2453" s="37" t="s">
        <v>110</v>
      </c>
      <c r="E2453" s="38" t="n">
        <f aca="false">'Matrice des notes'!AK71</f>
        <v>1</v>
      </c>
      <c r="F2453" s="37" t="s">
        <v>631</v>
      </c>
      <c r="G2453" s="39" t="s">
        <v>654</v>
      </c>
    </row>
    <row r="2454" customFormat="false" ht="15" hidden="false" customHeight="false" outlineLevel="0" collapsed="false">
      <c r="A2454" s="37" t="s">
        <v>249</v>
      </c>
      <c r="B2454" s="37" t="s">
        <v>252</v>
      </c>
      <c r="C2454" s="37" t="s">
        <v>180</v>
      </c>
      <c r="D2454" s="37" t="s">
        <v>113</v>
      </c>
      <c r="E2454" s="38" t="n">
        <f aca="false">'Matrice des notes'!AL71</f>
        <v>1</v>
      </c>
      <c r="F2454" s="37" t="s">
        <v>631</v>
      </c>
      <c r="G2454" s="39" t="s">
        <v>654</v>
      </c>
    </row>
    <row r="2455" customFormat="false" ht="15" hidden="false" customHeight="false" outlineLevel="0" collapsed="false">
      <c r="A2455" s="37" t="s">
        <v>249</v>
      </c>
      <c r="B2455" s="37" t="s">
        <v>252</v>
      </c>
      <c r="C2455" s="37" t="s">
        <v>180</v>
      </c>
      <c r="D2455" s="37" t="s">
        <v>116</v>
      </c>
      <c r="E2455" s="38" t="n">
        <f aca="false">'Matrice des notes'!AM71</f>
        <v>1</v>
      </c>
      <c r="F2455" s="37" t="s">
        <v>655</v>
      </c>
      <c r="G2455" s="39" t="s">
        <v>656</v>
      </c>
    </row>
    <row r="2456" customFormat="false" ht="15" hidden="false" customHeight="false" outlineLevel="0" collapsed="false">
      <c r="A2456" s="37" t="s">
        <v>249</v>
      </c>
      <c r="B2456" s="37" t="s">
        <v>252</v>
      </c>
      <c r="C2456" s="37" t="s">
        <v>180</v>
      </c>
      <c r="D2456" s="37" t="s">
        <v>119</v>
      </c>
      <c r="E2456" s="38" t="n">
        <f aca="false">'Matrice des notes'!AN71</f>
        <v>1</v>
      </c>
      <c r="F2456" s="37" t="s">
        <v>631</v>
      </c>
      <c r="G2456" s="39" t="s">
        <v>654</v>
      </c>
    </row>
    <row r="2457" customFormat="false" ht="15" hidden="false" customHeight="false" outlineLevel="0" collapsed="false">
      <c r="A2457" s="37" t="s">
        <v>249</v>
      </c>
      <c r="B2457" s="37" t="s">
        <v>252</v>
      </c>
      <c r="C2457" s="37" t="s">
        <v>180</v>
      </c>
      <c r="D2457" s="37" t="s">
        <v>121</v>
      </c>
      <c r="E2457" s="38" t="n">
        <f aca="false">'Matrice des notes'!AO71</f>
        <v>1</v>
      </c>
      <c r="F2457" s="37" t="s">
        <v>657</v>
      </c>
      <c r="G2457" s="39" t="s">
        <v>658</v>
      </c>
    </row>
    <row r="2458" customFormat="false" ht="15" hidden="false" customHeight="false" outlineLevel="0" collapsed="false">
      <c r="A2458" s="37" t="s">
        <v>249</v>
      </c>
      <c r="B2458" s="37" t="s">
        <v>252</v>
      </c>
      <c r="C2458" s="37" t="s">
        <v>180</v>
      </c>
      <c r="D2458" s="37" t="s">
        <v>124</v>
      </c>
      <c r="E2458" s="38" t="n">
        <f aca="false">'Matrice des notes'!AP71</f>
        <v>2</v>
      </c>
      <c r="F2458" s="37" t="s">
        <v>807</v>
      </c>
      <c r="G2458" s="39" t="s">
        <v>991</v>
      </c>
    </row>
    <row r="2459" customFormat="false" ht="15" hidden="false" customHeight="false" outlineLevel="0" collapsed="false">
      <c r="A2459" s="37" t="s">
        <v>253</v>
      </c>
      <c r="B2459" s="37" t="s">
        <v>255</v>
      </c>
      <c r="C2459" s="37" t="s">
        <v>178</v>
      </c>
      <c r="D2459" s="37" t="s">
        <v>7</v>
      </c>
      <c r="E2459" s="38" t="n">
        <f aca="false">'Matrice des notes'!D73</f>
        <v>3</v>
      </c>
      <c r="F2459" s="37" t="s">
        <v>617</v>
      </c>
      <c r="G2459" s="39" t="s">
        <v>618</v>
      </c>
    </row>
    <row r="2460" customFormat="false" ht="15" hidden="false" customHeight="false" outlineLevel="0" collapsed="false">
      <c r="A2460" s="37" t="s">
        <v>253</v>
      </c>
      <c r="B2460" s="37" t="s">
        <v>255</v>
      </c>
      <c r="C2460" s="37" t="s">
        <v>178</v>
      </c>
      <c r="D2460" s="37" t="s">
        <v>11</v>
      </c>
      <c r="E2460" s="38" t="n">
        <f aca="false">'Matrice des notes'!E73</f>
        <v>3</v>
      </c>
      <c r="F2460" s="37" t="s">
        <v>712</v>
      </c>
      <c r="G2460" s="39" t="s">
        <v>774</v>
      </c>
    </row>
    <row r="2461" customFormat="false" ht="15" hidden="false" customHeight="false" outlineLevel="0" collapsed="false">
      <c r="A2461" s="37" t="s">
        <v>253</v>
      </c>
      <c r="B2461" s="37" t="s">
        <v>255</v>
      </c>
      <c r="C2461" s="37" t="s">
        <v>178</v>
      </c>
      <c r="D2461" s="37" t="s">
        <v>14</v>
      </c>
      <c r="E2461" s="38" t="n">
        <f aca="false">'Matrice des notes'!F73</f>
        <v>3</v>
      </c>
      <c r="F2461" s="37" t="s">
        <v>712</v>
      </c>
      <c r="G2461" s="39" t="s">
        <v>775</v>
      </c>
    </row>
    <row r="2462" customFormat="false" ht="15" hidden="false" customHeight="false" outlineLevel="0" collapsed="false">
      <c r="A2462" s="37" t="s">
        <v>253</v>
      </c>
      <c r="B2462" s="37" t="s">
        <v>255</v>
      </c>
      <c r="C2462" s="37" t="s">
        <v>178</v>
      </c>
      <c r="D2462" s="37" t="s">
        <v>17</v>
      </c>
      <c r="E2462" s="38" t="n">
        <f aca="false">'Matrice des notes'!G73</f>
        <v>3</v>
      </c>
      <c r="F2462" s="37" t="s">
        <v>708</v>
      </c>
      <c r="G2462" s="39" t="s">
        <v>776</v>
      </c>
    </row>
    <row r="2463" customFormat="false" ht="15" hidden="false" customHeight="false" outlineLevel="0" collapsed="false">
      <c r="A2463" s="37" t="s">
        <v>253</v>
      </c>
      <c r="B2463" s="37" t="s">
        <v>255</v>
      </c>
      <c r="C2463" s="37" t="s">
        <v>178</v>
      </c>
      <c r="D2463" s="37" t="s">
        <v>20</v>
      </c>
      <c r="E2463" s="38" t="n">
        <f aca="false">'Matrice des notes'!H73</f>
        <v>3</v>
      </c>
      <c r="F2463" s="37" t="s">
        <v>777</v>
      </c>
      <c r="G2463" s="39" t="s">
        <v>778</v>
      </c>
    </row>
    <row r="2464" customFormat="false" ht="15" hidden="false" customHeight="false" outlineLevel="0" collapsed="false">
      <c r="A2464" s="37" t="s">
        <v>253</v>
      </c>
      <c r="B2464" s="37" t="s">
        <v>255</v>
      </c>
      <c r="C2464" s="37" t="s">
        <v>178</v>
      </c>
      <c r="D2464" s="37" t="s">
        <v>23</v>
      </c>
      <c r="E2464" s="38" t="n">
        <f aca="false">'Matrice des notes'!I73</f>
        <v>3</v>
      </c>
      <c r="F2464" s="37" t="s">
        <v>708</v>
      </c>
      <c r="G2464" s="39" t="s">
        <v>779</v>
      </c>
    </row>
    <row r="2465" customFormat="false" ht="15" hidden="false" customHeight="false" outlineLevel="0" collapsed="false">
      <c r="A2465" s="37" t="s">
        <v>253</v>
      </c>
      <c r="B2465" s="37" t="s">
        <v>255</v>
      </c>
      <c r="C2465" s="37" t="s">
        <v>178</v>
      </c>
      <c r="D2465" s="37" t="s">
        <v>26</v>
      </c>
      <c r="E2465" s="38" t="n">
        <f aca="false">'Matrice des notes'!J73</f>
        <v>3</v>
      </c>
      <c r="F2465" s="37" t="s">
        <v>677</v>
      </c>
      <c r="G2465" s="39" t="s">
        <v>780</v>
      </c>
    </row>
    <row r="2466" customFormat="false" ht="15" hidden="false" customHeight="false" outlineLevel="0" collapsed="false">
      <c r="A2466" s="37" t="s">
        <v>253</v>
      </c>
      <c r="B2466" s="37" t="s">
        <v>255</v>
      </c>
      <c r="C2466" s="37" t="s">
        <v>178</v>
      </c>
      <c r="D2466" s="37" t="s">
        <v>30</v>
      </c>
      <c r="E2466" s="38" t="n">
        <f aca="false">'Matrice des notes'!K73</f>
        <v>3</v>
      </c>
      <c r="F2466" s="37" t="s">
        <v>677</v>
      </c>
      <c r="G2466" s="39" t="s">
        <v>781</v>
      </c>
    </row>
    <row r="2467" customFormat="false" ht="15" hidden="false" customHeight="false" outlineLevel="0" collapsed="false">
      <c r="A2467" s="37" t="s">
        <v>253</v>
      </c>
      <c r="B2467" s="37" t="s">
        <v>255</v>
      </c>
      <c r="C2467" s="37" t="s">
        <v>178</v>
      </c>
      <c r="D2467" s="37" t="s">
        <v>34</v>
      </c>
      <c r="E2467" s="38" t="n">
        <f aca="false">'Matrice des notes'!L73</f>
        <v>3</v>
      </c>
      <c r="F2467" s="37" t="s">
        <v>992</v>
      </c>
      <c r="G2467" s="39" t="s">
        <v>993</v>
      </c>
    </row>
    <row r="2468" customFormat="false" ht="15" hidden="false" customHeight="false" outlineLevel="0" collapsed="false">
      <c r="A2468" s="37" t="s">
        <v>253</v>
      </c>
      <c r="B2468" s="37" t="s">
        <v>255</v>
      </c>
      <c r="C2468" s="37" t="s">
        <v>178</v>
      </c>
      <c r="D2468" s="37" t="s">
        <v>37</v>
      </c>
      <c r="E2468" s="38" t="n">
        <f aca="false">'Matrice des notes'!M73</f>
        <v>3</v>
      </c>
      <c r="F2468" s="37" t="s">
        <v>994</v>
      </c>
      <c r="G2468" s="39" t="s">
        <v>995</v>
      </c>
    </row>
    <row r="2469" customFormat="false" ht="15" hidden="false" customHeight="false" outlineLevel="0" collapsed="false">
      <c r="A2469" s="37" t="s">
        <v>253</v>
      </c>
      <c r="B2469" s="37" t="s">
        <v>255</v>
      </c>
      <c r="C2469" s="37" t="s">
        <v>178</v>
      </c>
      <c r="D2469" s="37" t="s">
        <v>40</v>
      </c>
      <c r="E2469" s="38" t="n">
        <f aca="false">'Matrice des notes'!N73</f>
        <v>3</v>
      </c>
      <c r="F2469" s="37" t="s">
        <v>712</v>
      </c>
      <c r="G2469" s="39" t="s">
        <v>783</v>
      </c>
    </row>
    <row r="2470" customFormat="false" ht="15" hidden="false" customHeight="false" outlineLevel="0" collapsed="false">
      <c r="A2470" s="37" t="s">
        <v>253</v>
      </c>
      <c r="B2470" s="37" t="s">
        <v>255</v>
      </c>
      <c r="C2470" s="37" t="s">
        <v>178</v>
      </c>
      <c r="D2470" s="37" t="s">
        <v>43</v>
      </c>
      <c r="E2470" s="38" t="n">
        <f aca="false">'Matrice des notes'!O73</f>
        <v>2</v>
      </c>
      <c r="F2470" s="37" t="s">
        <v>635</v>
      </c>
      <c r="G2470" s="39" t="s">
        <v>636</v>
      </c>
    </row>
    <row r="2471" customFormat="false" ht="15" hidden="false" customHeight="false" outlineLevel="0" collapsed="false">
      <c r="A2471" s="37" t="s">
        <v>253</v>
      </c>
      <c r="B2471" s="37" t="s">
        <v>255</v>
      </c>
      <c r="C2471" s="37" t="s">
        <v>178</v>
      </c>
      <c r="D2471" s="37" t="s">
        <v>46</v>
      </c>
      <c r="E2471" s="38" t="n">
        <f aca="false">'Matrice des notes'!P73</f>
        <v>3</v>
      </c>
      <c r="F2471" s="37" t="s">
        <v>637</v>
      </c>
      <c r="G2471" s="39" t="s">
        <v>638</v>
      </c>
    </row>
    <row r="2472" customFormat="false" ht="15" hidden="false" customHeight="false" outlineLevel="0" collapsed="false">
      <c r="A2472" s="37" t="s">
        <v>253</v>
      </c>
      <c r="B2472" s="37" t="s">
        <v>255</v>
      </c>
      <c r="C2472" s="37" t="s">
        <v>179</v>
      </c>
      <c r="D2472" s="37" t="s">
        <v>49</v>
      </c>
      <c r="E2472" s="38" t="n">
        <f aca="false">'Matrice des notes'!Q73</f>
        <v>3</v>
      </c>
      <c r="F2472" s="37" t="s">
        <v>712</v>
      </c>
      <c r="G2472" s="39" t="s">
        <v>988</v>
      </c>
    </row>
    <row r="2473" customFormat="false" ht="15" hidden="false" customHeight="false" outlineLevel="0" collapsed="false">
      <c r="A2473" s="37" t="s">
        <v>253</v>
      </c>
      <c r="B2473" s="37" t="s">
        <v>255</v>
      </c>
      <c r="C2473" s="37" t="s">
        <v>179</v>
      </c>
      <c r="D2473" s="37" t="s">
        <v>53</v>
      </c>
      <c r="E2473" s="38" t="n">
        <f aca="false">'Matrice des notes'!R73</f>
        <v>3</v>
      </c>
      <c r="F2473" s="37" t="s">
        <v>992</v>
      </c>
      <c r="G2473" s="39" t="s">
        <v>996</v>
      </c>
    </row>
    <row r="2474" customFormat="false" ht="15" hidden="false" customHeight="false" outlineLevel="0" collapsed="false">
      <c r="A2474" s="37" t="s">
        <v>253</v>
      </c>
      <c r="B2474" s="37" t="s">
        <v>255</v>
      </c>
      <c r="C2474" s="37" t="s">
        <v>179</v>
      </c>
      <c r="D2474" s="37" t="s">
        <v>56</v>
      </c>
      <c r="E2474" s="38" t="n">
        <f aca="false">'Matrice des notes'!S73</f>
        <v>3</v>
      </c>
      <c r="F2474" s="37" t="s">
        <v>708</v>
      </c>
      <c r="G2474" s="39" t="s">
        <v>709</v>
      </c>
    </row>
    <row r="2475" customFormat="false" ht="15" hidden="false" customHeight="false" outlineLevel="0" collapsed="false">
      <c r="A2475" s="37" t="s">
        <v>253</v>
      </c>
      <c r="B2475" s="37" t="s">
        <v>255</v>
      </c>
      <c r="C2475" s="37" t="s">
        <v>179</v>
      </c>
      <c r="D2475" s="37" t="s">
        <v>59</v>
      </c>
      <c r="E2475" s="38" t="n">
        <f aca="false">'Matrice des notes'!T73</f>
        <v>3</v>
      </c>
      <c r="F2475" s="37" t="s">
        <v>708</v>
      </c>
      <c r="G2475" s="39" t="s">
        <v>776</v>
      </c>
    </row>
    <row r="2476" customFormat="false" ht="15" hidden="false" customHeight="false" outlineLevel="0" collapsed="false">
      <c r="A2476" s="37" t="s">
        <v>253</v>
      </c>
      <c r="B2476" s="37" t="s">
        <v>255</v>
      </c>
      <c r="C2476" s="37" t="s">
        <v>179</v>
      </c>
      <c r="D2476" s="37" t="s">
        <v>62</v>
      </c>
      <c r="E2476" s="38" t="n">
        <f aca="false">'Matrice des notes'!U73</f>
        <v>3</v>
      </c>
      <c r="F2476" s="37" t="s">
        <v>712</v>
      </c>
      <c r="G2476" s="39" t="s">
        <v>775</v>
      </c>
    </row>
    <row r="2477" customFormat="false" ht="15" hidden="false" customHeight="false" outlineLevel="0" collapsed="false">
      <c r="A2477" s="37" t="s">
        <v>253</v>
      </c>
      <c r="B2477" s="37" t="s">
        <v>255</v>
      </c>
      <c r="C2477" s="37" t="s">
        <v>179</v>
      </c>
      <c r="D2477" s="37" t="s">
        <v>65</v>
      </c>
      <c r="E2477" s="38" t="n">
        <f aca="false">'Matrice des notes'!V73</f>
        <v>3</v>
      </c>
      <c r="F2477" s="37" t="s">
        <v>997</v>
      </c>
      <c r="G2477" s="39" t="s">
        <v>998</v>
      </c>
    </row>
    <row r="2478" customFormat="false" ht="15" hidden="false" customHeight="false" outlineLevel="0" collapsed="false">
      <c r="A2478" s="37" t="s">
        <v>253</v>
      </c>
      <c r="B2478" s="37" t="s">
        <v>255</v>
      </c>
      <c r="C2478" s="37" t="s">
        <v>179</v>
      </c>
      <c r="D2478" s="37" t="s">
        <v>68</v>
      </c>
      <c r="E2478" s="38" t="n">
        <f aca="false">'Matrice des notes'!W73</f>
        <v>2</v>
      </c>
      <c r="F2478" s="37" t="s">
        <v>649</v>
      </c>
      <c r="G2478" s="39" t="s">
        <v>650</v>
      </c>
    </row>
    <row r="2479" customFormat="false" ht="15" hidden="false" customHeight="false" outlineLevel="0" collapsed="false">
      <c r="A2479" s="37" t="s">
        <v>253</v>
      </c>
      <c r="B2479" s="37" t="s">
        <v>255</v>
      </c>
      <c r="C2479" s="37" t="s">
        <v>179</v>
      </c>
      <c r="D2479" s="37" t="s">
        <v>71</v>
      </c>
      <c r="E2479" s="38" t="n">
        <f aca="false">'Matrice des notes'!X73</f>
        <v>3</v>
      </c>
      <c r="F2479" s="37" t="s">
        <v>712</v>
      </c>
      <c r="G2479" s="39" t="s">
        <v>990</v>
      </c>
    </row>
    <row r="2480" customFormat="false" ht="15" hidden="false" customHeight="false" outlineLevel="0" collapsed="false">
      <c r="A2480" s="37" t="s">
        <v>253</v>
      </c>
      <c r="B2480" s="37" t="s">
        <v>255</v>
      </c>
      <c r="C2480" s="37" t="s">
        <v>179</v>
      </c>
      <c r="D2480" s="37" t="s">
        <v>74</v>
      </c>
      <c r="E2480" s="38" t="n">
        <f aca="false">'Matrice des notes'!Y73</f>
        <v>3</v>
      </c>
      <c r="F2480" s="37" t="s">
        <v>997</v>
      </c>
      <c r="G2480" s="39" t="s">
        <v>999</v>
      </c>
    </row>
    <row r="2481" customFormat="false" ht="15" hidden="false" customHeight="false" outlineLevel="0" collapsed="false">
      <c r="A2481" s="37" t="s">
        <v>253</v>
      </c>
      <c r="B2481" s="37" t="s">
        <v>255</v>
      </c>
      <c r="C2481" s="37" t="s">
        <v>179</v>
      </c>
      <c r="D2481" s="37" t="s">
        <v>77</v>
      </c>
      <c r="E2481" s="38" t="n">
        <f aca="false">'Matrice des notes'!Z73</f>
        <v>3</v>
      </c>
      <c r="F2481" s="37" t="s">
        <v>637</v>
      </c>
      <c r="G2481" s="39" t="s">
        <v>638</v>
      </c>
    </row>
    <row r="2482" customFormat="false" ht="15" hidden="false" customHeight="false" outlineLevel="0" collapsed="false">
      <c r="A2482" s="37" t="s">
        <v>253</v>
      </c>
      <c r="B2482" s="37" t="s">
        <v>255</v>
      </c>
      <c r="C2482" s="37" t="s">
        <v>179</v>
      </c>
      <c r="D2482" s="37" t="s">
        <v>80</v>
      </c>
      <c r="E2482" s="38" t="n">
        <f aca="false">'Matrice des notes'!AA73</f>
        <v>3</v>
      </c>
      <c r="F2482" s="37" t="s">
        <v>1000</v>
      </c>
      <c r="G2482" s="39" t="s">
        <v>1001</v>
      </c>
    </row>
    <row r="2483" customFormat="false" ht="15" hidden="false" customHeight="false" outlineLevel="0" collapsed="false">
      <c r="A2483" s="37" t="s">
        <v>253</v>
      </c>
      <c r="B2483" s="37" t="s">
        <v>255</v>
      </c>
      <c r="C2483" s="37" t="s">
        <v>179</v>
      </c>
      <c r="D2483" s="37" t="s">
        <v>83</v>
      </c>
      <c r="E2483" s="38" t="n">
        <f aca="false">'Matrice des notes'!AB73</f>
        <v>3</v>
      </c>
      <c r="F2483" s="37" t="s">
        <v>712</v>
      </c>
      <c r="G2483" s="39" t="s">
        <v>713</v>
      </c>
    </row>
    <row r="2484" customFormat="false" ht="15" hidden="false" customHeight="false" outlineLevel="0" collapsed="false">
      <c r="A2484" s="37" t="s">
        <v>253</v>
      </c>
      <c r="B2484" s="37" t="s">
        <v>255</v>
      </c>
      <c r="C2484" s="37" t="s">
        <v>179</v>
      </c>
      <c r="D2484" s="37" t="s">
        <v>86</v>
      </c>
      <c r="E2484" s="38" t="n">
        <f aca="false">'Matrice des notes'!AC73</f>
        <v>2</v>
      </c>
      <c r="F2484" s="37" t="s">
        <v>637</v>
      </c>
      <c r="G2484" s="39" t="s">
        <v>638</v>
      </c>
    </row>
    <row r="2485" customFormat="false" ht="15" hidden="false" customHeight="false" outlineLevel="0" collapsed="false">
      <c r="A2485" s="37" t="s">
        <v>253</v>
      </c>
      <c r="B2485" s="37" t="s">
        <v>255</v>
      </c>
      <c r="C2485" s="37" t="s">
        <v>179</v>
      </c>
      <c r="D2485" s="37" t="s">
        <v>89</v>
      </c>
      <c r="E2485" s="38" t="n">
        <f aca="false">'Matrice des notes'!AD73</f>
        <v>3</v>
      </c>
      <c r="F2485" s="37" t="s">
        <v>637</v>
      </c>
      <c r="G2485" s="39" t="s">
        <v>638</v>
      </c>
    </row>
    <row r="2486" customFormat="false" ht="15" hidden="false" customHeight="false" outlineLevel="0" collapsed="false">
      <c r="A2486" s="37" t="s">
        <v>253</v>
      </c>
      <c r="B2486" s="37" t="s">
        <v>255</v>
      </c>
      <c r="C2486" s="37" t="s">
        <v>179</v>
      </c>
      <c r="D2486" s="37" t="s">
        <v>92</v>
      </c>
      <c r="E2486" s="38" t="n">
        <f aca="false">'Matrice des notes'!AE73</f>
        <v>2</v>
      </c>
      <c r="F2486" s="37" t="s">
        <v>718</v>
      </c>
      <c r="G2486" s="39" t="s">
        <v>719</v>
      </c>
    </row>
    <row r="2487" customFormat="false" ht="15" hidden="false" customHeight="false" outlineLevel="0" collapsed="false">
      <c r="A2487" s="37" t="s">
        <v>253</v>
      </c>
      <c r="B2487" s="37" t="s">
        <v>255</v>
      </c>
      <c r="C2487" s="37" t="s">
        <v>180</v>
      </c>
      <c r="D2487" s="37" t="s">
        <v>95</v>
      </c>
      <c r="E2487" s="38" t="n">
        <f aca="false">'Matrice des notes'!AF73</f>
        <v>1</v>
      </c>
      <c r="F2487" s="37" t="s">
        <v>631</v>
      </c>
      <c r="G2487" s="39" t="s">
        <v>654</v>
      </c>
    </row>
    <row r="2488" customFormat="false" ht="15" hidden="false" customHeight="false" outlineLevel="0" collapsed="false">
      <c r="A2488" s="37" t="s">
        <v>253</v>
      </c>
      <c r="B2488" s="37" t="s">
        <v>255</v>
      </c>
      <c r="C2488" s="37" t="s">
        <v>180</v>
      </c>
      <c r="D2488" s="37" t="s">
        <v>99</v>
      </c>
      <c r="E2488" s="38" t="n">
        <f aca="false">'Matrice des notes'!AG73</f>
        <v>1</v>
      </c>
      <c r="F2488" s="37" t="s">
        <v>655</v>
      </c>
      <c r="G2488" s="39" t="s">
        <v>656</v>
      </c>
    </row>
    <row r="2489" customFormat="false" ht="15" hidden="false" customHeight="false" outlineLevel="0" collapsed="false">
      <c r="A2489" s="37" t="s">
        <v>253</v>
      </c>
      <c r="B2489" s="37" t="s">
        <v>255</v>
      </c>
      <c r="C2489" s="37" t="s">
        <v>180</v>
      </c>
      <c r="D2489" s="37" t="s">
        <v>102</v>
      </c>
      <c r="E2489" s="38" t="n">
        <f aca="false">'Matrice des notes'!AH73</f>
        <v>1</v>
      </c>
      <c r="F2489" s="37" t="s">
        <v>655</v>
      </c>
      <c r="G2489" s="39" t="s">
        <v>656</v>
      </c>
    </row>
    <row r="2490" customFormat="false" ht="15" hidden="false" customHeight="false" outlineLevel="0" collapsed="false">
      <c r="A2490" s="37" t="s">
        <v>253</v>
      </c>
      <c r="B2490" s="37" t="s">
        <v>255</v>
      </c>
      <c r="C2490" s="37" t="s">
        <v>180</v>
      </c>
      <c r="D2490" s="37" t="s">
        <v>104</v>
      </c>
      <c r="E2490" s="38" t="n">
        <f aca="false">'Matrice des notes'!AI73</f>
        <v>1</v>
      </c>
      <c r="F2490" s="37" t="s">
        <v>631</v>
      </c>
      <c r="G2490" s="39" t="s">
        <v>654</v>
      </c>
    </row>
    <row r="2491" customFormat="false" ht="15" hidden="false" customHeight="false" outlineLevel="0" collapsed="false">
      <c r="A2491" s="37" t="s">
        <v>253</v>
      </c>
      <c r="B2491" s="37" t="s">
        <v>255</v>
      </c>
      <c r="C2491" s="37" t="s">
        <v>180</v>
      </c>
      <c r="D2491" s="37" t="s">
        <v>107</v>
      </c>
      <c r="E2491" s="38" t="n">
        <f aca="false">'Matrice des notes'!AJ73</f>
        <v>2</v>
      </c>
      <c r="F2491" s="37" t="s">
        <v>1002</v>
      </c>
      <c r="G2491" s="39" t="s">
        <v>1003</v>
      </c>
    </row>
    <row r="2492" customFormat="false" ht="15" hidden="false" customHeight="false" outlineLevel="0" collapsed="false">
      <c r="A2492" s="37" t="s">
        <v>253</v>
      </c>
      <c r="B2492" s="37" t="s">
        <v>255</v>
      </c>
      <c r="C2492" s="37" t="s">
        <v>180</v>
      </c>
      <c r="D2492" s="37" t="s">
        <v>110</v>
      </c>
      <c r="E2492" s="38" t="n">
        <f aca="false">'Matrice des notes'!AK73</f>
        <v>1</v>
      </c>
      <c r="F2492" s="37" t="s">
        <v>631</v>
      </c>
      <c r="G2492" s="39" t="s">
        <v>654</v>
      </c>
    </row>
    <row r="2493" customFormat="false" ht="15" hidden="false" customHeight="false" outlineLevel="0" collapsed="false">
      <c r="A2493" s="37" t="s">
        <v>253</v>
      </c>
      <c r="B2493" s="37" t="s">
        <v>255</v>
      </c>
      <c r="C2493" s="37" t="s">
        <v>180</v>
      </c>
      <c r="D2493" s="37" t="s">
        <v>113</v>
      </c>
      <c r="E2493" s="38" t="n">
        <f aca="false">'Matrice des notes'!AL73</f>
        <v>1</v>
      </c>
      <c r="F2493" s="37" t="s">
        <v>631</v>
      </c>
      <c r="G2493" s="39" t="s">
        <v>654</v>
      </c>
    </row>
    <row r="2494" customFormat="false" ht="15" hidden="false" customHeight="false" outlineLevel="0" collapsed="false">
      <c r="A2494" s="37" t="s">
        <v>253</v>
      </c>
      <c r="B2494" s="37" t="s">
        <v>255</v>
      </c>
      <c r="C2494" s="37" t="s">
        <v>180</v>
      </c>
      <c r="D2494" s="37" t="s">
        <v>116</v>
      </c>
      <c r="E2494" s="38" t="n">
        <f aca="false">'Matrice des notes'!AM73</f>
        <v>1</v>
      </c>
      <c r="F2494" s="37" t="s">
        <v>655</v>
      </c>
      <c r="G2494" s="39" t="s">
        <v>656</v>
      </c>
    </row>
    <row r="2495" customFormat="false" ht="15" hidden="false" customHeight="false" outlineLevel="0" collapsed="false">
      <c r="A2495" s="37" t="s">
        <v>253</v>
      </c>
      <c r="B2495" s="37" t="s">
        <v>255</v>
      </c>
      <c r="C2495" s="37" t="s">
        <v>180</v>
      </c>
      <c r="D2495" s="37" t="s">
        <v>119</v>
      </c>
      <c r="E2495" s="38" t="n">
        <f aca="false">'Matrice des notes'!AN73</f>
        <v>1</v>
      </c>
      <c r="F2495" s="37" t="s">
        <v>631</v>
      </c>
      <c r="G2495" s="39" t="s">
        <v>654</v>
      </c>
    </row>
    <row r="2496" customFormat="false" ht="15" hidden="false" customHeight="false" outlineLevel="0" collapsed="false">
      <c r="A2496" s="37" t="s">
        <v>253</v>
      </c>
      <c r="B2496" s="37" t="s">
        <v>255</v>
      </c>
      <c r="C2496" s="37" t="s">
        <v>180</v>
      </c>
      <c r="D2496" s="37" t="s">
        <v>121</v>
      </c>
      <c r="E2496" s="38" t="n">
        <f aca="false">'Matrice des notes'!AO73</f>
        <v>2</v>
      </c>
      <c r="F2496" s="37" t="s">
        <v>1004</v>
      </c>
      <c r="G2496" s="39" t="s">
        <v>1005</v>
      </c>
    </row>
    <row r="2497" customFormat="false" ht="15" hidden="false" customHeight="false" outlineLevel="0" collapsed="false">
      <c r="A2497" s="37" t="s">
        <v>253</v>
      </c>
      <c r="B2497" s="37" t="s">
        <v>255</v>
      </c>
      <c r="C2497" s="37" t="s">
        <v>180</v>
      </c>
      <c r="D2497" s="37" t="s">
        <v>124</v>
      </c>
      <c r="E2497" s="38" t="n">
        <f aca="false">'Matrice des notes'!AP73</f>
        <v>2</v>
      </c>
      <c r="F2497" s="37" t="s">
        <v>715</v>
      </c>
      <c r="G2497" s="39" t="s">
        <v>716</v>
      </c>
    </row>
    <row r="2498" customFormat="false" ht="15" hidden="false" customHeight="false" outlineLevel="0" collapsed="false">
      <c r="A2498" s="37" t="s">
        <v>253</v>
      </c>
      <c r="B2498" s="37" t="s">
        <v>256</v>
      </c>
      <c r="C2498" s="37" t="s">
        <v>178</v>
      </c>
      <c r="D2498" s="37" t="s">
        <v>7</v>
      </c>
      <c r="E2498" s="38" t="n">
        <f aca="false">'Matrice des notes'!D74</f>
        <v>3</v>
      </c>
      <c r="F2498" s="37" t="s">
        <v>617</v>
      </c>
      <c r="G2498" s="39" t="s">
        <v>618</v>
      </c>
    </row>
    <row r="2499" customFormat="false" ht="22.35" hidden="false" customHeight="false" outlineLevel="0" collapsed="false">
      <c r="A2499" s="37" t="s">
        <v>253</v>
      </c>
      <c r="B2499" s="37" t="s">
        <v>256</v>
      </c>
      <c r="C2499" s="37" t="s">
        <v>178</v>
      </c>
      <c r="D2499" s="37" t="s">
        <v>11</v>
      </c>
      <c r="E2499" s="38" t="n">
        <f aca="false">'Matrice des notes'!E74</f>
        <v>4</v>
      </c>
      <c r="F2499" s="37" t="s">
        <v>1006</v>
      </c>
      <c r="G2499" s="39" t="s">
        <v>1007</v>
      </c>
    </row>
    <row r="2500" customFormat="false" ht="15" hidden="false" customHeight="false" outlineLevel="0" collapsed="false">
      <c r="A2500" s="37" t="s">
        <v>253</v>
      </c>
      <c r="B2500" s="37" t="s">
        <v>256</v>
      </c>
      <c r="C2500" s="37" t="s">
        <v>178</v>
      </c>
      <c r="D2500" s="37" t="s">
        <v>14</v>
      </c>
      <c r="E2500" s="38" t="n">
        <f aca="false">'Matrice des notes'!F74</f>
        <v>4</v>
      </c>
      <c r="F2500" s="37" t="s">
        <v>1008</v>
      </c>
      <c r="G2500" s="39" t="s">
        <v>1009</v>
      </c>
    </row>
    <row r="2501" customFormat="false" ht="15" hidden="false" customHeight="false" outlineLevel="0" collapsed="false">
      <c r="A2501" s="37" t="s">
        <v>253</v>
      </c>
      <c r="B2501" s="37" t="s">
        <v>256</v>
      </c>
      <c r="C2501" s="37" t="s">
        <v>178</v>
      </c>
      <c r="D2501" s="37" t="s">
        <v>17</v>
      </c>
      <c r="E2501" s="38" t="n">
        <f aca="false">'Matrice des notes'!G74</f>
        <v>4</v>
      </c>
      <c r="F2501" s="37" t="s">
        <v>623</v>
      </c>
      <c r="G2501" s="39" t="s">
        <v>1010</v>
      </c>
    </row>
    <row r="2502" customFormat="false" ht="22.35" hidden="false" customHeight="false" outlineLevel="0" collapsed="false">
      <c r="A2502" s="37" t="s">
        <v>253</v>
      </c>
      <c r="B2502" s="37" t="s">
        <v>256</v>
      </c>
      <c r="C2502" s="37" t="s">
        <v>178</v>
      </c>
      <c r="D2502" s="37" t="s">
        <v>20</v>
      </c>
      <c r="E2502" s="38" t="n">
        <f aca="false">'Matrice des notes'!H74</f>
        <v>4</v>
      </c>
      <c r="F2502" s="37" t="s">
        <v>1011</v>
      </c>
      <c r="G2502" s="39" t="s">
        <v>1012</v>
      </c>
    </row>
    <row r="2503" customFormat="false" ht="15" hidden="false" customHeight="false" outlineLevel="0" collapsed="false">
      <c r="A2503" s="37" t="s">
        <v>253</v>
      </c>
      <c r="B2503" s="37" t="s">
        <v>256</v>
      </c>
      <c r="C2503" s="37" t="s">
        <v>178</v>
      </c>
      <c r="D2503" s="37" t="s">
        <v>23</v>
      </c>
      <c r="E2503" s="38" t="n">
        <f aca="false">'Matrice des notes'!I74</f>
        <v>4</v>
      </c>
      <c r="F2503" s="37" t="s">
        <v>623</v>
      </c>
      <c r="G2503" s="39" t="s">
        <v>1010</v>
      </c>
    </row>
    <row r="2504" customFormat="false" ht="15" hidden="false" customHeight="false" outlineLevel="0" collapsed="false">
      <c r="A2504" s="37" t="s">
        <v>253</v>
      </c>
      <c r="B2504" s="37" t="s">
        <v>256</v>
      </c>
      <c r="C2504" s="37" t="s">
        <v>178</v>
      </c>
      <c r="D2504" s="37" t="s">
        <v>26</v>
      </c>
      <c r="E2504" s="38" t="n">
        <f aca="false">'Matrice des notes'!J74</f>
        <v>5</v>
      </c>
      <c r="F2504" s="37" t="s">
        <v>1013</v>
      </c>
      <c r="G2504" s="39" t="s">
        <v>1014</v>
      </c>
    </row>
    <row r="2505" customFormat="false" ht="15" hidden="false" customHeight="false" outlineLevel="0" collapsed="false">
      <c r="A2505" s="37" t="s">
        <v>253</v>
      </c>
      <c r="B2505" s="37" t="s">
        <v>256</v>
      </c>
      <c r="C2505" s="37" t="s">
        <v>178</v>
      </c>
      <c r="D2505" s="37" t="s">
        <v>30</v>
      </c>
      <c r="E2505" s="38" t="n">
        <f aca="false">'Matrice des notes'!K74</f>
        <v>5</v>
      </c>
      <c r="F2505" s="37" t="s">
        <v>1015</v>
      </c>
      <c r="G2505" s="39" t="s">
        <v>1016</v>
      </c>
    </row>
    <row r="2506" customFormat="false" ht="15" hidden="false" customHeight="false" outlineLevel="0" collapsed="false">
      <c r="A2506" s="37" t="s">
        <v>253</v>
      </c>
      <c r="B2506" s="37" t="s">
        <v>256</v>
      </c>
      <c r="C2506" s="37" t="s">
        <v>178</v>
      </c>
      <c r="D2506" s="37" t="s">
        <v>34</v>
      </c>
      <c r="E2506" s="38" t="n">
        <f aca="false">'Matrice des notes'!L74</f>
        <v>3</v>
      </c>
      <c r="F2506" s="37" t="s">
        <v>992</v>
      </c>
      <c r="G2506" s="39" t="s">
        <v>993</v>
      </c>
    </row>
    <row r="2507" customFormat="false" ht="15" hidden="false" customHeight="false" outlineLevel="0" collapsed="false">
      <c r="A2507" s="37" t="s">
        <v>253</v>
      </c>
      <c r="B2507" s="37" t="s">
        <v>256</v>
      </c>
      <c r="C2507" s="37" t="s">
        <v>178</v>
      </c>
      <c r="D2507" s="37" t="s">
        <v>37</v>
      </c>
      <c r="E2507" s="38" t="n">
        <f aca="false">'Matrice des notes'!M74</f>
        <v>2</v>
      </c>
      <c r="F2507" s="37" t="s">
        <v>994</v>
      </c>
      <c r="G2507" s="39" t="s">
        <v>1017</v>
      </c>
    </row>
    <row r="2508" customFormat="false" ht="22.35" hidden="false" customHeight="false" outlineLevel="0" collapsed="false">
      <c r="A2508" s="37" t="s">
        <v>253</v>
      </c>
      <c r="B2508" s="37" t="s">
        <v>256</v>
      </c>
      <c r="C2508" s="37" t="s">
        <v>178</v>
      </c>
      <c r="D2508" s="37" t="s">
        <v>40</v>
      </c>
      <c r="E2508" s="38" t="n">
        <f aca="false">'Matrice des notes'!N74</f>
        <v>4</v>
      </c>
      <c r="F2508" s="37" t="s">
        <v>621</v>
      </c>
      <c r="G2508" s="39" t="s">
        <v>1018</v>
      </c>
    </row>
    <row r="2509" customFormat="false" ht="15" hidden="false" customHeight="false" outlineLevel="0" collapsed="false">
      <c r="A2509" s="37" t="s">
        <v>253</v>
      </c>
      <c r="B2509" s="37" t="s">
        <v>256</v>
      </c>
      <c r="C2509" s="37" t="s">
        <v>178</v>
      </c>
      <c r="D2509" s="37" t="s">
        <v>43</v>
      </c>
      <c r="E2509" s="38" t="n">
        <f aca="false">'Matrice des notes'!O74</f>
        <v>2</v>
      </c>
      <c r="F2509" s="37" t="s">
        <v>635</v>
      </c>
      <c r="G2509" s="39" t="s">
        <v>636</v>
      </c>
    </row>
    <row r="2510" customFormat="false" ht="15" hidden="false" customHeight="false" outlineLevel="0" collapsed="false">
      <c r="A2510" s="37" t="s">
        <v>253</v>
      </c>
      <c r="B2510" s="37" t="s">
        <v>256</v>
      </c>
      <c r="C2510" s="37" t="s">
        <v>178</v>
      </c>
      <c r="D2510" s="37" t="s">
        <v>46</v>
      </c>
      <c r="E2510" s="38" t="n">
        <f aca="false">'Matrice des notes'!P74</f>
        <v>5</v>
      </c>
      <c r="F2510" s="37" t="s">
        <v>1019</v>
      </c>
      <c r="G2510" s="39" t="s">
        <v>1020</v>
      </c>
    </row>
    <row r="2511" customFormat="false" ht="22.35" hidden="false" customHeight="false" outlineLevel="0" collapsed="false">
      <c r="A2511" s="37" t="s">
        <v>253</v>
      </c>
      <c r="B2511" s="37" t="s">
        <v>256</v>
      </c>
      <c r="C2511" s="37" t="s">
        <v>179</v>
      </c>
      <c r="D2511" s="37" t="s">
        <v>49</v>
      </c>
      <c r="E2511" s="38" t="n">
        <f aca="false">'Matrice des notes'!Q74</f>
        <v>4</v>
      </c>
      <c r="F2511" s="37" t="s">
        <v>688</v>
      </c>
      <c r="G2511" s="39" t="s">
        <v>1021</v>
      </c>
    </row>
    <row r="2512" customFormat="false" ht="15" hidden="false" customHeight="false" outlineLevel="0" collapsed="false">
      <c r="A2512" s="37" t="s">
        <v>253</v>
      </c>
      <c r="B2512" s="37" t="s">
        <v>256</v>
      </c>
      <c r="C2512" s="37" t="s">
        <v>179</v>
      </c>
      <c r="D2512" s="37" t="s">
        <v>53</v>
      </c>
      <c r="E2512" s="38" t="n">
        <f aca="false">'Matrice des notes'!R74</f>
        <v>3</v>
      </c>
      <c r="F2512" s="37" t="s">
        <v>992</v>
      </c>
      <c r="G2512" s="39" t="s">
        <v>996</v>
      </c>
    </row>
    <row r="2513" customFormat="false" ht="22.35" hidden="false" customHeight="false" outlineLevel="0" collapsed="false">
      <c r="A2513" s="37" t="s">
        <v>253</v>
      </c>
      <c r="B2513" s="37" t="s">
        <v>256</v>
      </c>
      <c r="C2513" s="37" t="s">
        <v>179</v>
      </c>
      <c r="D2513" s="37" t="s">
        <v>56</v>
      </c>
      <c r="E2513" s="38" t="n">
        <f aca="false">'Matrice des notes'!S74</f>
        <v>4</v>
      </c>
      <c r="F2513" s="37" t="s">
        <v>643</v>
      </c>
      <c r="G2513" s="39" t="s">
        <v>1022</v>
      </c>
    </row>
    <row r="2514" customFormat="false" ht="15" hidden="false" customHeight="false" outlineLevel="0" collapsed="false">
      <c r="A2514" s="37" t="s">
        <v>253</v>
      </c>
      <c r="B2514" s="37" t="s">
        <v>256</v>
      </c>
      <c r="C2514" s="37" t="s">
        <v>179</v>
      </c>
      <c r="D2514" s="37" t="s">
        <v>59</v>
      </c>
      <c r="E2514" s="38" t="n">
        <f aca="false">'Matrice des notes'!T74</f>
        <v>4</v>
      </c>
      <c r="F2514" s="37" t="s">
        <v>623</v>
      </c>
      <c r="G2514" s="39" t="s">
        <v>1010</v>
      </c>
    </row>
    <row r="2515" customFormat="false" ht="22.35" hidden="false" customHeight="false" outlineLevel="0" collapsed="false">
      <c r="A2515" s="37" t="s">
        <v>253</v>
      </c>
      <c r="B2515" s="37" t="s">
        <v>256</v>
      </c>
      <c r="C2515" s="37" t="s">
        <v>179</v>
      </c>
      <c r="D2515" s="37" t="s">
        <v>62</v>
      </c>
      <c r="E2515" s="38" t="n">
        <f aca="false">'Matrice des notes'!U74</f>
        <v>4</v>
      </c>
      <c r="F2515" s="37" t="s">
        <v>621</v>
      </c>
      <c r="G2515" s="39" t="s">
        <v>1023</v>
      </c>
    </row>
    <row r="2516" customFormat="false" ht="15" hidden="false" customHeight="false" outlineLevel="0" collapsed="false">
      <c r="A2516" s="37" t="s">
        <v>253</v>
      </c>
      <c r="B2516" s="37" t="s">
        <v>256</v>
      </c>
      <c r="C2516" s="37" t="s">
        <v>179</v>
      </c>
      <c r="D2516" s="37" t="s">
        <v>65</v>
      </c>
      <c r="E2516" s="38" t="n">
        <f aca="false">'Matrice des notes'!V74</f>
        <v>3</v>
      </c>
      <c r="F2516" s="37" t="s">
        <v>997</v>
      </c>
      <c r="G2516" s="39" t="s">
        <v>1024</v>
      </c>
    </row>
    <row r="2517" customFormat="false" ht="15" hidden="false" customHeight="false" outlineLevel="0" collapsed="false">
      <c r="A2517" s="37" t="s">
        <v>253</v>
      </c>
      <c r="B2517" s="37" t="s">
        <v>256</v>
      </c>
      <c r="C2517" s="37" t="s">
        <v>179</v>
      </c>
      <c r="D2517" s="37" t="s">
        <v>68</v>
      </c>
      <c r="E2517" s="38" t="n">
        <f aca="false">'Matrice des notes'!W74</f>
        <v>2</v>
      </c>
      <c r="F2517" s="37" t="s">
        <v>649</v>
      </c>
      <c r="G2517" s="39" t="s">
        <v>650</v>
      </c>
    </row>
    <row r="2518" customFormat="false" ht="22.35" hidden="false" customHeight="false" outlineLevel="0" collapsed="false">
      <c r="A2518" s="37" t="s">
        <v>253</v>
      </c>
      <c r="B2518" s="37" t="s">
        <v>256</v>
      </c>
      <c r="C2518" s="37" t="s">
        <v>179</v>
      </c>
      <c r="D2518" s="37" t="s">
        <v>71</v>
      </c>
      <c r="E2518" s="38" t="n">
        <f aca="false">'Matrice des notes'!X74</f>
        <v>4</v>
      </c>
      <c r="F2518" s="37" t="s">
        <v>688</v>
      </c>
      <c r="G2518" s="39" t="s">
        <v>1025</v>
      </c>
    </row>
    <row r="2519" customFormat="false" ht="15" hidden="false" customHeight="false" outlineLevel="0" collapsed="false">
      <c r="A2519" s="37" t="s">
        <v>253</v>
      </c>
      <c r="B2519" s="37" t="s">
        <v>256</v>
      </c>
      <c r="C2519" s="37" t="s">
        <v>179</v>
      </c>
      <c r="D2519" s="37" t="s">
        <v>74</v>
      </c>
      <c r="E2519" s="38" t="n">
        <f aca="false">'Matrice des notes'!Y74</f>
        <v>4</v>
      </c>
      <c r="F2519" s="37" t="s">
        <v>1026</v>
      </c>
      <c r="G2519" s="39" t="s">
        <v>1027</v>
      </c>
    </row>
    <row r="2520" customFormat="false" ht="15" hidden="false" customHeight="false" outlineLevel="0" collapsed="false">
      <c r="A2520" s="37" t="s">
        <v>253</v>
      </c>
      <c r="B2520" s="37" t="s">
        <v>256</v>
      </c>
      <c r="C2520" s="37" t="s">
        <v>179</v>
      </c>
      <c r="D2520" s="37" t="s">
        <v>77</v>
      </c>
      <c r="E2520" s="38" t="n">
        <f aca="false">'Matrice des notes'!Z74</f>
        <v>5</v>
      </c>
      <c r="F2520" s="37" t="s">
        <v>1028</v>
      </c>
      <c r="G2520" s="39" t="s">
        <v>1029</v>
      </c>
    </row>
    <row r="2521" customFormat="false" ht="15" hidden="false" customHeight="false" outlineLevel="0" collapsed="false">
      <c r="A2521" s="37" t="s">
        <v>253</v>
      </c>
      <c r="B2521" s="37" t="s">
        <v>256</v>
      </c>
      <c r="C2521" s="37" t="s">
        <v>179</v>
      </c>
      <c r="D2521" s="37" t="s">
        <v>80</v>
      </c>
      <c r="E2521" s="38" t="n">
        <f aca="false">'Matrice des notes'!AA74</f>
        <v>3</v>
      </c>
      <c r="F2521" s="37" t="s">
        <v>1000</v>
      </c>
      <c r="G2521" s="39" t="s">
        <v>1030</v>
      </c>
    </row>
    <row r="2522" customFormat="false" ht="15" hidden="false" customHeight="false" outlineLevel="0" collapsed="false">
      <c r="A2522" s="37" t="s">
        <v>253</v>
      </c>
      <c r="B2522" s="37" t="s">
        <v>256</v>
      </c>
      <c r="C2522" s="37" t="s">
        <v>179</v>
      </c>
      <c r="D2522" s="37" t="s">
        <v>83</v>
      </c>
      <c r="E2522" s="38" t="n">
        <f aca="false">'Matrice des notes'!AB74</f>
        <v>3</v>
      </c>
      <c r="F2522" s="37" t="s">
        <v>652</v>
      </c>
      <c r="G2522" s="39" t="s">
        <v>653</v>
      </c>
    </row>
    <row r="2523" customFormat="false" ht="15" hidden="false" customHeight="false" outlineLevel="0" collapsed="false">
      <c r="A2523" s="37" t="s">
        <v>253</v>
      </c>
      <c r="B2523" s="37" t="s">
        <v>256</v>
      </c>
      <c r="C2523" s="37" t="s">
        <v>179</v>
      </c>
      <c r="D2523" s="37" t="s">
        <v>86</v>
      </c>
      <c r="E2523" s="38" t="n">
        <f aca="false">'Matrice des notes'!AC74</f>
        <v>2</v>
      </c>
      <c r="F2523" s="37" t="s">
        <v>652</v>
      </c>
      <c r="G2523" s="39" t="s">
        <v>653</v>
      </c>
    </row>
    <row r="2524" customFormat="false" ht="15" hidden="false" customHeight="false" outlineLevel="0" collapsed="false">
      <c r="A2524" s="37" t="s">
        <v>253</v>
      </c>
      <c r="B2524" s="37" t="s">
        <v>256</v>
      </c>
      <c r="C2524" s="37" t="s">
        <v>179</v>
      </c>
      <c r="D2524" s="37" t="s">
        <v>89</v>
      </c>
      <c r="E2524" s="38" t="n">
        <f aca="false">'Matrice des notes'!AD74</f>
        <v>3</v>
      </c>
      <c r="F2524" s="37" t="s">
        <v>652</v>
      </c>
      <c r="G2524" s="39" t="s">
        <v>653</v>
      </c>
    </row>
    <row r="2525" customFormat="false" ht="15" hidden="false" customHeight="false" outlineLevel="0" collapsed="false">
      <c r="A2525" s="37" t="s">
        <v>253</v>
      </c>
      <c r="B2525" s="37" t="s">
        <v>256</v>
      </c>
      <c r="C2525" s="37" t="s">
        <v>179</v>
      </c>
      <c r="D2525" s="37" t="s">
        <v>92</v>
      </c>
      <c r="E2525" s="38" t="n">
        <f aca="false">'Matrice des notes'!AE74</f>
        <v>2</v>
      </c>
      <c r="F2525" s="37" t="s">
        <v>652</v>
      </c>
      <c r="G2525" s="39" t="s">
        <v>653</v>
      </c>
    </row>
    <row r="2526" customFormat="false" ht="15" hidden="false" customHeight="false" outlineLevel="0" collapsed="false">
      <c r="A2526" s="37" t="s">
        <v>253</v>
      </c>
      <c r="B2526" s="37" t="s">
        <v>256</v>
      </c>
      <c r="C2526" s="37" t="s">
        <v>180</v>
      </c>
      <c r="D2526" s="37" t="s">
        <v>95</v>
      </c>
      <c r="E2526" s="38" t="n">
        <f aca="false">'Matrice des notes'!AF74</f>
        <v>1</v>
      </c>
      <c r="F2526" s="37" t="s">
        <v>631</v>
      </c>
      <c r="G2526" s="39" t="s">
        <v>654</v>
      </c>
    </row>
    <row r="2527" customFormat="false" ht="15" hidden="false" customHeight="false" outlineLevel="0" collapsed="false">
      <c r="A2527" s="37" t="s">
        <v>253</v>
      </c>
      <c r="B2527" s="37" t="s">
        <v>256</v>
      </c>
      <c r="C2527" s="37" t="s">
        <v>180</v>
      </c>
      <c r="D2527" s="37" t="s">
        <v>99</v>
      </c>
      <c r="E2527" s="38" t="n">
        <f aca="false">'Matrice des notes'!AG74</f>
        <v>1</v>
      </c>
      <c r="F2527" s="37" t="s">
        <v>655</v>
      </c>
      <c r="G2527" s="39" t="s">
        <v>656</v>
      </c>
    </row>
    <row r="2528" customFormat="false" ht="15" hidden="false" customHeight="false" outlineLevel="0" collapsed="false">
      <c r="A2528" s="37" t="s">
        <v>253</v>
      </c>
      <c r="B2528" s="37" t="s">
        <v>256</v>
      </c>
      <c r="C2528" s="37" t="s">
        <v>180</v>
      </c>
      <c r="D2528" s="37" t="s">
        <v>102</v>
      </c>
      <c r="E2528" s="38" t="n">
        <f aca="false">'Matrice des notes'!AH74</f>
        <v>1</v>
      </c>
      <c r="F2528" s="37" t="s">
        <v>655</v>
      </c>
      <c r="G2528" s="39" t="s">
        <v>656</v>
      </c>
    </row>
    <row r="2529" customFormat="false" ht="15" hidden="false" customHeight="false" outlineLevel="0" collapsed="false">
      <c r="A2529" s="37" t="s">
        <v>253</v>
      </c>
      <c r="B2529" s="37" t="s">
        <v>256</v>
      </c>
      <c r="C2529" s="37" t="s">
        <v>180</v>
      </c>
      <c r="D2529" s="37" t="s">
        <v>104</v>
      </c>
      <c r="E2529" s="38" t="n">
        <f aca="false">'Matrice des notes'!AI74</f>
        <v>1</v>
      </c>
      <c r="F2529" s="37" t="s">
        <v>631</v>
      </c>
      <c r="G2529" s="39" t="s">
        <v>654</v>
      </c>
    </row>
    <row r="2530" customFormat="false" ht="15" hidden="false" customHeight="false" outlineLevel="0" collapsed="false">
      <c r="A2530" s="37" t="s">
        <v>253</v>
      </c>
      <c r="B2530" s="37" t="s">
        <v>256</v>
      </c>
      <c r="C2530" s="37" t="s">
        <v>180</v>
      </c>
      <c r="D2530" s="37" t="s">
        <v>107</v>
      </c>
      <c r="E2530" s="38" t="n">
        <f aca="false">'Matrice des notes'!AJ74</f>
        <v>1</v>
      </c>
      <c r="F2530" s="37" t="s">
        <v>631</v>
      </c>
      <c r="G2530" s="39" t="s">
        <v>654</v>
      </c>
    </row>
    <row r="2531" customFormat="false" ht="15" hidden="false" customHeight="false" outlineLevel="0" collapsed="false">
      <c r="A2531" s="37" t="s">
        <v>253</v>
      </c>
      <c r="B2531" s="37" t="s">
        <v>256</v>
      </c>
      <c r="C2531" s="37" t="s">
        <v>180</v>
      </c>
      <c r="D2531" s="37" t="s">
        <v>110</v>
      </c>
      <c r="E2531" s="38" t="n">
        <f aca="false">'Matrice des notes'!AK74</f>
        <v>1</v>
      </c>
      <c r="F2531" s="37" t="s">
        <v>631</v>
      </c>
      <c r="G2531" s="39" t="s">
        <v>654</v>
      </c>
    </row>
    <row r="2532" customFormat="false" ht="15" hidden="false" customHeight="false" outlineLevel="0" collapsed="false">
      <c r="A2532" s="37" t="s">
        <v>253</v>
      </c>
      <c r="B2532" s="37" t="s">
        <v>256</v>
      </c>
      <c r="C2532" s="37" t="s">
        <v>180</v>
      </c>
      <c r="D2532" s="37" t="s">
        <v>113</v>
      </c>
      <c r="E2532" s="38" t="n">
        <f aca="false">'Matrice des notes'!AL74</f>
        <v>1</v>
      </c>
      <c r="F2532" s="37" t="s">
        <v>631</v>
      </c>
      <c r="G2532" s="39" t="s">
        <v>654</v>
      </c>
    </row>
    <row r="2533" customFormat="false" ht="15" hidden="false" customHeight="false" outlineLevel="0" collapsed="false">
      <c r="A2533" s="37" t="s">
        <v>253</v>
      </c>
      <c r="B2533" s="37" t="s">
        <v>256</v>
      </c>
      <c r="C2533" s="37" t="s">
        <v>180</v>
      </c>
      <c r="D2533" s="37" t="s">
        <v>116</v>
      </c>
      <c r="E2533" s="38" t="n">
        <f aca="false">'Matrice des notes'!AM74</f>
        <v>1</v>
      </c>
      <c r="F2533" s="37" t="s">
        <v>655</v>
      </c>
      <c r="G2533" s="39" t="s">
        <v>656</v>
      </c>
    </row>
    <row r="2534" customFormat="false" ht="15" hidden="false" customHeight="false" outlineLevel="0" collapsed="false">
      <c r="A2534" s="37" t="s">
        <v>253</v>
      </c>
      <c r="B2534" s="37" t="s">
        <v>256</v>
      </c>
      <c r="C2534" s="37" t="s">
        <v>180</v>
      </c>
      <c r="D2534" s="37" t="s">
        <v>119</v>
      </c>
      <c r="E2534" s="38" t="n">
        <f aca="false">'Matrice des notes'!AN74</f>
        <v>1</v>
      </c>
      <c r="F2534" s="37" t="s">
        <v>631</v>
      </c>
      <c r="G2534" s="39" t="s">
        <v>654</v>
      </c>
    </row>
    <row r="2535" customFormat="false" ht="15" hidden="false" customHeight="false" outlineLevel="0" collapsed="false">
      <c r="A2535" s="37" t="s">
        <v>253</v>
      </c>
      <c r="B2535" s="37" t="s">
        <v>256</v>
      </c>
      <c r="C2535" s="37" t="s">
        <v>180</v>
      </c>
      <c r="D2535" s="37" t="s">
        <v>121</v>
      </c>
      <c r="E2535" s="38" t="n">
        <f aca="false">'Matrice des notes'!AO74</f>
        <v>1</v>
      </c>
      <c r="F2535" s="37" t="s">
        <v>657</v>
      </c>
      <c r="G2535" s="39" t="s">
        <v>658</v>
      </c>
    </row>
    <row r="2536" customFormat="false" ht="15" hidden="false" customHeight="false" outlineLevel="0" collapsed="false">
      <c r="A2536" s="37" t="s">
        <v>253</v>
      </c>
      <c r="B2536" s="37" t="s">
        <v>256</v>
      </c>
      <c r="C2536" s="37" t="s">
        <v>180</v>
      </c>
      <c r="D2536" s="37" t="s">
        <v>124</v>
      </c>
      <c r="E2536" s="38" t="n">
        <f aca="false">'Matrice des notes'!AP74</f>
        <v>3</v>
      </c>
      <c r="F2536" s="37" t="s">
        <v>659</v>
      </c>
      <c r="G2536" s="39" t="s">
        <v>660</v>
      </c>
    </row>
    <row r="2537" customFormat="false" ht="15" hidden="false" customHeight="false" outlineLevel="0" collapsed="false">
      <c r="A2537" s="37" t="s">
        <v>253</v>
      </c>
      <c r="B2537" s="37" t="s">
        <v>257</v>
      </c>
      <c r="C2537" s="37" t="s">
        <v>178</v>
      </c>
      <c r="D2537" s="37" t="s">
        <v>7</v>
      </c>
      <c r="E2537" s="38" t="n">
        <f aca="false">'Matrice des notes'!D75</f>
        <v>3</v>
      </c>
      <c r="F2537" s="37" t="s">
        <v>617</v>
      </c>
      <c r="G2537" s="39" t="s">
        <v>618</v>
      </c>
    </row>
    <row r="2538" customFormat="false" ht="22.35" hidden="false" customHeight="false" outlineLevel="0" collapsed="false">
      <c r="A2538" s="37" t="s">
        <v>253</v>
      </c>
      <c r="B2538" s="37" t="s">
        <v>257</v>
      </c>
      <c r="C2538" s="37" t="s">
        <v>178</v>
      </c>
      <c r="D2538" s="37" t="s">
        <v>11</v>
      </c>
      <c r="E2538" s="38" t="n">
        <f aca="false">'Matrice des notes'!E75</f>
        <v>4</v>
      </c>
      <c r="F2538" s="37" t="s">
        <v>1006</v>
      </c>
      <c r="G2538" s="39" t="s">
        <v>1007</v>
      </c>
    </row>
    <row r="2539" customFormat="false" ht="15" hidden="false" customHeight="false" outlineLevel="0" collapsed="false">
      <c r="A2539" s="37" t="s">
        <v>253</v>
      </c>
      <c r="B2539" s="37" t="s">
        <v>257</v>
      </c>
      <c r="C2539" s="37" t="s">
        <v>178</v>
      </c>
      <c r="D2539" s="37" t="s">
        <v>14</v>
      </c>
      <c r="E2539" s="38" t="n">
        <f aca="false">'Matrice des notes'!F75</f>
        <v>4</v>
      </c>
      <c r="F2539" s="37" t="s">
        <v>1008</v>
      </c>
      <c r="G2539" s="39" t="s">
        <v>1009</v>
      </c>
    </row>
    <row r="2540" customFormat="false" ht="15" hidden="false" customHeight="false" outlineLevel="0" collapsed="false">
      <c r="A2540" s="37" t="s">
        <v>253</v>
      </c>
      <c r="B2540" s="37" t="s">
        <v>257</v>
      </c>
      <c r="C2540" s="37" t="s">
        <v>178</v>
      </c>
      <c r="D2540" s="37" t="s">
        <v>17</v>
      </c>
      <c r="E2540" s="38" t="n">
        <f aca="false">'Matrice des notes'!G75</f>
        <v>4</v>
      </c>
      <c r="F2540" s="37" t="s">
        <v>623</v>
      </c>
      <c r="G2540" s="39" t="s">
        <v>1010</v>
      </c>
    </row>
    <row r="2541" customFormat="false" ht="22.35" hidden="false" customHeight="false" outlineLevel="0" collapsed="false">
      <c r="A2541" s="37" t="s">
        <v>253</v>
      </c>
      <c r="B2541" s="37" t="s">
        <v>257</v>
      </c>
      <c r="C2541" s="37" t="s">
        <v>178</v>
      </c>
      <c r="D2541" s="37" t="s">
        <v>20</v>
      </c>
      <c r="E2541" s="38" t="n">
        <f aca="false">'Matrice des notes'!H75</f>
        <v>4</v>
      </c>
      <c r="F2541" s="37" t="s">
        <v>1011</v>
      </c>
      <c r="G2541" s="39" t="s">
        <v>1012</v>
      </c>
    </row>
    <row r="2542" customFormat="false" ht="15" hidden="false" customHeight="false" outlineLevel="0" collapsed="false">
      <c r="A2542" s="37" t="s">
        <v>253</v>
      </c>
      <c r="B2542" s="37" t="s">
        <v>257</v>
      </c>
      <c r="C2542" s="37" t="s">
        <v>178</v>
      </c>
      <c r="D2542" s="37" t="s">
        <v>23</v>
      </c>
      <c r="E2542" s="38" t="n">
        <f aca="false">'Matrice des notes'!I75</f>
        <v>4</v>
      </c>
      <c r="F2542" s="37" t="s">
        <v>623</v>
      </c>
      <c r="G2542" s="39" t="s">
        <v>1010</v>
      </c>
    </row>
    <row r="2543" customFormat="false" ht="15" hidden="false" customHeight="false" outlineLevel="0" collapsed="false">
      <c r="A2543" s="37" t="s">
        <v>253</v>
      </c>
      <c r="B2543" s="37" t="s">
        <v>257</v>
      </c>
      <c r="C2543" s="37" t="s">
        <v>178</v>
      </c>
      <c r="D2543" s="37" t="s">
        <v>26</v>
      </c>
      <c r="E2543" s="38" t="n">
        <f aca="false">'Matrice des notes'!J75</f>
        <v>5</v>
      </c>
      <c r="F2543" s="37" t="s">
        <v>1013</v>
      </c>
      <c r="G2543" s="39" t="s">
        <v>1014</v>
      </c>
    </row>
    <row r="2544" customFormat="false" ht="15" hidden="false" customHeight="false" outlineLevel="0" collapsed="false">
      <c r="A2544" s="37" t="s">
        <v>253</v>
      </c>
      <c r="B2544" s="37" t="s">
        <v>257</v>
      </c>
      <c r="C2544" s="37" t="s">
        <v>178</v>
      </c>
      <c r="D2544" s="37" t="s">
        <v>30</v>
      </c>
      <c r="E2544" s="38" t="n">
        <f aca="false">'Matrice des notes'!K75</f>
        <v>5</v>
      </c>
      <c r="F2544" s="37" t="s">
        <v>1015</v>
      </c>
      <c r="G2544" s="39" t="s">
        <v>1016</v>
      </c>
    </row>
    <row r="2545" customFormat="false" ht="15" hidden="false" customHeight="false" outlineLevel="0" collapsed="false">
      <c r="A2545" s="37" t="s">
        <v>253</v>
      </c>
      <c r="B2545" s="37" t="s">
        <v>257</v>
      </c>
      <c r="C2545" s="37" t="s">
        <v>178</v>
      </c>
      <c r="D2545" s="37" t="s">
        <v>34</v>
      </c>
      <c r="E2545" s="38" t="n">
        <f aca="false">'Matrice des notes'!L75</f>
        <v>3</v>
      </c>
      <c r="F2545" s="37" t="s">
        <v>992</v>
      </c>
      <c r="G2545" s="39" t="s">
        <v>993</v>
      </c>
    </row>
    <row r="2546" customFormat="false" ht="15" hidden="false" customHeight="false" outlineLevel="0" collapsed="false">
      <c r="A2546" s="37" t="s">
        <v>253</v>
      </c>
      <c r="B2546" s="37" t="s">
        <v>257</v>
      </c>
      <c r="C2546" s="37" t="s">
        <v>178</v>
      </c>
      <c r="D2546" s="37" t="s">
        <v>37</v>
      </c>
      <c r="E2546" s="38" t="n">
        <f aca="false">'Matrice des notes'!M75</f>
        <v>2</v>
      </c>
      <c r="F2546" s="37" t="s">
        <v>994</v>
      </c>
      <c r="G2546" s="39" t="s">
        <v>1017</v>
      </c>
    </row>
    <row r="2547" customFormat="false" ht="22.35" hidden="false" customHeight="false" outlineLevel="0" collapsed="false">
      <c r="A2547" s="37" t="s">
        <v>253</v>
      </c>
      <c r="B2547" s="37" t="s">
        <v>257</v>
      </c>
      <c r="C2547" s="37" t="s">
        <v>178</v>
      </c>
      <c r="D2547" s="37" t="s">
        <v>40</v>
      </c>
      <c r="E2547" s="38" t="n">
        <f aca="false">'Matrice des notes'!N75</f>
        <v>4</v>
      </c>
      <c r="F2547" s="37" t="s">
        <v>621</v>
      </c>
      <c r="G2547" s="39" t="s">
        <v>1018</v>
      </c>
    </row>
    <row r="2548" customFormat="false" ht="15" hidden="false" customHeight="false" outlineLevel="0" collapsed="false">
      <c r="A2548" s="37" t="s">
        <v>253</v>
      </c>
      <c r="B2548" s="37" t="s">
        <v>257</v>
      </c>
      <c r="C2548" s="37" t="s">
        <v>178</v>
      </c>
      <c r="D2548" s="37" t="s">
        <v>43</v>
      </c>
      <c r="E2548" s="38" t="n">
        <f aca="false">'Matrice des notes'!O75</f>
        <v>2</v>
      </c>
      <c r="F2548" s="37" t="s">
        <v>635</v>
      </c>
      <c r="G2548" s="39" t="s">
        <v>636</v>
      </c>
    </row>
    <row r="2549" customFormat="false" ht="15" hidden="false" customHeight="false" outlineLevel="0" collapsed="false">
      <c r="A2549" s="37" t="s">
        <v>253</v>
      </c>
      <c r="B2549" s="37" t="s">
        <v>257</v>
      </c>
      <c r="C2549" s="37" t="s">
        <v>178</v>
      </c>
      <c r="D2549" s="37" t="s">
        <v>46</v>
      </c>
      <c r="E2549" s="38" t="n">
        <f aca="false">'Matrice des notes'!P75</f>
        <v>5</v>
      </c>
      <c r="F2549" s="37" t="s">
        <v>1019</v>
      </c>
      <c r="G2549" s="39" t="s">
        <v>1020</v>
      </c>
    </row>
    <row r="2550" customFormat="false" ht="22.35" hidden="false" customHeight="false" outlineLevel="0" collapsed="false">
      <c r="A2550" s="37" t="s">
        <v>253</v>
      </c>
      <c r="B2550" s="37" t="s">
        <v>257</v>
      </c>
      <c r="C2550" s="37" t="s">
        <v>179</v>
      </c>
      <c r="D2550" s="37" t="s">
        <v>49</v>
      </c>
      <c r="E2550" s="38" t="n">
        <f aca="false">'Matrice des notes'!Q75</f>
        <v>4</v>
      </c>
      <c r="F2550" s="37" t="s">
        <v>688</v>
      </c>
      <c r="G2550" s="39" t="s">
        <v>1021</v>
      </c>
    </row>
    <row r="2551" customFormat="false" ht="15" hidden="false" customHeight="false" outlineLevel="0" collapsed="false">
      <c r="A2551" s="37" t="s">
        <v>253</v>
      </c>
      <c r="B2551" s="37" t="s">
        <v>257</v>
      </c>
      <c r="C2551" s="37" t="s">
        <v>179</v>
      </c>
      <c r="D2551" s="37" t="s">
        <v>53</v>
      </c>
      <c r="E2551" s="38" t="n">
        <f aca="false">'Matrice des notes'!R75</f>
        <v>3</v>
      </c>
      <c r="F2551" s="37" t="s">
        <v>992</v>
      </c>
      <c r="G2551" s="39" t="s">
        <v>996</v>
      </c>
    </row>
    <row r="2552" customFormat="false" ht="22.35" hidden="false" customHeight="false" outlineLevel="0" collapsed="false">
      <c r="A2552" s="37" t="s">
        <v>253</v>
      </c>
      <c r="B2552" s="37" t="s">
        <v>257</v>
      </c>
      <c r="C2552" s="37" t="s">
        <v>179</v>
      </c>
      <c r="D2552" s="37" t="s">
        <v>56</v>
      </c>
      <c r="E2552" s="38" t="n">
        <f aca="false">'Matrice des notes'!S75</f>
        <v>4</v>
      </c>
      <c r="F2552" s="37" t="s">
        <v>643</v>
      </c>
      <c r="G2552" s="39" t="s">
        <v>1022</v>
      </c>
    </row>
    <row r="2553" customFormat="false" ht="15" hidden="false" customHeight="false" outlineLevel="0" collapsed="false">
      <c r="A2553" s="37" t="s">
        <v>253</v>
      </c>
      <c r="B2553" s="37" t="s">
        <v>257</v>
      </c>
      <c r="C2553" s="37" t="s">
        <v>179</v>
      </c>
      <c r="D2553" s="37" t="s">
        <v>59</v>
      </c>
      <c r="E2553" s="38" t="n">
        <f aca="false">'Matrice des notes'!T75</f>
        <v>4</v>
      </c>
      <c r="F2553" s="37" t="s">
        <v>623</v>
      </c>
      <c r="G2553" s="39" t="s">
        <v>1010</v>
      </c>
    </row>
    <row r="2554" customFormat="false" ht="22.35" hidden="false" customHeight="false" outlineLevel="0" collapsed="false">
      <c r="A2554" s="37" t="s">
        <v>253</v>
      </c>
      <c r="B2554" s="37" t="s">
        <v>257</v>
      </c>
      <c r="C2554" s="37" t="s">
        <v>179</v>
      </c>
      <c r="D2554" s="37" t="s">
        <v>62</v>
      </c>
      <c r="E2554" s="38" t="n">
        <f aca="false">'Matrice des notes'!U75</f>
        <v>4</v>
      </c>
      <c r="F2554" s="37" t="s">
        <v>621</v>
      </c>
      <c r="G2554" s="39" t="s">
        <v>1023</v>
      </c>
    </row>
    <row r="2555" customFormat="false" ht="15" hidden="false" customHeight="false" outlineLevel="0" collapsed="false">
      <c r="A2555" s="37" t="s">
        <v>253</v>
      </c>
      <c r="B2555" s="37" t="s">
        <v>257</v>
      </c>
      <c r="C2555" s="37" t="s">
        <v>179</v>
      </c>
      <c r="D2555" s="37" t="s">
        <v>65</v>
      </c>
      <c r="E2555" s="38" t="n">
        <f aca="false">'Matrice des notes'!V75</f>
        <v>3</v>
      </c>
      <c r="F2555" s="37" t="s">
        <v>997</v>
      </c>
      <c r="G2555" s="39" t="s">
        <v>1024</v>
      </c>
    </row>
    <row r="2556" customFormat="false" ht="15" hidden="false" customHeight="false" outlineLevel="0" collapsed="false">
      <c r="A2556" s="37" t="s">
        <v>253</v>
      </c>
      <c r="B2556" s="37" t="s">
        <v>257</v>
      </c>
      <c r="C2556" s="37" t="s">
        <v>179</v>
      </c>
      <c r="D2556" s="37" t="s">
        <v>68</v>
      </c>
      <c r="E2556" s="38" t="n">
        <f aca="false">'Matrice des notes'!W75</f>
        <v>2</v>
      </c>
      <c r="F2556" s="37" t="s">
        <v>649</v>
      </c>
      <c r="G2556" s="39" t="s">
        <v>650</v>
      </c>
    </row>
    <row r="2557" customFormat="false" ht="22.35" hidden="false" customHeight="false" outlineLevel="0" collapsed="false">
      <c r="A2557" s="37" t="s">
        <v>253</v>
      </c>
      <c r="B2557" s="37" t="s">
        <v>257</v>
      </c>
      <c r="C2557" s="37" t="s">
        <v>179</v>
      </c>
      <c r="D2557" s="37" t="s">
        <v>71</v>
      </c>
      <c r="E2557" s="38" t="n">
        <f aca="false">'Matrice des notes'!X75</f>
        <v>4</v>
      </c>
      <c r="F2557" s="37" t="s">
        <v>688</v>
      </c>
      <c r="G2557" s="39" t="s">
        <v>1025</v>
      </c>
    </row>
    <row r="2558" customFormat="false" ht="15" hidden="false" customHeight="false" outlineLevel="0" collapsed="false">
      <c r="A2558" s="37" t="s">
        <v>253</v>
      </c>
      <c r="B2558" s="37" t="s">
        <v>257</v>
      </c>
      <c r="C2558" s="37" t="s">
        <v>179</v>
      </c>
      <c r="D2558" s="37" t="s">
        <v>74</v>
      </c>
      <c r="E2558" s="38" t="n">
        <f aca="false">'Matrice des notes'!Y75</f>
        <v>4</v>
      </c>
      <c r="F2558" s="37" t="s">
        <v>1026</v>
      </c>
      <c r="G2558" s="39" t="s">
        <v>1027</v>
      </c>
    </row>
    <row r="2559" customFormat="false" ht="15" hidden="false" customHeight="false" outlineLevel="0" collapsed="false">
      <c r="A2559" s="37" t="s">
        <v>253</v>
      </c>
      <c r="B2559" s="37" t="s">
        <v>257</v>
      </c>
      <c r="C2559" s="37" t="s">
        <v>179</v>
      </c>
      <c r="D2559" s="37" t="s">
        <v>77</v>
      </c>
      <c r="E2559" s="38" t="n">
        <f aca="false">'Matrice des notes'!Z75</f>
        <v>5</v>
      </c>
      <c r="F2559" s="37" t="s">
        <v>1028</v>
      </c>
      <c r="G2559" s="39" t="s">
        <v>1029</v>
      </c>
    </row>
    <row r="2560" customFormat="false" ht="15" hidden="false" customHeight="false" outlineLevel="0" collapsed="false">
      <c r="A2560" s="37" t="s">
        <v>253</v>
      </c>
      <c r="B2560" s="37" t="s">
        <v>257</v>
      </c>
      <c r="C2560" s="37" t="s">
        <v>179</v>
      </c>
      <c r="D2560" s="37" t="s">
        <v>80</v>
      </c>
      <c r="E2560" s="38" t="n">
        <f aca="false">'Matrice des notes'!AA75</f>
        <v>3</v>
      </c>
      <c r="F2560" s="37" t="s">
        <v>1000</v>
      </c>
      <c r="G2560" s="39" t="s">
        <v>1030</v>
      </c>
    </row>
    <row r="2561" customFormat="false" ht="15" hidden="false" customHeight="false" outlineLevel="0" collapsed="false">
      <c r="A2561" s="37" t="s">
        <v>253</v>
      </c>
      <c r="B2561" s="37" t="s">
        <v>257</v>
      </c>
      <c r="C2561" s="37" t="s">
        <v>179</v>
      </c>
      <c r="D2561" s="37" t="s">
        <v>83</v>
      </c>
      <c r="E2561" s="38" t="n">
        <f aca="false">'Matrice des notes'!AB75</f>
        <v>3</v>
      </c>
      <c r="F2561" s="37" t="s">
        <v>652</v>
      </c>
      <c r="G2561" s="39" t="s">
        <v>653</v>
      </c>
    </row>
    <row r="2562" customFormat="false" ht="15" hidden="false" customHeight="false" outlineLevel="0" collapsed="false">
      <c r="A2562" s="37" t="s">
        <v>253</v>
      </c>
      <c r="B2562" s="37" t="s">
        <v>257</v>
      </c>
      <c r="C2562" s="37" t="s">
        <v>179</v>
      </c>
      <c r="D2562" s="37" t="s">
        <v>86</v>
      </c>
      <c r="E2562" s="38" t="n">
        <f aca="false">'Matrice des notes'!AC75</f>
        <v>2</v>
      </c>
      <c r="F2562" s="37" t="s">
        <v>652</v>
      </c>
      <c r="G2562" s="39" t="s">
        <v>653</v>
      </c>
    </row>
    <row r="2563" customFormat="false" ht="15" hidden="false" customHeight="false" outlineLevel="0" collapsed="false">
      <c r="A2563" s="37" t="s">
        <v>253</v>
      </c>
      <c r="B2563" s="37" t="s">
        <v>257</v>
      </c>
      <c r="C2563" s="37" t="s">
        <v>179</v>
      </c>
      <c r="D2563" s="37" t="s">
        <v>89</v>
      </c>
      <c r="E2563" s="38" t="n">
        <f aca="false">'Matrice des notes'!AD75</f>
        <v>3</v>
      </c>
      <c r="F2563" s="37" t="s">
        <v>652</v>
      </c>
      <c r="G2563" s="39" t="s">
        <v>653</v>
      </c>
    </row>
    <row r="2564" customFormat="false" ht="15" hidden="false" customHeight="false" outlineLevel="0" collapsed="false">
      <c r="A2564" s="37" t="s">
        <v>253</v>
      </c>
      <c r="B2564" s="37" t="s">
        <v>257</v>
      </c>
      <c r="C2564" s="37" t="s">
        <v>179</v>
      </c>
      <c r="D2564" s="37" t="s">
        <v>92</v>
      </c>
      <c r="E2564" s="38" t="n">
        <f aca="false">'Matrice des notes'!AE75</f>
        <v>2</v>
      </c>
      <c r="F2564" s="37" t="s">
        <v>652</v>
      </c>
      <c r="G2564" s="39" t="s">
        <v>653</v>
      </c>
    </row>
    <row r="2565" customFormat="false" ht="15" hidden="false" customHeight="false" outlineLevel="0" collapsed="false">
      <c r="A2565" s="37" t="s">
        <v>253</v>
      </c>
      <c r="B2565" s="37" t="s">
        <v>257</v>
      </c>
      <c r="C2565" s="37" t="s">
        <v>180</v>
      </c>
      <c r="D2565" s="37" t="s">
        <v>95</v>
      </c>
      <c r="E2565" s="38" t="n">
        <f aca="false">'Matrice des notes'!AF75</f>
        <v>1</v>
      </c>
      <c r="F2565" s="37" t="s">
        <v>631</v>
      </c>
      <c r="G2565" s="39" t="s">
        <v>654</v>
      </c>
    </row>
    <row r="2566" customFormat="false" ht="15" hidden="false" customHeight="false" outlineLevel="0" collapsed="false">
      <c r="A2566" s="37" t="s">
        <v>253</v>
      </c>
      <c r="B2566" s="37" t="s">
        <v>257</v>
      </c>
      <c r="C2566" s="37" t="s">
        <v>180</v>
      </c>
      <c r="D2566" s="37" t="s">
        <v>99</v>
      </c>
      <c r="E2566" s="38" t="n">
        <f aca="false">'Matrice des notes'!AG75</f>
        <v>1</v>
      </c>
      <c r="F2566" s="37" t="s">
        <v>655</v>
      </c>
      <c r="G2566" s="39" t="s">
        <v>656</v>
      </c>
    </row>
    <row r="2567" customFormat="false" ht="15" hidden="false" customHeight="false" outlineLevel="0" collapsed="false">
      <c r="A2567" s="37" t="s">
        <v>253</v>
      </c>
      <c r="B2567" s="37" t="s">
        <v>257</v>
      </c>
      <c r="C2567" s="37" t="s">
        <v>180</v>
      </c>
      <c r="D2567" s="37" t="s">
        <v>102</v>
      </c>
      <c r="E2567" s="38" t="n">
        <f aca="false">'Matrice des notes'!AH75</f>
        <v>1</v>
      </c>
      <c r="F2567" s="37" t="s">
        <v>655</v>
      </c>
      <c r="G2567" s="39" t="s">
        <v>656</v>
      </c>
    </row>
    <row r="2568" customFormat="false" ht="15" hidden="false" customHeight="false" outlineLevel="0" collapsed="false">
      <c r="A2568" s="37" t="s">
        <v>253</v>
      </c>
      <c r="B2568" s="37" t="s">
        <v>257</v>
      </c>
      <c r="C2568" s="37" t="s">
        <v>180</v>
      </c>
      <c r="D2568" s="37" t="s">
        <v>104</v>
      </c>
      <c r="E2568" s="38" t="n">
        <f aca="false">'Matrice des notes'!AI75</f>
        <v>1</v>
      </c>
      <c r="F2568" s="37" t="s">
        <v>631</v>
      </c>
      <c r="G2568" s="39" t="s">
        <v>654</v>
      </c>
    </row>
    <row r="2569" customFormat="false" ht="15" hidden="false" customHeight="false" outlineLevel="0" collapsed="false">
      <c r="A2569" s="37" t="s">
        <v>253</v>
      </c>
      <c r="B2569" s="37" t="s">
        <v>257</v>
      </c>
      <c r="C2569" s="37" t="s">
        <v>180</v>
      </c>
      <c r="D2569" s="37" t="s">
        <v>107</v>
      </c>
      <c r="E2569" s="38" t="n">
        <f aca="false">'Matrice des notes'!AJ75</f>
        <v>1</v>
      </c>
      <c r="F2569" s="37" t="s">
        <v>631</v>
      </c>
      <c r="G2569" s="39" t="s">
        <v>654</v>
      </c>
    </row>
    <row r="2570" customFormat="false" ht="15" hidden="false" customHeight="false" outlineLevel="0" collapsed="false">
      <c r="A2570" s="37" t="s">
        <v>253</v>
      </c>
      <c r="B2570" s="37" t="s">
        <v>257</v>
      </c>
      <c r="C2570" s="37" t="s">
        <v>180</v>
      </c>
      <c r="D2570" s="37" t="s">
        <v>110</v>
      </c>
      <c r="E2570" s="38" t="n">
        <f aca="false">'Matrice des notes'!AK75</f>
        <v>1</v>
      </c>
      <c r="F2570" s="37" t="s">
        <v>631</v>
      </c>
      <c r="G2570" s="39" t="s">
        <v>654</v>
      </c>
    </row>
    <row r="2571" customFormat="false" ht="15" hidden="false" customHeight="false" outlineLevel="0" collapsed="false">
      <c r="A2571" s="37" t="s">
        <v>253</v>
      </c>
      <c r="B2571" s="37" t="s">
        <v>257</v>
      </c>
      <c r="C2571" s="37" t="s">
        <v>180</v>
      </c>
      <c r="D2571" s="37" t="s">
        <v>113</v>
      </c>
      <c r="E2571" s="38" t="n">
        <f aca="false">'Matrice des notes'!AL75</f>
        <v>1</v>
      </c>
      <c r="F2571" s="37" t="s">
        <v>631</v>
      </c>
      <c r="G2571" s="39" t="s">
        <v>654</v>
      </c>
    </row>
    <row r="2572" customFormat="false" ht="15" hidden="false" customHeight="false" outlineLevel="0" collapsed="false">
      <c r="A2572" s="37" t="s">
        <v>253</v>
      </c>
      <c r="B2572" s="37" t="s">
        <v>257</v>
      </c>
      <c r="C2572" s="37" t="s">
        <v>180</v>
      </c>
      <c r="D2572" s="37" t="s">
        <v>116</v>
      </c>
      <c r="E2572" s="38" t="n">
        <f aca="false">'Matrice des notes'!AM75</f>
        <v>1</v>
      </c>
      <c r="F2572" s="37" t="s">
        <v>655</v>
      </c>
      <c r="G2572" s="39" t="s">
        <v>656</v>
      </c>
    </row>
    <row r="2573" customFormat="false" ht="15" hidden="false" customHeight="false" outlineLevel="0" collapsed="false">
      <c r="A2573" s="37" t="s">
        <v>253</v>
      </c>
      <c r="B2573" s="37" t="s">
        <v>257</v>
      </c>
      <c r="C2573" s="37" t="s">
        <v>180</v>
      </c>
      <c r="D2573" s="37" t="s">
        <v>119</v>
      </c>
      <c r="E2573" s="38" t="n">
        <f aca="false">'Matrice des notes'!AN75</f>
        <v>1</v>
      </c>
      <c r="F2573" s="37" t="s">
        <v>631</v>
      </c>
      <c r="G2573" s="39" t="s">
        <v>654</v>
      </c>
    </row>
    <row r="2574" customFormat="false" ht="15" hidden="false" customHeight="false" outlineLevel="0" collapsed="false">
      <c r="A2574" s="37" t="s">
        <v>253</v>
      </c>
      <c r="B2574" s="37" t="s">
        <v>257</v>
      </c>
      <c r="C2574" s="37" t="s">
        <v>180</v>
      </c>
      <c r="D2574" s="37" t="s">
        <v>121</v>
      </c>
      <c r="E2574" s="38" t="n">
        <f aca="false">'Matrice des notes'!AO75</f>
        <v>1</v>
      </c>
      <c r="F2574" s="37" t="s">
        <v>657</v>
      </c>
      <c r="G2574" s="39" t="s">
        <v>658</v>
      </c>
    </row>
    <row r="2575" customFormat="false" ht="15" hidden="false" customHeight="false" outlineLevel="0" collapsed="false">
      <c r="A2575" s="37" t="s">
        <v>253</v>
      </c>
      <c r="B2575" s="37" t="s">
        <v>257</v>
      </c>
      <c r="C2575" s="37" t="s">
        <v>180</v>
      </c>
      <c r="D2575" s="37" t="s">
        <v>124</v>
      </c>
      <c r="E2575" s="38" t="n">
        <f aca="false">'Matrice des notes'!AP75</f>
        <v>3</v>
      </c>
      <c r="F2575" s="37" t="s">
        <v>659</v>
      </c>
      <c r="G2575" s="39" t="s">
        <v>660</v>
      </c>
    </row>
    <row r="2576" customFormat="false" ht="15" hidden="false" customHeight="false" outlineLevel="0" collapsed="false">
      <c r="A2576" s="37" t="s">
        <v>253</v>
      </c>
      <c r="B2576" s="37" t="s">
        <v>258</v>
      </c>
      <c r="C2576" s="37" t="s">
        <v>178</v>
      </c>
      <c r="D2576" s="37" t="s">
        <v>7</v>
      </c>
      <c r="E2576" s="38" t="n">
        <f aca="false">'Matrice des notes'!D76</f>
        <v>3</v>
      </c>
      <c r="F2576" s="37" t="s">
        <v>617</v>
      </c>
      <c r="G2576" s="39" t="s">
        <v>618</v>
      </c>
    </row>
    <row r="2577" customFormat="false" ht="15" hidden="false" customHeight="false" outlineLevel="0" collapsed="false">
      <c r="A2577" s="37" t="s">
        <v>253</v>
      </c>
      <c r="B2577" s="37" t="s">
        <v>258</v>
      </c>
      <c r="C2577" s="37" t="s">
        <v>178</v>
      </c>
      <c r="D2577" s="37" t="s">
        <v>11</v>
      </c>
      <c r="E2577" s="38" t="n">
        <f aca="false">'Matrice des notes'!E76</f>
        <v>2</v>
      </c>
      <c r="F2577" s="37" t="s">
        <v>852</v>
      </c>
      <c r="G2577" s="39" t="s">
        <v>1031</v>
      </c>
    </row>
    <row r="2578" customFormat="false" ht="15" hidden="false" customHeight="false" outlineLevel="0" collapsed="false">
      <c r="A2578" s="37" t="s">
        <v>253</v>
      </c>
      <c r="B2578" s="37" t="s">
        <v>258</v>
      </c>
      <c r="C2578" s="37" t="s">
        <v>178</v>
      </c>
      <c r="D2578" s="37" t="s">
        <v>14</v>
      </c>
      <c r="E2578" s="38" t="n">
        <f aca="false">'Matrice des notes'!F76</f>
        <v>3</v>
      </c>
      <c r="F2578" s="37" t="s">
        <v>695</v>
      </c>
      <c r="G2578" s="39" t="s">
        <v>1032</v>
      </c>
    </row>
    <row r="2579" customFormat="false" ht="15" hidden="false" customHeight="false" outlineLevel="0" collapsed="false">
      <c r="A2579" s="37" t="s">
        <v>253</v>
      </c>
      <c r="B2579" s="37" t="s">
        <v>258</v>
      </c>
      <c r="C2579" s="37" t="s">
        <v>178</v>
      </c>
      <c r="D2579" s="37" t="s">
        <v>17</v>
      </c>
      <c r="E2579" s="38" t="n">
        <f aca="false">'Matrice des notes'!G76</f>
        <v>2</v>
      </c>
      <c r="F2579" s="37" t="s">
        <v>1033</v>
      </c>
      <c r="G2579" s="39" t="s">
        <v>1034</v>
      </c>
    </row>
    <row r="2580" customFormat="false" ht="15" hidden="false" customHeight="false" outlineLevel="0" collapsed="false">
      <c r="A2580" s="37" t="s">
        <v>253</v>
      </c>
      <c r="B2580" s="37" t="s">
        <v>258</v>
      </c>
      <c r="C2580" s="37" t="s">
        <v>178</v>
      </c>
      <c r="D2580" s="37" t="s">
        <v>20</v>
      </c>
      <c r="E2580" s="38" t="n">
        <f aca="false">'Matrice des notes'!H76</f>
        <v>2</v>
      </c>
      <c r="F2580" s="37" t="s">
        <v>1035</v>
      </c>
      <c r="G2580" s="39" t="s">
        <v>1036</v>
      </c>
    </row>
    <row r="2581" customFormat="false" ht="15" hidden="false" customHeight="false" outlineLevel="0" collapsed="false">
      <c r="A2581" s="37" t="s">
        <v>253</v>
      </c>
      <c r="B2581" s="37" t="s">
        <v>258</v>
      </c>
      <c r="C2581" s="37" t="s">
        <v>178</v>
      </c>
      <c r="D2581" s="37" t="s">
        <v>23</v>
      </c>
      <c r="E2581" s="38" t="n">
        <f aca="false">'Matrice des notes'!I76</f>
        <v>2</v>
      </c>
      <c r="F2581" s="37" t="s">
        <v>1037</v>
      </c>
      <c r="G2581" s="39" t="s">
        <v>1038</v>
      </c>
    </row>
    <row r="2582" customFormat="false" ht="15" hidden="false" customHeight="false" outlineLevel="0" collapsed="false">
      <c r="A2582" s="37" t="s">
        <v>253</v>
      </c>
      <c r="B2582" s="37" t="s">
        <v>258</v>
      </c>
      <c r="C2582" s="37" t="s">
        <v>178</v>
      </c>
      <c r="D2582" s="37" t="s">
        <v>26</v>
      </c>
      <c r="E2582" s="38" t="n">
        <f aca="false">'Matrice des notes'!J76</f>
        <v>3</v>
      </c>
      <c r="F2582" s="37" t="s">
        <v>1039</v>
      </c>
      <c r="G2582" s="39" t="s">
        <v>1040</v>
      </c>
    </row>
    <row r="2583" customFormat="false" ht="15" hidden="false" customHeight="false" outlineLevel="0" collapsed="false">
      <c r="A2583" s="37" t="s">
        <v>253</v>
      </c>
      <c r="B2583" s="37" t="s">
        <v>258</v>
      </c>
      <c r="C2583" s="37" t="s">
        <v>178</v>
      </c>
      <c r="D2583" s="37" t="s">
        <v>30</v>
      </c>
      <c r="E2583" s="38" t="n">
        <f aca="false">'Matrice des notes'!K76</f>
        <v>3</v>
      </c>
      <c r="F2583" s="37" t="s">
        <v>677</v>
      </c>
      <c r="G2583" s="39" t="s">
        <v>1041</v>
      </c>
    </row>
    <row r="2584" customFormat="false" ht="15" hidden="false" customHeight="false" outlineLevel="0" collapsed="false">
      <c r="A2584" s="37" t="s">
        <v>253</v>
      </c>
      <c r="B2584" s="37" t="s">
        <v>258</v>
      </c>
      <c r="C2584" s="37" t="s">
        <v>178</v>
      </c>
      <c r="D2584" s="37" t="s">
        <v>34</v>
      </c>
      <c r="E2584" s="38" t="n">
        <f aca="false">'Matrice des notes'!L76</f>
        <v>3</v>
      </c>
      <c r="F2584" s="37" t="s">
        <v>992</v>
      </c>
      <c r="G2584" s="39" t="s">
        <v>993</v>
      </c>
    </row>
    <row r="2585" customFormat="false" ht="15" hidden="false" customHeight="false" outlineLevel="0" collapsed="false">
      <c r="A2585" s="37" t="s">
        <v>253</v>
      </c>
      <c r="B2585" s="37" t="s">
        <v>258</v>
      </c>
      <c r="C2585" s="37" t="s">
        <v>178</v>
      </c>
      <c r="D2585" s="37" t="s">
        <v>37</v>
      </c>
      <c r="E2585" s="38" t="n">
        <f aca="false">'Matrice des notes'!M76</f>
        <v>2</v>
      </c>
      <c r="F2585" s="37" t="s">
        <v>994</v>
      </c>
      <c r="G2585" s="39" t="s">
        <v>1017</v>
      </c>
    </row>
    <row r="2586" customFormat="false" ht="15" hidden="false" customHeight="false" outlineLevel="0" collapsed="false">
      <c r="A2586" s="37" t="s">
        <v>253</v>
      </c>
      <c r="B2586" s="37" t="s">
        <v>258</v>
      </c>
      <c r="C2586" s="37" t="s">
        <v>178</v>
      </c>
      <c r="D2586" s="37" t="s">
        <v>40</v>
      </c>
      <c r="E2586" s="38" t="n">
        <f aca="false">'Matrice des notes'!N76</f>
        <v>2</v>
      </c>
      <c r="F2586" s="37" t="s">
        <v>1042</v>
      </c>
      <c r="G2586" s="39" t="s">
        <v>1043</v>
      </c>
    </row>
    <row r="2587" customFormat="false" ht="15" hidden="false" customHeight="false" outlineLevel="0" collapsed="false">
      <c r="A2587" s="37" t="s">
        <v>253</v>
      </c>
      <c r="B2587" s="37" t="s">
        <v>258</v>
      </c>
      <c r="C2587" s="37" t="s">
        <v>178</v>
      </c>
      <c r="D2587" s="37" t="s">
        <v>43</v>
      </c>
      <c r="E2587" s="38" t="n">
        <f aca="false">'Matrice des notes'!O76</f>
        <v>2</v>
      </c>
      <c r="F2587" s="37" t="s">
        <v>635</v>
      </c>
      <c r="G2587" s="39" t="s">
        <v>636</v>
      </c>
    </row>
    <row r="2588" customFormat="false" ht="15" hidden="false" customHeight="false" outlineLevel="0" collapsed="false">
      <c r="A2588" s="37" t="s">
        <v>253</v>
      </c>
      <c r="B2588" s="37" t="s">
        <v>258</v>
      </c>
      <c r="C2588" s="37" t="s">
        <v>178</v>
      </c>
      <c r="D2588" s="37" t="s">
        <v>46</v>
      </c>
      <c r="E2588" s="38" t="n">
        <f aca="false">'Matrice des notes'!P76</f>
        <v>5</v>
      </c>
      <c r="F2588" s="37" t="s">
        <v>1019</v>
      </c>
      <c r="G2588" s="39" t="s">
        <v>1020</v>
      </c>
    </row>
    <row r="2589" customFormat="false" ht="15" hidden="false" customHeight="false" outlineLevel="0" collapsed="false">
      <c r="A2589" s="37" t="s">
        <v>253</v>
      </c>
      <c r="B2589" s="37" t="s">
        <v>258</v>
      </c>
      <c r="C2589" s="37" t="s">
        <v>179</v>
      </c>
      <c r="D2589" s="37" t="s">
        <v>49</v>
      </c>
      <c r="E2589" s="38" t="n">
        <f aca="false">'Matrice des notes'!Q76</f>
        <v>3</v>
      </c>
      <c r="F2589" s="37" t="s">
        <v>712</v>
      </c>
      <c r="G2589" s="39" t="s">
        <v>988</v>
      </c>
    </row>
    <row r="2590" customFormat="false" ht="15" hidden="false" customHeight="false" outlineLevel="0" collapsed="false">
      <c r="A2590" s="37" t="s">
        <v>253</v>
      </c>
      <c r="B2590" s="37" t="s">
        <v>258</v>
      </c>
      <c r="C2590" s="37" t="s">
        <v>179</v>
      </c>
      <c r="D2590" s="37" t="s">
        <v>53</v>
      </c>
      <c r="E2590" s="38" t="n">
        <f aca="false">'Matrice des notes'!R76</f>
        <v>3</v>
      </c>
      <c r="F2590" s="37" t="s">
        <v>992</v>
      </c>
      <c r="G2590" s="39" t="s">
        <v>996</v>
      </c>
    </row>
    <row r="2591" customFormat="false" ht="15" hidden="false" customHeight="false" outlineLevel="0" collapsed="false">
      <c r="A2591" s="37" t="s">
        <v>253</v>
      </c>
      <c r="B2591" s="37" t="s">
        <v>258</v>
      </c>
      <c r="C2591" s="37" t="s">
        <v>179</v>
      </c>
      <c r="D2591" s="37" t="s">
        <v>56</v>
      </c>
      <c r="E2591" s="38" t="n">
        <f aca="false">'Matrice des notes'!S76</f>
        <v>2</v>
      </c>
      <c r="F2591" s="37" t="s">
        <v>1037</v>
      </c>
      <c r="G2591" s="39" t="s">
        <v>1044</v>
      </c>
    </row>
    <row r="2592" customFormat="false" ht="15" hidden="false" customHeight="false" outlineLevel="0" collapsed="false">
      <c r="A2592" s="37" t="s">
        <v>253</v>
      </c>
      <c r="B2592" s="37" t="s">
        <v>258</v>
      </c>
      <c r="C2592" s="37" t="s">
        <v>179</v>
      </c>
      <c r="D2592" s="37" t="s">
        <v>59</v>
      </c>
      <c r="E2592" s="38" t="n">
        <f aca="false">'Matrice des notes'!T76</f>
        <v>2</v>
      </c>
      <c r="F2592" s="37" t="s">
        <v>1037</v>
      </c>
      <c r="G2592" s="39" t="s">
        <v>1045</v>
      </c>
    </row>
    <row r="2593" customFormat="false" ht="15" hidden="false" customHeight="false" outlineLevel="0" collapsed="false">
      <c r="A2593" s="37" t="s">
        <v>253</v>
      </c>
      <c r="B2593" s="37" t="s">
        <v>258</v>
      </c>
      <c r="C2593" s="37" t="s">
        <v>179</v>
      </c>
      <c r="D2593" s="37" t="s">
        <v>62</v>
      </c>
      <c r="E2593" s="38" t="n">
        <f aca="false">'Matrice des notes'!U76</f>
        <v>3</v>
      </c>
      <c r="F2593" s="37" t="s">
        <v>712</v>
      </c>
      <c r="G2593" s="39" t="s">
        <v>775</v>
      </c>
    </row>
    <row r="2594" customFormat="false" ht="15" hidden="false" customHeight="false" outlineLevel="0" collapsed="false">
      <c r="A2594" s="37" t="s">
        <v>253</v>
      </c>
      <c r="B2594" s="37" t="s">
        <v>258</v>
      </c>
      <c r="C2594" s="37" t="s">
        <v>179</v>
      </c>
      <c r="D2594" s="37" t="s">
        <v>65</v>
      </c>
      <c r="E2594" s="38" t="n">
        <f aca="false">'Matrice des notes'!V76</f>
        <v>3</v>
      </c>
      <c r="F2594" s="37" t="s">
        <v>997</v>
      </c>
      <c r="G2594" s="39" t="s">
        <v>1024</v>
      </c>
    </row>
    <row r="2595" customFormat="false" ht="15" hidden="false" customHeight="false" outlineLevel="0" collapsed="false">
      <c r="A2595" s="37" t="s">
        <v>253</v>
      </c>
      <c r="B2595" s="37" t="s">
        <v>258</v>
      </c>
      <c r="C2595" s="37" t="s">
        <v>179</v>
      </c>
      <c r="D2595" s="37" t="s">
        <v>68</v>
      </c>
      <c r="E2595" s="38" t="n">
        <f aca="false">'Matrice des notes'!W76</f>
        <v>2</v>
      </c>
      <c r="F2595" s="37" t="s">
        <v>649</v>
      </c>
      <c r="G2595" s="39" t="s">
        <v>650</v>
      </c>
    </row>
    <row r="2596" customFormat="false" ht="15" hidden="false" customHeight="false" outlineLevel="0" collapsed="false">
      <c r="A2596" s="37" t="s">
        <v>253</v>
      </c>
      <c r="B2596" s="37" t="s">
        <v>258</v>
      </c>
      <c r="C2596" s="37" t="s">
        <v>179</v>
      </c>
      <c r="D2596" s="37" t="s">
        <v>71</v>
      </c>
      <c r="E2596" s="38" t="n">
        <f aca="false">'Matrice des notes'!X76</f>
        <v>2</v>
      </c>
      <c r="F2596" s="37" t="s">
        <v>1046</v>
      </c>
      <c r="G2596" s="39" t="s">
        <v>1047</v>
      </c>
    </row>
    <row r="2597" customFormat="false" ht="15" hidden="false" customHeight="false" outlineLevel="0" collapsed="false">
      <c r="A2597" s="37" t="s">
        <v>253</v>
      </c>
      <c r="B2597" s="37" t="s">
        <v>258</v>
      </c>
      <c r="C2597" s="37" t="s">
        <v>179</v>
      </c>
      <c r="D2597" s="37" t="s">
        <v>74</v>
      </c>
      <c r="E2597" s="38" t="n">
        <f aca="false">'Matrice des notes'!Y76</f>
        <v>4</v>
      </c>
      <c r="F2597" s="37" t="s">
        <v>1026</v>
      </c>
      <c r="G2597" s="39" t="s">
        <v>1027</v>
      </c>
    </row>
    <row r="2598" customFormat="false" ht="15" hidden="false" customHeight="false" outlineLevel="0" collapsed="false">
      <c r="A2598" s="37" t="s">
        <v>253</v>
      </c>
      <c r="B2598" s="37" t="s">
        <v>258</v>
      </c>
      <c r="C2598" s="37" t="s">
        <v>179</v>
      </c>
      <c r="D2598" s="37" t="s">
        <v>77</v>
      </c>
      <c r="E2598" s="38" t="n">
        <f aca="false">'Matrice des notes'!Z76</f>
        <v>4</v>
      </c>
      <c r="F2598" s="37" t="s">
        <v>623</v>
      </c>
      <c r="G2598" s="39" t="s">
        <v>1048</v>
      </c>
    </row>
    <row r="2599" customFormat="false" ht="15" hidden="false" customHeight="false" outlineLevel="0" collapsed="false">
      <c r="A2599" s="37" t="s">
        <v>253</v>
      </c>
      <c r="B2599" s="37" t="s">
        <v>258</v>
      </c>
      <c r="C2599" s="37" t="s">
        <v>179</v>
      </c>
      <c r="D2599" s="37" t="s">
        <v>80</v>
      </c>
      <c r="E2599" s="38" t="n">
        <f aca="false">'Matrice des notes'!AA76</f>
        <v>3</v>
      </c>
      <c r="F2599" s="37" t="s">
        <v>1000</v>
      </c>
      <c r="G2599" s="39" t="s">
        <v>1030</v>
      </c>
    </row>
    <row r="2600" customFormat="false" ht="15" hidden="false" customHeight="false" outlineLevel="0" collapsed="false">
      <c r="A2600" s="37" t="s">
        <v>253</v>
      </c>
      <c r="B2600" s="37" t="s">
        <v>258</v>
      </c>
      <c r="C2600" s="37" t="s">
        <v>179</v>
      </c>
      <c r="D2600" s="37" t="s">
        <v>83</v>
      </c>
      <c r="E2600" s="38" t="n">
        <f aca="false">'Matrice des notes'!AB76</f>
        <v>3</v>
      </c>
      <c r="F2600" s="37" t="s">
        <v>712</v>
      </c>
      <c r="G2600" s="39" t="s">
        <v>713</v>
      </c>
    </row>
    <row r="2601" customFormat="false" ht="15" hidden="false" customHeight="false" outlineLevel="0" collapsed="false">
      <c r="A2601" s="37" t="s">
        <v>253</v>
      </c>
      <c r="B2601" s="37" t="s">
        <v>258</v>
      </c>
      <c r="C2601" s="37" t="s">
        <v>179</v>
      </c>
      <c r="D2601" s="37" t="s">
        <v>86</v>
      </c>
      <c r="E2601" s="38" t="n">
        <f aca="false">'Matrice des notes'!AC76</f>
        <v>2</v>
      </c>
      <c r="F2601" s="37" t="s">
        <v>652</v>
      </c>
      <c r="G2601" s="39" t="s">
        <v>653</v>
      </c>
    </row>
    <row r="2602" customFormat="false" ht="15" hidden="false" customHeight="false" outlineLevel="0" collapsed="false">
      <c r="A2602" s="37" t="s">
        <v>253</v>
      </c>
      <c r="B2602" s="37" t="s">
        <v>258</v>
      </c>
      <c r="C2602" s="37" t="s">
        <v>179</v>
      </c>
      <c r="D2602" s="37" t="s">
        <v>89</v>
      </c>
      <c r="E2602" s="38" t="n">
        <f aca="false">'Matrice des notes'!AD76</f>
        <v>3</v>
      </c>
      <c r="F2602" s="37" t="s">
        <v>652</v>
      </c>
      <c r="G2602" s="39" t="s">
        <v>653</v>
      </c>
    </row>
    <row r="2603" customFormat="false" ht="15" hidden="false" customHeight="false" outlineLevel="0" collapsed="false">
      <c r="A2603" s="37" t="s">
        <v>253</v>
      </c>
      <c r="B2603" s="37" t="s">
        <v>258</v>
      </c>
      <c r="C2603" s="37" t="s">
        <v>179</v>
      </c>
      <c r="D2603" s="37" t="s">
        <v>92</v>
      </c>
      <c r="E2603" s="38" t="n">
        <f aca="false">'Matrice des notes'!AE76</f>
        <v>2</v>
      </c>
      <c r="F2603" s="37" t="s">
        <v>708</v>
      </c>
      <c r="G2603" s="39" t="s">
        <v>714</v>
      </c>
    </row>
    <row r="2604" customFormat="false" ht="15" hidden="false" customHeight="false" outlineLevel="0" collapsed="false">
      <c r="A2604" s="37" t="s">
        <v>253</v>
      </c>
      <c r="B2604" s="37" t="s">
        <v>258</v>
      </c>
      <c r="C2604" s="37" t="s">
        <v>180</v>
      </c>
      <c r="D2604" s="37" t="s">
        <v>95</v>
      </c>
      <c r="E2604" s="38" t="n">
        <f aca="false">'Matrice des notes'!AF76</f>
        <v>1</v>
      </c>
      <c r="F2604" s="37" t="s">
        <v>631</v>
      </c>
      <c r="G2604" s="39" t="s">
        <v>654</v>
      </c>
    </row>
    <row r="2605" customFormat="false" ht="15" hidden="false" customHeight="false" outlineLevel="0" collapsed="false">
      <c r="A2605" s="37" t="s">
        <v>253</v>
      </c>
      <c r="B2605" s="37" t="s">
        <v>258</v>
      </c>
      <c r="C2605" s="37" t="s">
        <v>180</v>
      </c>
      <c r="D2605" s="37" t="s">
        <v>99</v>
      </c>
      <c r="E2605" s="38" t="n">
        <f aca="false">'Matrice des notes'!AG76</f>
        <v>1</v>
      </c>
      <c r="F2605" s="37" t="s">
        <v>655</v>
      </c>
      <c r="G2605" s="39" t="s">
        <v>656</v>
      </c>
    </row>
    <row r="2606" customFormat="false" ht="15" hidden="false" customHeight="false" outlineLevel="0" collapsed="false">
      <c r="A2606" s="37" t="s">
        <v>253</v>
      </c>
      <c r="B2606" s="37" t="s">
        <v>258</v>
      </c>
      <c r="C2606" s="37" t="s">
        <v>180</v>
      </c>
      <c r="D2606" s="37" t="s">
        <v>102</v>
      </c>
      <c r="E2606" s="38" t="n">
        <f aca="false">'Matrice des notes'!AH76</f>
        <v>1</v>
      </c>
      <c r="F2606" s="37" t="s">
        <v>655</v>
      </c>
      <c r="G2606" s="39" t="s">
        <v>656</v>
      </c>
    </row>
    <row r="2607" customFormat="false" ht="15" hidden="false" customHeight="false" outlineLevel="0" collapsed="false">
      <c r="A2607" s="37" t="s">
        <v>253</v>
      </c>
      <c r="B2607" s="37" t="s">
        <v>258</v>
      </c>
      <c r="C2607" s="37" t="s">
        <v>180</v>
      </c>
      <c r="D2607" s="37" t="s">
        <v>104</v>
      </c>
      <c r="E2607" s="38" t="n">
        <f aca="false">'Matrice des notes'!AI76</f>
        <v>1</v>
      </c>
      <c r="F2607" s="37" t="s">
        <v>631</v>
      </c>
      <c r="G2607" s="39" t="s">
        <v>654</v>
      </c>
    </row>
    <row r="2608" customFormat="false" ht="15" hidden="false" customHeight="false" outlineLevel="0" collapsed="false">
      <c r="A2608" s="37" t="s">
        <v>253</v>
      </c>
      <c r="B2608" s="37" t="s">
        <v>258</v>
      </c>
      <c r="C2608" s="37" t="s">
        <v>180</v>
      </c>
      <c r="D2608" s="37" t="s">
        <v>107</v>
      </c>
      <c r="E2608" s="38" t="n">
        <f aca="false">'Matrice des notes'!AJ76</f>
        <v>1</v>
      </c>
      <c r="F2608" s="37" t="s">
        <v>631</v>
      </c>
      <c r="G2608" s="39" t="s">
        <v>654</v>
      </c>
    </row>
    <row r="2609" customFormat="false" ht="15" hidden="false" customHeight="false" outlineLevel="0" collapsed="false">
      <c r="A2609" s="37" t="s">
        <v>253</v>
      </c>
      <c r="B2609" s="37" t="s">
        <v>258</v>
      </c>
      <c r="C2609" s="37" t="s">
        <v>180</v>
      </c>
      <c r="D2609" s="37" t="s">
        <v>110</v>
      </c>
      <c r="E2609" s="38" t="n">
        <f aca="false">'Matrice des notes'!AK76</f>
        <v>1</v>
      </c>
      <c r="F2609" s="37" t="s">
        <v>631</v>
      </c>
      <c r="G2609" s="39" t="s">
        <v>654</v>
      </c>
    </row>
    <row r="2610" customFormat="false" ht="15" hidden="false" customHeight="false" outlineLevel="0" collapsed="false">
      <c r="A2610" s="37" t="s">
        <v>253</v>
      </c>
      <c r="B2610" s="37" t="s">
        <v>258</v>
      </c>
      <c r="C2610" s="37" t="s">
        <v>180</v>
      </c>
      <c r="D2610" s="37" t="s">
        <v>113</v>
      </c>
      <c r="E2610" s="38" t="n">
        <f aca="false">'Matrice des notes'!AL76</f>
        <v>1</v>
      </c>
      <c r="F2610" s="37" t="s">
        <v>631</v>
      </c>
      <c r="G2610" s="39" t="s">
        <v>654</v>
      </c>
    </row>
    <row r="2611" customFormat="false" ht="15" hidden="false" customHeight="false" outlineLevel="0" collapsed="false">
      <c r="A2611" s="37" t="s">
        <v>253</v>
      </c>
      <c r="B2611" s="37" t="s">
        <v>258</v>
      </c>
      <c r="C2611" s="37" t="s">
        <v>180</v>
      </c>
      <c r="D2611" s="37" t="s">
        <v>116</v>
      </c>
      <c r="E2611" s="38" t="n">
        <f aca="false">'Matrice des notes'!AM76</f>
        <v>1</v>
      </c>
      <c r="F2611" s="37" t="s">
        <v>655</v>
      </c>
      <c r="G2611" s="39" t="s">
        <v>656</v>
      </c>
    </row>
    <row r="2612" customFormat="false" ht="15" hidden="false" customHeight="false" outlineLevel="0" collapsed="false">
      <c r="A2612" s="37" t="s">
        <v>253</v>
      </c>
      <c r="B2612" s="37" t="s">
        <v>258</v>
      </c>
      <c r="C2612" s="37" t="s">
        <v>180</v>
      </c>
      <c r="D2612" s="37" t="s">
        <v>119</v>
      </c>
      <c r="E2612" s="38" t="n">
        <f aca="false">'Matrice des notes'!AN76</f>
        <v>1</v>
      </c>
      <c r="F2612" s="37" t="s">
        <v>631</v>
      </c>
      <c r="G2612" s="39" t="s">
        <v>654</v>
      </c>
    </row>
    <row r="2613" customFormat="false" ht="15" hidden="false" customHeight="false" outlineLevel="0" collapsed="false">
      <c r="A2613" s="37" t="s">
        <v>253</v>
      </c>
      <c r="B2613" s="37" t="s">
        <v>258</v>
      </c>
      <c r="C2613" s="37" t="s">
        <v>180</v>
      </c>
      <c r="D2613" s="37" t="s">
        <v>121</v>
      </c>
      <c r="E2613" s="38" t="n">
        <f aca="false">'Matrice des notes'!AO76</f>
        <v>1</v>
      </c>
      <c r="F2613" s="37" t="s">
        <v>657</v>
      </c>
      <c r="G2613" s="39" t="s">
        <v>658</v>
      </c>
    </row>
    <row r="2614" customFormat="false" ht="15" hidden="false" customHeight="false" outlineLevel="0" collapsed="false">
      <c r="A2614" s="37" t="s">
        <v>253</v>
      </c>
      <c r="B2614" s="37" t="s">
        <v>258</v>
      </c>
      <c r="C2614" s="37" t="s">
        <v>180</v>
      </c>
      <c r="D2614" s="37" t="s">
        <v>124</v>
      </c>
      <c r="E2614" s="38" t="n">
        <f aca="false">'Matrice des notes'!AP76</f>
        <v>2</v>
      </c>
      <c r="F2614" s="37" t="s">
        <v>715</v>
      </c>
      <c r="G2614" s="39" t="s">
        <v>716</v>
      </c>
    </row>
    <row r="2615" customFormat="false" ht="15" hidden="false" customHeight="false" outlineLevel="0" collapsed="false">
      <c r="A2615" s="37" t="s">
        <v>253</v>
      </c>
      <c r="B2615" s="37" t="s">
        <v>259</v>
      </c>
      <c r="C2615" s="37" t="s">
        <v>178</v>
      </c>
      <c r="D2615" s="37" t="s">
        <v>7</v>
      </c>
      <c r="E2615" s="38" t="n">
        <f aca="false">'Matrice des notes'!D77</f>
        <v>3</v>
      </c>
      <c r="F2615" s="37" t="s">
        <v>617</v>
      </c>
      <c r="G2615" s="39" t="s">
        <v>618</v>
      </c>
    </row>
    <row r="2616" customFormat="false" ht="15" hidden="false" customHeight="false" outlineLevel="0" collapsed="false">
      <c r="A2616" s="37" t="s">
        <v>253</v>
      </c>
      <c r="B2616" s="37" t="s">
        <v>259</v>
      </c>
      <c r="C2616" s="37" t="s">
        <v>178</v>
      </c>
      <c r="D2616" s="37" t="s">
        <v>11</v>
      </c>
      <c r="E2616" s="38" t="n">
        <f aca="false">'Matrice des notes'!E77</f>
        <v>4</v>
      </c>
      <c r="F2616" s="37" t="s">
        <v>1049</v>
      </c>
      <c r="G2616" s="39" t="s">
        <v>1050</v>
      </c>
    </row>
    <row r="2617" customFormat="false" ht="15" hidden="false" customHeight="false" outlineLevel="0" collapsed="false">
      <c r="A2617" s="37" t="s">
        <v>253</v>
      </c>
      <c r="B2617" s="37" t="s">
        <v>259</v>
      </c>
      <c r="C2617" s="37" t="s">
        <v>178</v>
      </c>
      <c r="D2617" s="37" t="s">
        <v>14</v>
      </c>
      <c r="E2617" s="38" t="n">
        <f aca="false">'Matrice des notes'!F77</f>
        <v>4</v>
      </c>
      <c r="F2617" s="37" t="s">
        <v>1008</v>
      </c>
      <c r="G2617" s="39" t="s">
        <v>1009</v>
      </c>
    </row>
    <row r="2618" customFormat="false" ht="15" hidden="false" customHeight="false" outlineLevel="0" collapsed="false">
      <c r="A2618" s="37" t="s">
        <v>253</v>
      </c>
      <c r="B2618" s="37" t="s">
        <v>259</v>
      </c>
      <c r="C2618" s="37" t="s">
        <v>178</v>
      </c>
      <c r="D2618" s="37" t="s">
        <v>17</v>
      </c>
      <c r="E2618" s="38" t="n">
        <f aca="false">'Matrice des notes'!G77</f>
        <v>4</v>
      </c>
      <c r="F2618" s="37" t="s">
        <v>623</v>
      </c>
      <c r="G2618" s="39" t="s">
        <v>1051</v>
      </c>
    </row>
    <row r="2619" customFormat="false" ht="15" hidden="false" customHeight="false" outlineLevel="0" collapsed="false">
      <c r="A2619" s="37" t="s">
        <v>253</v>
      </c>
      <c r="B2619" s="37" t="s">
        <v>259</v>
      </c>
      <c r="C2619" s="37" t="s">
        <v>178</v>
      </c>
      <c r="D2619" s="37" t="s">
        <v>20</v>
      </c>
      <c r="E2619" s="38" t="n">
        <f aca="false">'Matrice des notes'!H77</f>
        <v>4</v>
      </c>
      <c r="F2619" s="37" t="s">
        <v>1052</v>
      </c>
      <c r="G2619" s="39" t="s">
        <v>1053</v>
      </c>
    </row>
    <row r="2620" customFormat="false" ht="15" hidden="false" customHeight="false" outlineLevel="0" collapsed="false">
      <c r="A2620" s="37" t="s">
        <v>253</v>
      </c>
      <c r="B2620" s="37" t="s">
        <v>259</v>
      </c>
      <c r="C2620" s="37" t="s">
        <v>178</v>
      </c>
      <c r="D2620" s="37" t="s">
        <v>23</v>
      </c>
      <c r="E2620" s="38" t="n">
        <f aca="false">'Matrice des notes'!I77</f>
        <v>4</v>
      </c>
      <c r="F2620" s="37" t="s">
        <v>623</v>
      </c>
      <c r="G2620" s="39" t="s">
        <v>1051</v>
      </c>
    </row>
    <row r="2621" customFormat="false" ht="15" hidden="false" customHeight="false" outlineLevel="0" collapsed="false">
      <c r="A2621" s="37" t="s">
        <v>253</v>
      </c>
      <c r="B2621" s="37" t="s">
        <v>259</v>
      </c>
      <c r="C2621" s="37" t="s">
        <v>178</v>
      </c>
      <c r="D2621" s="37" t="s">
        <v>26</v>
      </c>
      <c r="E2621" s="38" t="n">
        <f aca="false">'Matrice des notes'!J77</f>
        <v>5</v>
      </c>
      <c r="F2621" s="37" t="s">
        <v>1013</v>
      </c>
      <c r="G2621" s="39" t="s">
        <v>1014</v>
      </c>
    </row>
    <row r="2622" customFormat="false" ht="15" hidden="false" customHeight="false" outlineLevel="0" collapsed="false">
      <c r="A2622" s="37" t="s">
        <v>253</v>
      </c>
      <c r="B2622" s="37" t="s">
        <v>259</v>
      </c>
      <c r="C2622" s="37" t="s">
        <v>178</v>
      </c>
      <c r="D2622" s="37" t="s">
        <v>30</v>
      </c>
      <c r="E2622" s="38" t="n">
        <f aca="false">'Matrice des notes'!K77</f>
        <v>5</v>
      </c>
      <c r="F2622" s="37" t="s">
        <v>1015</v>
      </c>
      <c r="G2622" s="39" t="s">
        <v>1016</v>
      </c>
    </row>
    <row r="2623" customFormat="false" ht="15" hidden="false" customHeight="false" outlineLevel="0" collapsed="false">
      <c r="A2623" s="37" t="s">
        <v>253</v>
      </c>
      <c r="B2623" s="37" t="s">
        <v>259</v>
      </c>
      <c r="C2623" s="37" t="s">
        <v>178</v>
      </c>
      <c r="D2623" s="37" t="s">
        <v>34</v>
      </c>
      <c r="E2623" s="38" t="n">
        <f aca="false">'Matrice des notes'!L77</f>
        <v>3</v>
      </c>
      <c r="F2623" s="37" t="s">
        <v>992</v>
      </c>
      <c r="G2623" s="39" t="s">
        <v>993</v>
      </c>
    </row>
    <row r="2624" customFormat="false" ht="15" hidden="false" customHeight="false" outlineLevel="0" collapsed="false">
      <c r="A2624" s="37" t="s">
        <v>253</v>
      </c>
      <c r="B2624" s="37" t="s">
        <v>259</v>
      </c>
      <c r="C2624" s="37" t="s">
        <v>178</v>
      </c>
      <c r="D2624" s="37" t="s">
        <v>37</v>
      </c>
      <c r="E2624" s="38" t="n">
        <f aca="false">'Matrice des notes'!M77</f>
        <v>2</v>
      </c>
      <c r="F2624" s="37" t="s">
        <v>994</v>
      </c>
      <c r="G2624" s="39" t="s">
        <v>1017</v>
      </c>
    </row>
    <row r="2625" customFormat="false" ht="22.35" hidden="false" customHeight="false" outlineLevel="0" collapsed="false">
      <c r="A2625" s="37" t="s">
        <v>253</v>
      </c>
      <c r="B2625" s="37" t="s">
        <v>259</v>
      </c>
      <c r="C2625" s="37" t="s">
        <v>178</v>
      </c>
      <c r="D2625" s="37" t="s">
        <v>40</v>
      </c>
      <c r="E2625" s="38" t="n">
        <f aca="false">'Matrice des notes'!N77</f>
        <v>4</v>
      </c>
      <c r="F2625" s="37" t="s">
        <v>621</v>
      </c>
      <c r="G2625" s="39" t="s">
        <v>1054</v>
      </c>
    </row>
    <row r="2626" customFormat="false" ht="15" hidden="false" customHeight="false" outlineLevel="0" collapsed="false">
      <c r="A2626" s="37" t="s">
        <v>253</v>
      </c>
      <c r="B2626" s="37" t="s">
        <v>259</v>
      </c>
      <c r="C2626" s="37" t="s">
        <v>178</v>
      </c>
      <c r="D2626" s="37" t="s">
        <v>43</v>
      </c>
      <c r="E2626" s="38" t="n">
        <f aca="false">'Matrice des notes'!O77</f>
        <v>2</v>
      </c>
      <c r="F2626" s="37" t="s">
        <v>635</v>
      </c>
      <c r="G2626" s="39" t="s">
        <v>636</v>
      </c>
    </row>
    <row r="2627" customFormat="false" ht="15" hidden="false" customHeight="false" outlineLevel="0" collapsed="false">
      <c r="A2627" s="37" t="s">
        <v>253</v>
      </c>
      <c r="B2627" s="37" t="s">
        <v>259</v>
      </c>
      <c r="C2627" s="37" t="s">
        <v>178</v>
      </c>
      <c r="D2627" s="37" t="s">
        <v>46</v>
      </c>
      <c r="E2627" s="38" t="n">
        <f aca="false">'Matrice des notes'!P77</f>
        <v>3</v>
      </c>
      <c r="F2627" s="37" t="s">
        <v>637</v>
      </c>
      <c r="G2627" s="39" t="s">
        <v>638</v>
      </c>
    </row>
    <row r="2628" customFormat="false" ht="22.35" hidden="false" customHeight="false" outlineLevel="0" collapsed="false">
      <c r="A2628" s="37" t="s">
        <v>253</v>
      </c>
      <c r="B2628" s="37" t="s">
        <v>259</v>
      </c>
      <c r="C2628" s="37" t="s">
        <v>179</v>
      </c>
      <c r="D2628" s="37" t="s">
        <v>49</v>
      </c>
      <c r="E2628" s="38" t="n">
        <f aca="false">'Matrice des notes'!Q77</f>
        <v>4</v>
      </c>
      <c r="F2628" s="37" t="s">
        <v>688</v>
      </c>
      <c r="G2628" s="39" t="s">
        <v>1055</v>
      </c>
    </row>
    <row r="2629" customFormat="false" ht="15" hidden="false" customHeight="false" outlineLevel="0" collapsed="false">
      <c r="A2629" s="37" t="s">
        <v>253</v>
      </c>
      <c r="B2629" s="37" t="s">
        <v>259</v>
      </c>
      <c r="C2629" s="37" t="s">
        <v>179</v>
      </c>
      <c r="D2629" s="37" t="s">
        <v>53</v>
      </c>
      <c r="E2629" s="38" t="n">
        <f aca="false">'Matrice des notes'!R77</f>
        <v>3</v>
      </c>
      <c r="F2629" s="37" t="s">
        <v>992</v>
      </c>
      <c r="G2629" s="39" t="s">
        <v>996</v>
      </c>
    </row>
    <row r="2630" customFormat="false" ht="22.35" hidden="false" customHeight="false" outlineLevel="0" collapsed="false">
      <c r="A2630" s="37" t="s">
        <v>253</v>
      </c>
      <c r="B2630" s="37" t="s">
        <v>259</v>
      </c>
      <c r="C2630" s="37" t="s">
        <v>179</v>
      </c>
      <c r="D2630" s="37" t="s">
        <v>56</v>
      </c>
      <c r="E2630" s="38" t="n">
        <f aca="false">'Matrice des notes'!S77</f>
        <v>4</v>
      </c>
      <c r="F2630" s="37" t="s">
        <v>643</v>
      </c>
      <c r="G2630" s="39" t="s">
        <v>1056</v>
      </c>
    </row>
    <row r="2631" customFormat="false" ht="15" hidden="false" customHeight="false" outlineLevel="0" collapsed="false">
      <c r="A2631" s="37" t="s">
        <v>253</v>
      </c>
      <c r="B2631" s="37" t="s">
        <v>259</v>
      </c>
      <c r="C2631" s="37" t="s">
        <v>179</v>
      </c>
      <c r="D2631" s="37" t="s">
        <v>59</v>
      </c>
      <c r="E2631" s="38" t="n">
        <f aca="false">'Matrice des notes'!T77</f>
        <v>4</v>
      </c>
      <c r="F2631" s="37" t="s">
        <v>623</v>
      </c>
      <c r="G2631" s="39" t="s">
        <v>1051</v>
      </c>
    </row>
    <row r="2632" customFormat="false" ht="22.35" hidden="false" customHeight="false" outlineLevel="0" collapsed="false">
      <c r="A2632" s="37" t="s">
        <v>253</v>
      </c>
      <c r="B2632" s="37" t="s">
        <v>259</v>
      </c>
      <c r="C2632" s="37" t="s">
        <v>179</v>
      </c>
      <c r="D2632" s="37" t="s">
        <v>62</v>
      </c>
      <c r="E2632" s="38" t="n">
        <f aca="false">'Matrice des notes'!U77</f>
        <v>4</v>
      </c>
      <c r="F2632" s="37" t="s">
        <v>621</v>
      </c>
      <c r="G2632" s="39" t="s">
        <v>1057</v>
      </c>
    </row>
    <row r="2633" customFormat="false" ht="15" hidden="false" customHeight="false" outlineLevel="0" collapsed="false">
      <c r="A2633" s="37" t="s">
        <v>253</v>
      </c>
      <c r="B2633" s="37" t="s">
        <v>259</v>
      </c>
      <c r="C2633" s="37" t="s">
        <v>179</v>
      </c>
      <c r="D2633" s="37" t="s">
        <v>65</v>
      </c>
      <c r="E2633" s="38" t="n">
        <f aca="false">'Matrice des notes'!V77</f>
        <v>3</v>
      </c>
      <c r="F2633" s="37" t="s">
        <v>997</v>
      </c>
      <c r="G2633" s="39" t="s">
        <v>998</v>
      </c>
    </row>
    <row r="2634" customFormat="false" ht="15" hidden="false" customHeight="false" outlineLevel="0" collapsed="false">
      <c r="A2634" s="37" t="s">
        <v>253</v>
      </c>
      <c r="B2634" s="37" t="s">
        <v>259</v>
      </c>
      <c r="C2634" s="37" t="s">
        <v>179</v>
      </c>
      <c r="D2634" s="37" t="s">
        <v>68</v>
      </c>
      <c r="E2634" s="38" t="n">
        <f aca="false">'Matrice des notes'!W77</f>
        <v>2</v>
      </c>
      <c r="F2634" s="37" t="s">
        <v>649</v>
      </c>
      <c r="G2634" s="39" t="s">
        <v>650</v>
      </c>
    </row>
    <row r="2635" customFormat="false" ht="22.35" hidden="false" customHeight="false" outlineLevel="0" collapsed="false">
      <c r="A2635" s="37" t="s">
        <v>253</v>
      </c>
      <c r="B2635" s="37" t="s">
        <v>259</v>
      </c>
      <c r="C2635" s="37" t="s">
        <v>179</v>
      </c>
      <c r="D2635" s="37" t="s">
        <v>71</v>
      </c>
      <c r="E2635" s="38" t="n">
        <f aca="false">'Matrice des notes'!X77</f>
        <v>4</v>
      </c>
      <c r="F2635" s="37" t="s">
        <v>688</v>
      </c>
      <c r="G2635" s="39" t="s">
        <v>1058</v>
      </c>
    </row>
    <row r="2636" customFormat="false" ht="15" hidden="false" customHeight="false" outlineLevel="0" collapsed="false">
      <c r="A2636" s="37" t="s">
        <v>253</v>
      </c>
      <c r="B2636" s="37" t="s">
        <v>259</v>
      </c>
      <c r="C2636" s="37" t="s">
        <v>179</v>
      </c>
      <c r="D2636" s="37" t="s">
        <v>74</v>
      </c>
      <c r="E2636" s="38" t="n">
        <f aca="false">'Matrice des notes'!Y77</f>
        <v>3</v>
      </c>
      <c r="F2636" s="37" t="s">
        <v>997</v>
      </c>
      <c r="G2636" s="39" t="s">
        <v>999</v>
      </c>
    </row>
    <row r="2637" customFormat="false" ht="15" hidden="false" customHeight="false" outlineLevel="0" collapsed="false">
      <c r="A2637" s="37" t="s">
        <v>253</v>
      </c>
      <c r="B2637" s="37" t="s">
        <v>259</v>
      </c>
      <c r="C2637" s="37" t="s">
        <v>179</v>
      </c>
      <c r="D2637" s="37" t="s">
        <v>77</v>
      </c>
      <c r="E2637" s="38" t="n">
        <f aca="false">'Matrice des notes'!Z77</f>
        <v>3</v>
      </c>
      <c r="F2637" s="37" t="s">
        <v>637</v>
      </c>
      <c r="G2637" s="39" t="s">
        <v>638</v>
      </c>
    </row>
    <row r="2638" customFormat="false" ht="15" hidden="false" customHeight="false" outlineLevel="0" collapsed="false">
      <c r="A2638" s="37" t="s">
        <v>253</v>
      </c>
      <c r="B2638" s="37" t="s">
        <v>259</v>
      </c>
      <c r="C2638" s="37" t="s">
        <v>179</v>
      </c>
      <c r="D2638" s="37" t="s">
        <v>80</v>
      </c>
      <c r="E2638" s="38" t="n">
        <f aca="false">'Matrice des notes'!AA77</f>
        <v>3</v>
      </c>
      <c r="F2638" s="37" t="s">
        <v>1000</v>
      </c>
      <c r="G2638" s="39" t="s">
        <v>1001</v>
      </c>
    </row>
    <row r="2639" customFormat="false" ht="15" hidden="false" customHeight="false" outlineLevel="0" collapsed="false">
      <c r="A2639" s="37" t="s">
        <v>253</v>
      </c>
      <c r="B2639" s="37" t="s">
        <v>259</v>
      </c>
      <c r="C2639" s="37" t="s">
        <v>179</v>
      </c>
      <c r="D2639" s="37" t="s">
        <v>83</v>
      </c>
      <c r="E2639" s="38" t="n">
        <f aca="false">'Matrice des notes'!AB77</f>
        <v>3</v>
      </c>
      <c r="F2639" s="37" t="s">
        <v>652</v>
      </c>
      <c r="G2639" s="39" t="s">
        <v>653</v>
      </c>
    </row>
    <row r="2640" customFormat="false" ht="15" hidden="false" customHeight="false" outlineLevel="0" collapsed="false">
      <c r="A2640" s="37" t="s">
        <v>253</v>
      </c>
      <c r="B2640" s="37" t="s">
        <v>259</v>
      </c>
      <c r="C2640" s="37" t="s">
        <v>179</v>
      </c>
      <c r="D2640" s="37" t="s">
        <v>86</v>
      </c>
      <c r="E2640" s="38" t="n">
        <f aca="false">'Matrice des notes'!AC77</f>
        <v>2</v>
      </c>
      <c r="F2640" s="37" t="s">
        <v>637</v>
      </c>
      <c r="G2640" s="39" t="s">
        <v>638</v>
      </c>
    </row>
    <row r="2641" customFormat="false" ht="15" hidden="false" customHeight="false" outlineLevel="0" collapsed="false">
      <c r="A2641" s="37" t="s">
        <v>253</v>
      </c>
      <c r="B2641" s="37" t="s">
        <v>259</v>
      </c>
      <c r="C2641" s="37" t="s">
        <v>179</v>
      </c>
      <c r="D2641" s="37" t="s">
        <v>89</v>
      </c>
      <c r="E2641" s="38" t="n">
        <f aca="false">'Matrice des notes'!AD77</f>
        <v>3</v>
      </c>
      <c r="F2641" s="37" t="s">
        <v>637</v>
      </c>
      <c r="G2641" s="39" t="s">
        <v>638</v>
      </c>
    </row>
    <row r="2642" customFormat="false" ht="15" hidden="false" customHeight="false" outlineLevel="0" collapsed="false">
      <c r="A2642" s="37" t="s">
        <v>253</v>
      </c>
      <c r="B2642" s="37" t="s">
        <v>259</v>
      </c>
      <c r="C2642" s="37" t="s">
        <v>179</v>
      </c>
      <c r="D2642" s="37" t="s">
        <v>92</v>
      </c>
      <c r="E2642" s="38" t="n">
        <f aca="false">'Matrice des notes'!AE77</f>
        <v>2</v>
      </c>
      <c r="F2642" s="37" t="s">
        <v>637</v>
      </c>
      <c r="G2642" s="39" t="s">
        <v>638</v>
      </c>
    </row>
    <row r="2643" customFormat="false" ht="15" hidden="false" customHeight="false" outlineLevel="0" collapsed="false">
      <c r="A2643" s="37" t="s">
        <v>253</v>
      </c>
      <c r="B2643" s="37" t="s">
        <v>259</v>
      </c>
      <c r="C2643" s="37" t="s">
        <v>180</v>
      </c>
      <c r="D2643" s="37" t="s">
        <v>95</v>
      </c>
      <c r="E2643" s="38" t="n">
        <f aca="false">'Matrice des notes'!AF77</f>
        <v>1</v>
      </c>
      <c r="F2643" s="37" t="s">
        <v>631</v>
      </c>
      <c r="G2643" s="39" t="s">
        <v>654</v>
      </c>
    </row>
    <row r="2644" customFormat="false" ht="15" hidden="false" customHeight="false" outlineLevel="0" collapsed="false">
      <c r="A2644" s="37" t="s">
        <v>253</v>
      </c>
      <c r="B2644" s="37" t="s">
        <v>259</v>
      </c>
      <c r="C2644" s="37" t="s">
        <v>180</v>
      </c>
      <c r="D2644" s="37" t="s">
        <v>99</v>
      </c>
      <c r="E2644" s="38" t="n">
        <f aca="false">'Matrice des notes'!AG77</f>
        <v>1</v>
      </c>
      <c r="F2644" s="37" t="s">
        <v>655</v>
      </c>
      <c r="G2644" s="39" t="s">
        <v>656</v>
      </c>
    </row>
    <row r="2645" customFormat="false" ht="15" hidden="false" customHeight="false" outlineLevel="0" collapsed="false">
      <c r="A2645" s="37" t="s">
        <v>253</v>
      </c>
      <c r="B2645" s="37" t="s">
        <v>259</v>
      </c>
      <c r="C2645" s="37" t="s">
        <v>180</v>
      </c>
      <c r="D2645" s="37" t="s">
        <v>102</v>
      </c>
      <c r="E2645" s="38" t="n">
        <f aca="false">'Matrice des notes'!AH77</f>
        <v>1</v>
      </c>
      <c r="F2645" s="37" t="s">
        <v>655</v>
      </c>
      <c r="G2645" s="39" t="s">
        <v>656</v>
      </c>
    </row>
    <row r="2646" customFormat="false" ht="15" hidden="false" customHeight="false" outlineLevel="0" collapsed="false">
      <c r="A2646" s="37" t="s">
        <v>253</v>
      </c>
      <c r="B2646" s="37" t="s">
        <v>259</v>
      </c>
      <c r="C2646" s="37" t="s">
        <v>180</v>
      </c>
      <c r="D2646" s="37" t="s">
        <v>104</v>
      </c>
      <c r="E2646" s="38" t="n">
        <f aca="false">'Matrice des notes'!AI77</f>
        <v>1</v>
      </c>
      <c r="F2646" s="37" t="s">
        <v>631</v>
      </c>
      <c r="G2646" s="39" t="s">
        <v>654</v>
      </c>
    </row>
    <row r="2647" customFormat="false" ht="15" hidden="false" customHeight="false" outlineLevel="0" collapsed="false">
      <c r="A2647" s="37" t="s">
        <v>253</v>
      </c>
      <c r="B2647" s="37" t="s">
        <v>259</v>
      </c>
      <c r="C2647" s="37" t="s">
        <v>180</v>
      </c>
      <c r="D2647" s="37" t="s">
        <v>107</v>
      </c>
      <c r="E2647" s="38" t="n">
        <f aca="false">'Matrice des notes'!AJ77</f>
        <v>1</v>
      </c>
      <c r="F2647" s="37" t="s">
        <v>631</v>
      </c>
      <c r="G2647" s="39" t="s">
        <v>654</v>
      </c>
    </row>
    <row r="2648" customFormat="false" ht="15" hidden="false" customHeight="false" outlineLevel="0" collapsed="false">
      <c r="A2648" s="37" t="s">
        <v>253</v>
      </c>
      <c r="B2648" s="37" t="s">
        <v>259</v>
      </c>
      <c r="C2648" s="37" t="s">
        <v>180</v>
      </c>
      <c r="D2648" s="37" t="s">
        <v>110</v>
      </c>
      <c r="E2648" s="38" t="n">
        <f aca="false">'Matrice des notes'!AK77</f>
        <v>1</v>
      </c>
      <c r="F2648" s="37" t="s">
        <v>631</v>
      </c>
      <c r="G2648" s="39" t="s">
        <v>654</v>
      </c>
    </row>
    <row r="2649" customFormat="false" ht="15" hidden="false" customHeight="false" outlineLevel="0" collapsed="false">
      <c r="A2649" s="37" t="s">
        <v>253</v>
      </c>
      <c r="B2649" s="37" t="s">
        <v>259</v>
      </c>
      <c r="C2649" s="37" t="s">
        <v>180</v>
      </c>
      <c r="D2649" s="37" t="s">
        <v>113</v>
      </c>
      <c r="E2649" s="38" t="n">
        <f aca="false">'Matrice des notes'!AL77</f>
        <v>1</v>
      </c>
      <c r="F2649" s="37" t="s">
        <v>631</v>
      </c>
      <c r="G2649" s="39" t="s">
        <v>654</v>
      </c>
    </row>
    <row r="2650" customFormat="false" ht="15" hidden="false" customHeight="false" outlineLevel="0" collapsed="false">
      <c r="A2650" s="37" t="s">
        <v>253</v>
      </c>
      <c r="B2650" s="37" t="s">
        <v>259</v>
      </c>
      <c r="C2650" s="37" t="s">
        <v>180</v>
      </c>
      <c r="D2650" s="37" t="s">
        <v>116</v>
      </c>
      <c r="E2650" s="38" t="n">
        <f aca="false">'Matrice des notes'!AM77</f>
        <v>1</v>
      </c>
      <c r="F2650" s="37" t="s">
        <v>655</v>
      </c>
      <c r="G2650" s="39" t="s">
        <v>656</v>
      </c>
    </row>
    <row r="2651" customFormat="false" ht="15" hidden="false" customHeight="false" outlineLevel="0" collapsed="false">
      <c r="A2651" s="37" t="s">
        <v>253</v>
      </c>
      <c r="B2651" s="37" t="s">
        <v>259</v>
      </c>
      <c r="C2651" s="37" t="s">
        <v>180</v>
      </c>
      <c r="D2651" s="37" t="s">
        <v>119</v>
      </c>
      <c r="E2651" s="38" t="n">
        <f aca="false">'Matrice des notes'!AN77</f>
        <v>1</v>
      </c>
      <c r="F2651" s="37" t="s">
        <v>631</v>
      </c>
      <c r="G2651" s="39" t="s">
        <v>654</v>
      </c>
    </row>
    <row r="2652" customFormat="false" ht="15" hidden="false" customHeight="false" outlineLevel="0" collapsed="false">
      <c r="A2652" s="37" t="s">
        <v>253</v>
      </c>
      <c r="B2652" s="37" t="s">
        <v>259</v>
      </c>
      <c r="C2652" s="37" t="s">
        <v>180</v>
      </c>
      <c r="D2652" s="37" t="s">
        <v>121</v>
      </c>
      <c r="E2652" s="38" t="n">
        <f aca="false">'Matrice des notes'!AO77</f>
        <v>1</v>
      </c>
      <c r="F2652" s="37" t="s">
        <v>657</v>
      </c>
      <c r="G2652" s="39" t="s">
        <v>658</v>
      </c>
    </row>
    <row r="2653" customFormat="false" ht="15" hidden="false" customHeight="false" outlineLevel="0" collapsed="false">
      <c r="A2653" s="37" t="s">
        <v>253</v>
      </c>
      <c r="B2653" s="37" t="s">
        <v>259</v>
      </c>
      <c r="C2653" s="37" t="s">
        <v>180</v>
      </c>
      <c r="D2653" s="37" t="s">
        <v>124</v>
      </c>
      <c r="E2653" s="38" t="n">
        <f aca="false">'Matrice des notes'!AP77</f>
        <v>3</v>
      </c>
      <c r="F2653" s="37" t="s">
        <v>659</v>
      </c>
      <c r="G2653" s="39" t="s">
        <v>660</v>
      </c>
    </row>
    <row r="2654" customFormat="false" ht="15" hidden="false" customHeight="false" outlineLevel="0" collapsed="false">
      <c r="A2654" s="37" t="s">
        <v>253</v>
      </c>
      <c r="B2654" s="37" t="s">
        <v>260</v>
      </c>
      <c r="C2654" s="37" t="s">
        <v>178</v>
      </c>
      <c r="D2654" s="37" t="s">
        <v>7</v>
      </c>
      <c r="E2654" s="38" t="n">
        <f aca="false">'Matrice des notes'!D78</f>
        <v>3</v>
      </c>
      <c r="F2654" s="37" t="s">
        <v>617</v>
      </c>
      <c r="G2654" s="39" t="s">
        <v>618</v>
      </c>
    </row>
    <row r="2655" customFormat="false" ht="15" hidden="false" customHeight="false" outlineLevel="0" collapsed="false">
      <c r="A2655" s="37" t="s">
        <v>253</v>
      </c>
      <c r="B2655" s="37" t="s">
        <v>260</v>
      </c>
      <c r="C2655" s="37" t="s">
        <v>178</v>
      </c>
      <c r="D2655" s="37" t="s">
        <v>11</v>
      </c>
      <c r="E2655" s="38" t="n">
        <f aca="false">'Matrice des notes'!E78</f>
        <v>4</v>
      </c>
      <c r="F2655" s="37" t="s">
        <v>1049</v>
      </c>
      <c r="G2655" s="39" t="s">
        <v>1050</v>
      </c>
    </row>
    <row r="2656" customFormat="false" ht="15" hidden="false" customHeight="false" outlineLevel="0" collapsed="false">
      <c r="A2656" s="37" t="s">
        <v>253</v>
      </c>
      <c r="B2656" s="37" t="s">
        <v>260</v>
      </c>
      <c r="C2656" s="37" t="s">
        <v>178</v>
      </c>
      <c r="D2656" s="37" t="s">
        <v>14</v>
      </c>
      <c r="E2656" s="38" t="n">
        <f aca="false">'Matrice des notes'!F78</f>
        <v>4</v>
      </c>
      <c r="F2656" s="37" t="s">
        <v>1008</v>
      </c>
      <c r="G2656" s="39" t="s">
        <v>1009</v>
      </c>
    </row>
    <row r="2657" customFormat="false" ht="15" hidden="false" customHeight="false" outlineLevel="0" collapsed="false">
      <c r="A2657" s="37" t="s">
        <v>253</v>
      </c>
      <c r="B2657" s="37" t="s">
        <v>260</v>
      </c>
      <c r="C2657" s="37" t="s">
        <v>178</v>
      </c>
      <c r="D2657" s="37" t="s">
        <v>17</v>
      </c>
      <c r="E2657" s="38" t="n">
        <f aca="false">'Matrice des notes'!G78</f>
        <v>4</v>
      </c>
      <c r="F2657" s="37" t="s">
        <v>623</v>
      </c>
      <c r="G2657" s="39" t="s">
        <v>1051</v>
      </c>
    </row>
    <row r="2658" customFormat="false" ht="15" hidden="false" customHeight="false" outlineLevel="0" collapsed="false">
      <c r="A2658" s="37" t="s">
        <v>253</v>
      </c>
      <c r="B2658" s="37" t="s">
        <v>260</v>
      </c>
      <c r="C2658" s="37" t="s">
        <v>178</v>
      </c>
      <c r="D2658" s="37" t="s">
        <v>20</v>
      </c>
      <c r="E2658" s="38" t="n">
        <f aca="false">'Matrice des notes'!H78</f>
        <v>4</v>
      </c>
      <c r="F2658" s="37" t="s">
        <v>1052</v>
      </c>
      <c r="G2658" s="39" t="s">
        <v>1053</v>
      </c>
    </row>
    <row r="2659" customFormat="false" ht="15" hidden="false" customHeight="false" outlineLevel="0" collapsed="false">
      <c r="A2659" s="37" t="s">
        <v>253</v>
      </c>
      <c r="B2659" s="37" t="s">
        <v>260</v>
      </c>
      <c r="C2659" s="37" t="s">
        <v>178</v>
      </c>
      <c r="D2659" s="37" t="s">
        <v>23</v>
      </c>
      <c r="E2659" s="38" t="n">
        <f aca="false">'Matrice des notes'!I78</f>
        <v>4</v>
      </c>
      <c r="F2659" s="37" t="s">
        <v>623</v>
      </c>
      <c r="G2659" s="39" t="s">
        <v>1051</v>
      </c>
    </row>
    <row r="2660" customFormat="false" ht="15" hidden="false" customHeight="false" outlineLevel="0" collapsed="false">
      <c r="A2660" s="37" t="s">
        <v>253</v>
      </c>
      <c r="B2660" s="37" t="s">
        <v>260</v>
      </c>
      <c r="C2660" s="37" t="s">
        <v>178</v>
      </c>
      <c r="D2660" s="37" t="s">
        <v>26</v>
      </c>
      <c r="E2660" s="38" t="n">
        <f aca="false">'Matrice des notes'!J78</f>
        <v>5</v>
      </c>
      <c r="F2660" s="37" t="s">
        <v>1013</v>
      </c>
      <c r="G2660" s="39" t="s">
        <v>1014</v>
      </c>
    </row>
    <row r="2661" customFormat="false" ht="15" hidden="false" customHeight="false" outlineLevel="0" collapsed="false">
      <c r="A2661" s="37" t="s">
        <v>253</v>
      </c>
      <c r="B2661" s="37" t="s">
        <v>260</v>
      </c>
      <c r="C2661" s="37" t="s">
        <v>178</v>
      </c>
      <c r="D2661" s="37" t="s">
        <v>30</v>
      </c>
      <c r="E2661" s="38" t="n">
        <f aca="false">'Matrice des notes'!K78</f>
        <v>5</v>
      </c>
      <c r="F2661" s="37" t="s">
        <v>1015</v>
      </c>
      <c r="G2661" s="39" t="s">
        <v>1016</v>
      </c>
    </row>
    <row r="2662" customFormat="false" ht="15" hidden="false" customHeight="false" outlineLevel="0" collapsed="false">
      <c r="A2662" s="37" t="s">
        <v>253</v>
      </c>
      <c r="B2662" s="37" t="s">
        <v>260</v>
      </c>
      <c r="C2662" s="37" t="s">
        <v>178</v>
      </c>
      <c r="D2662" s="37" t="s">
        <v>34</v>
      </c>
      <c r="E2662" s="38" t="n">
        <f aca="false">'Matrice des notes'!L78</f>
        <v>3</v>
      </c>
      <c r="F2662" s="37" t="s">
        <v>992</v>
      </c>
      <c r="G2662" s="39" t="s">
        <v>993</v>
      </c>
    </row>
    <row r="2663" customFormat="false" ht="15" hidden="false" customHeight="false" outlineLevel="0" collapsed="false">
      <c r="A2663" s="37" t="s">
        <v>253</v>
      </c>
      <c r="B2663" s="37" t="s">
        <v>260</v>
      </c>
      <c r="C2663" s="37" t="s">
        <v>178</v>
      </c>
      <c r="D2663" s="37" t="s">
        <v>37</v>
      </c>
      <c r="E2663" s="38" t="n">
        <f aca="false">'Matrice des notes'!M78</f>
        <v>2</v>
      </c>
      <c r="F2663" s="37" t="s">
        <v>994</v>
      </c>
      <c r="G2663" s="39" t="s">
        <v>1017</v>
      </c>
    </row>
    <row r="2664" customFormat="false" ht="22.35" hidden="false" customHeight="false" outlineLevel="0" collapsed="false">
      <c r="A2664" s="37" t="s">
        <v>253</v>
      </c>
      <c r="B2664" s="37" t="s">
        <v>260</v>
      </c>
      <c r="C2664" s="37" t="s">
        <v>178</v>
      </c>
      <c r="D2664" s="37" t="s">
        <v>40</v>
      </c>
      <c r="E2664" s="38" t="n">
        <f aca="false">'Matrice des notes'!N78</f>
        <v>4</v>
      </c>
      <c r="F2664" s="37" t="s">
        <v>621</v>
      </c>
      <c r="G2664" s="39" t="s">
        <v>1054</v>
      </c>
    </row>
    <row r="2665" customFormat="false" ht="15" hidden="false" customHeight="false" outlineLevel="0" collapsed="false">
      <c r="A2665" s="37" t="s">
        <v>253</v>
      </c>
      <c r="B2665" s="37" t="s">
        <v>260</v>
      </c>
      <c r="C2665" s="37" t="s">
        <v>178</v>
      </c>
      <c r="D2665" s="37" t="s">
        <v>43</v>
      </c>
      <c r="E2665" s="38" t="n">
        <f aca="false">'Matrice des notes'!O78</f>
        <v>2</v>
      </c>
      <c r="F2665" s="37" t="s">
        <v>635</v>
      </c>
      <c r="G2665" s="39" t="s">
        <v>636</v>
      </c>
    </row>
    <row r="2666" customFormat="false" ht="15" hidden="false" customHeight="false" outlineLevel="0" collapsed="false">
      <c r="A2666" s="37" t="s">
        <v>253</v>
      </c>
      <c r="B2666" s="37" t="s">
        <v>260</v>
      </c>
      <c r="C2666" s="37" t="s">
        <v>178</v>
      </c>
      <c r="D2666" s="37" t="s">
        <v>46</v>
      </c>
      <c r="E2666" s="38" t="n">
        <f aca="false">'Matrice des notes'!P78</f>
        <v>3</v>
      </c>
      <c r="F2666" s="37" t="s">
        <v>637</v>
      </c>
      <c r="G2666" s="39" t="s">
        <v>638</v>
      </c>
    </row>
    <row r="2667" customFormat="false" ht="22.35" hidden="false" customHeight="false" outlineLevel="0" collapsed="false">
      <c r="A2667" s="37" t="s">
        <v>253</v>
      </c>
      <c r="B2667" s="37" t="s">
        <v>260</v>
      </c>
      <c r="C2667" s="37" t="s">
        <v>179</v>
      </c>
      <c r="D2667" s="37" t="s">
        <v>49</v>
      </c>
      <c r="E2667" s="38" t="n">
        <f aca="false">'Matrice des notes'!Q78</f>
        <v>4</v>
      </c>
      <c r="F2667" s="37" t="s">
        <v>688</v>
      </c>
      <c r="G2667" s="39" t="s">
        <v>1055</v>
      </c>
    </row>
    <row r="2668" customFormat="false" ht="15" hidden="false" customHeight="false" outlineLevel="0" collapsed="false">
      <c r="A2668" s="37" t="s">
        <v>253</v>
      </c>
      <c r="B2668" s="37" t="s">
        <v>260</v>
      </c>
      <c r="C2668" s="37" t="s">
        <v>179</v>
      </c>
      <c r="D2668" s="37" t="s">
        <v>53</v>
      </c>
      <c r="E2668" s="38" t="n">
        <f aca="false">'Matrice des notes'!R78</f>
        <v>3</v>
      </c>
      <c r="F2668" s="37" t="s">
        <v>992</v>
      </c>
      <c r="G2668" s="39" t="s">
        <v>996</v>
      </c>
    </row>
    <row r="2669" customFormat="false" ht="22.35" hidden="false" customHeight="false" outlineLevel="0" collapsed="false">
      <c r="A2669" s="37" t="s">
        <v>253</v>
      </c>
      <c r="B2669" s="37" t="s">
        <v>260</v>
      </c>
      <c r="C2669" s="37" t="s">
        <v>179</v>
      </c>
      <c r="D2669" s="37" t="s">
        <v>56</v>
      </c>
      <c r="E2669" s="38" t="n">
        <f aca="false">'Matrice des notes'!S78</f>
        <v>4</v>
      </c>
      <c r="F2669" s="37" t="s">
        <v>643</v>
      </c>
      <c r="G2669" s="39" t="s">
        <v>1056</v>
      </c>
    </row>
    <row r="2670" customFormat="false" ht="15" hidden="false" customHeight="false" outlineLevel="0" collapsed="false">
      <c r="A2670" s="37" t="s">
        <v>253</v>
      </c>
      <c r="B2670" s="37" t="s">
        <v>260</v>
      </c>
      <c r="C2670" s="37" t="s">
        <v>179</v>
      </c>
      <c r="D2670" s="37" t="s">
        <v>59</v>
      </c>
      <c r="E2670" s="38" t="n">
        <f aca="false">'Matrice des notes'!T78</f>
        <v>4</v>
      </c>
      <c r="F2670" s="37" t="s">
        <v>623</v>
      </c>
      <c r="G2670" s="39" t="s">
        <v>1051</v>
      </c>
    </row>
    <row r="2671" customFormat="false" ht="22.35" hidden="false" customHeight="false" outlineLevel="0" collapsed="false">
      <c r="A2671" s="37" t="s">
        <v>253</v>
      </c>
      <c r="B2671" s="37" t="s">
        <v>260</v>
      </c>
      <c r="C2671" s="37" t="s">
        <v>179</v>
      </c>
      <c r="D2671" s="37" t="s">
        <v>62</v>
      </c>
      <c r="E2671" s="38" t="n">
        <f aca="false">'Matrice des notes'!U78</f>
        <v>4</v>
      </c>
      <c r="F2671" s="37" t="s">
        <v>621</v>
      </c>
      <c r="G2671" s="39" t="s">
        <v>1057</v>
      </c>
    </row>
    <row r="2672" customFormat="false" ht="15" hidden="false" customHeight="false" outlineLevel="0" collapsed="false">
      <c r="A2672" s="37" t="s">
        <v>253</v>
      </c>
      <c r="B2672" s="37" t="s">
        <v>260</v>
      </c>
      <c r="C2672" s="37" t="s">
        <v>179</v>
      </c>
      <c r="D2672" s="37" t="s">
        <v>65</v>
      </c>
      <c r="E2672" s="38" t="n">
        <f aca="false">'Matrice des notes'!V78</f>
        <v>3</v>
      </c>
      <c r="F2672" s="37" t="s">
        <v>997</v>
      </c>
      <c r="G2672" s="39" t="s">
        <v>998</v>
      </c>
    </row>
    <row r="2673" customFormat="false" ht="15" hidden="false" customHeight="false" outlineLevel="0" collapsed="false">
      <c r="A2673" s="37" t="s">
        <v>253</v>
      </c>
      <c r="B2673" s="37" t="s">
        <v>260</v>
      </c>
      <c r="C2673" s="37" t="s">
        <v>179</v>
      </c>
      <c r="D2673" s="37" t="s">
        <v>68</v>
      </c>
      <c r="E2673" s="38" t="n">
        <f aca="false">'Matrice des notes'!W78</f>
        <v>2</v>
      </c>
      <c r="F2673" s="37" t="s">
        <v>649</v>
      </c>
      <c r="G2673" s="39" t="s">
        <v>650</v>
      </c>
    </row>
    <row r="2674" customFormat="false" ht="22.35" hidden="false" customHeight="false" outlineLevel="0" collapsed="false">
      <c r="A2674" s="37" t="s">
        <v>253</v>
      </c>
      <c r="B2674" s="37" t="s">
        <v>260</v>
      </c>
      <c r="C2674" s="37" t="s">
        <v>179</v>
      </c>
      <c r="D2674" s="37" t="s">
        <v>71</v>
      </c>
      <c r="E2674" s="38" t="n">
        <f aca="false">'Matrice des notes'!X78</f>
        <v>4</v>
      </c>
      <c r="F2674" s="37" t="s">
        <v>688</v>
      </c>
      <c r="G2674" s="39" t="s">
        <v>1058</v>
      </c>
    </row>
    <row r="2675" customFormat="false" ht="15" hidden="false" customHeight="false" outlineLevel="0" collapsed="false">
      <c r="A2675" s="37" t="s">
        <v>253</v>
      </c>
      <c r="B2675" s="37" t="s">
        <v>260</v>
      </c>
      <c r="C2675" s="37" t="s">
        <v>179</v>
      </c>
      <c r="D2675" s="37" t="s">
        <v>74</v>
      </c>
      <c r="E2675" s="38" t="n">
        <f aca="false">'Matrice des notes'!Y78</f>
        <v>3</v>
      </c>
      <c r="F2675" s="37" t="s">
        <v>997</v>
      </c>
      <c r="G2675" s="39" t="s">
        <v>999</v>
      </c>
    </row>
    <row r="2676" customFormat="false" ht="15" hidden="false" customHeight="false" outlineLevel="0" collapsed="false">
      <c r="A2676" s="37" t="s">
        <v>253</v>
      </c>
      <c r="B2676" s="37" t="s">
        <v>260</v>
      </c>
      <c r="C2676" s="37" t="s">
        <v>179</v>
      </c>
      <c r="D2676" s="37" t="s">
        <v>77</v>
      </c>
      <c r="E2676" s="38" t="n">
        <f aca="false">'Matrice des notes'!Z78</f>
        <v>3</v>
      </c>
      <c r="F2676" s="37" t="s">
        <v>637</v>
      </c>
      <c r="G2676" s="39" t="s">
        <v>638</v>
      </c>
    </row>
    <row r="2677" customFormat="false" ht="15" hidden="false" customHeight="false" outlineLevel="0" collapsed="false">
      <c r="A2677" s="37" t="s">
        <v>253</v>
      </c>
      <c r="B2677" s="37" t="s">
        <v>260</v>
      </c>
      <c r="C2677" s="37" t="s">
        <v>179</v>
      </c>
      <c r="D2677" s="37" t="s">
        <v>80</v>
      </c>
      <c r="E2677" s="38" t="n">
        <f aca="false">'Matrice des notes'!AA78</f>
        <v>3</v>
      </c>
      <c r="F2677" s="37" t="s">
        <v>1000</v>
      </c>
      <c r="G2677" s="39" t="s">
        <v>1001</v>
      </c>
    </row>
    <row r="2678" customFormat="false" ht="15" hidden="false" customHeight="false" outlineLevel="0" collapsed="false">
      <c r="A2678" s="37" t="s">
        <v>253</v>
      </c>
      <c r="B2678" s="37" t="s">
        <v>260</v>
      </c>
      <c r="C2678" s="37" t="s">
        <v>179</v>
      </c>
      <c r="D2678" s="37" t="s">
        <v>83</v>
      </c>
      <c r="E2678" s="38" t="n">
        <f aca="false">'Matrice des notes'!AB78</f>
        <v>3</v>
      </c>
      <c r="F2678" s="37" t="s">
        <v>652</v>
      </c>
      <c r="G2678" s="39" t="s">
        <v>653</v>
      </c>
    </row>
    <row r="2679" customFormat="false" ht="15" hidden="false" customHeight="false" outlineLevel="0" collapsed="false">
      <c r="A2679" s="37" t="s">
        <v>253</v>
      </c>
      <c r="B2679" s="37" t="s">
        <v>260</v>
      </c>
      <c r="C2679" s="37" t="s">
        <v>179</v>
      </c>
      <c r="D2679" s="37" t="s">
        <v>86</v>
      </c>
      <c r="E2679" s="38" t="n">
        <f aca="false">'Matrice des notes'!AC78</f>
        <v>2</v>
      </c>
      <c r="F2679" s="37" t="s">
        <v>637</v>
      </c>
      <c r="G2679" s="39" t="s">
        <v>638</v>
      </c>
    </row>
    <row r="2680" customFormat="false" ht="15" hidden="false" customHeight="false" outlineLevel="0" collapsed="false">
      <c r="A2680" s="37" t="s">
        <v>253</v>
      </c>
      <c r="B2680" s="37" t="s">
        <v>260</v>
      </c>
      <c r="C2680" s="37" t="s">
        <v>179</v>
      </c>
      <c r="D2680" s="37" t="s">
        <v>89</v>
      </c>
      <c r="E2680" s="38" t="n">
        <f aca="false">'Matrice des notes'!AD78</f>
        <v>3</v>
      </c>
      <c r="F2680" s="37" t="s">
        <v>637</v>
      </c>
      <c r="G2680" s="39" t="s">
        <v>638</v>
      </c>
    </row>
    <row r="2681" customFormat="false" ht="15" hidden="false" customHeight="false" outlineLevel="0" collapsed="false">
      <c r="A2681" s="37" t="s">
        <v>253</v>
      </c>
      <c r="B2681" s="37" t="s">
        <v>260</v>
      </c>
      <c r="C2681" s="37" t="s">
        <v>179</v>
      </c>
      <c r="D2681" s="37" t="s">
        <v>92</v>
      </c>
      <c r="E2681" s="38" t="n">
        <f aca="false">'Matrice des notes'!AE78</f>
        <v>2</v>
      </c>
      <c r="F2681" s="37" t="s">
        <v>637</v>
      </c>
      <c r="G2681" s="39" t="s">
        <v>638</v>
      </c>
    </row>
    <row r="2682" customFormat="false" ht="15" hidden="false" customHeight="false" outlineLevel="0" collapsed="false">
      <c r="A2682" s="37" t="s">
        <v>253</v>
      </c>
      <c r="B2682" s="37" t="s">
        <v>260</v>
      </c>
      <c r="C2682" s="37" t="s">
        <v>180</v>
      </c>
      <c r="D2682" s="37" t="s">
        <v>95</v>
      </c>
      <c r="E2682" s="38" t="n">
        <f aca="false">'Matrice des notes'!AF78</f>
        <v>1</v>
      </c>
      <c r="F2682" s="37" t="s">
        <v>631</v>
      </c>
      <c r="G2682" s="39" t="s">
        <v>654</v>
      </c>
    </row>
    <row r="2683" customFormat="false" ht="15" hidden="false" customHeight="false" outlineLevel="0" collapsed="false">
      <c r="A2683" s="37" t="s">
        <v>253</v>
      </c>
      <c r="B2683" s="37" t="s">
        <v>260</v>
      </c>
      <c r="C2683" s="37" t="s">
        <v>180</v>
      </c>
      <c r="D2683" s="37" t="s">
        <v>99</v>
      </c>
      <c r="E2683" s="38" t="n">
        <f aca="false">'Matrice des notes'!AG78</f>
        <v>1</v>
      </c>
      <c r="F2683" s="37" t="s">
        <v>655</v>
      </c>
      <c r="G2683" s="39" t="s">
        <v>656</v>
      </c>
    </row>
    <row r="2684" customFormat="false" ht="15" hidden="false" customHeight="false" outlineLevel="0" collapsed="false">
      <c r="A2684" s="37" t="s">
        <v>253</v>
      </c>
      <c r="B2684" s="37" t="s">
        <v>260</v>
      </c>
      <c r="C2684" s="37" t="s">
        <v>180</v>
      </c>
      <c r="D2684" s="37" t="s">
        <v>102</v>
      </c>
      <c r="E2684" s="38" t="n">
        <f aca="false">'Matrice des notes'!AH78</f>
        <v>1</v>
      </c>
      <c r="F2684" s="37" t="s">
        <v>655</v>
      </c>
      <c r="G2684" s="39" t="s">
        <v>656</v>
      </c>
    </row>
    <row r="2685" customFormat="false" ht="15" hidden="false" customHeight="false" outlineLevel="0" collapsed="false">
      <c r="A2685" s="37" t="s">
        <v>253</v>
      </c>
      <c r="B2685" s="37" t="s">
        <v>260</v>
      </c>
      <c r="C2685" s="37" t="s">
        <v>180</v>
      </c>
      <c r="D2685" s="37" t="s">
        <v>104</v>
      </c>
      <c r="E2685" s="38" t="n">
        <f aca="false">'Matrice des notes'!AI78</f>
        <v>1</v>
      </c>
      <c r="F2685" s="37" t="s">
        <v>631</v>
      </c>
      <c r="G2685" s="39" t="s">
        <v>654</v>
      </c>
    </row>
    <row r="2686" customFormat="false" ht="15" hidden="false" customHeight="false" outlineLevel="0" collapsed="false">
      <c r="A2686" s="37" t="s">
        <v>253</v>
      </c>
      <c r="B2686" s="37" t="s">
        <v>260</v>
      </c>
      <c r="C2686" s="37" t="s">
        <v>180</v>
      </c>
      <c r="D2686" s="37" t="s">
        <v>107</v>
      </c>
      <c r="E2686" s="38" t="n">
        <f aca="false">'Matrice des notes'!AJ78</f>
        <v>1</v>
      </c>
      <c r="F2686" s="37" t="s">
        <v>631</v>
      </c>
      <c r="G2686" s="39" t="s">
        <v>654</v>
      </c>
    </row>
    <row r="2687" customFormat="false" ht="15" hidden="false" customHeight="false" outlineLevel="0" collapsed="false">
      <c r="A2687" s="37" t="s">
        <v>253</v>
      </c>
      <c r="B2687" s="37" t="s">
        <v>260</v>
      </c>
      <c r="C2687" s="37" t="s">
        <v>180</v>
      </c>
      <c r="D2687" s="37" t="s">
        <v>110</v>
      </c>
      <c r="E2687" s="38" t="n">
        <f aca="false">'Matrice des notes'!AK78</f>
        <v>1</v>
      </c>
      <c r="F2687" s="37" t="s">
        <v>631</v>
      </c>
      <c r="G2687" s="39" t="s">
        <v>654</v>
      </c>
    </row>
    <row r="2688" customFormat="false" ht="15" hidden="false" customHeight="false" outlineLevel="0" collapsed="false">
      <c r="A2688" s="37" t="s">
        <v>253</v>
      </c>
      <c r="B2688" s="37" t="s">
        <v>260</v>
      </c>
      <c r="C2688" s="37" t="s">
        <v>180</v>
      </c>
      <c r="D2688" s="37" t="s">
        <v>113</v>
      </c>
      <c r="E2688" s="38" t="n">
        <f aca="false">'Matrice des notes'!AL78</f>
        <v>1</v>
      </c>
      <c r="F2688" s="37" t="s">
        <v>631</v>
      </c>
      <c r="G2688" s="39" t="s">
        <v>654</v>
      </c>
    </row>
    <row r="2689" customFormat="false" ht="15" hidden="false" customHeight="false" outlineLevel="0" collapsed="false">
      <c r="A2689" s="37" t="s">
        <v>253</v>
      </c>
      <c r="B2689" s="37" t="s">
        <v>260</v>
      </c>
      <c r="C2689" s="37" t="s">
        <v>180</v>
      </c>
      <c r="D2689" s="37" t="s">
        <v>116</v>
      </c>
      <c r="E2689" s="38" t="n">
        <f aca="false">'Matrice des notes'!AM78</f>
        <v>1</v>
      </c>
      <c r="F2689" s="37" t="s">
        <v>655</v>
      </c>
      <c r="G2689" s="39" t="s">
        <v>656</v>
      </c>
    </row>
    <row r="2690" customFormat="false" ht="15" hidden="false" customHeight="false" outlineLevel="0" collapsed="false">
      <c r="A2690" s="37" t="s">
        <v>253</v>
      </c>
      <c r="B2690" s="37" t="s">
        <v>260</v>
      </c>
      <c r="C2690" s="37" t="s">
        <v>180</v>
      </c>
      <c r="D2690" s="37" t="s">
        <v>119</v>
      </c>
      <c r="E2690" s="38" t="n">
        <f aca="false">'Matrice des notes'!AN78</f>
        <v>1</v>
      </c>
      <c r="F2690" s="37" t="s">
        <v>631</v>
      </c>
      <c r="G2690" s="39" t="s">
        <v>654</v>
      </c>
    </row>
    <row r="2691" customFormat="false" ht="15" hidden="false" customHeight="false" outlineLevel="0" collapsed="false">
      <c r="A2691" s="37" t="s">
        <v>253</v>
      </c>
      <c r="B2691" s="37" t="s">
        <v>260</v>
      </c>
      <c r="C2691" s="37" t="s">
        <v>180</v>
      </c>
      <c r="D2691" s="37" t="s">
        <v>121</v>
      </c>
      <c r="E2691" s="38" t="n">
        <f aca="false">'Matrice des notes'!AO78</f>
        <v>1</v>
      </c>
      <c r="F2691" s="37" t="s">
        <v>657</v>
      </c>
      <c r="G2691" s="39" t="s">
        <v>658</v>
      </c>
    </row>
    <row r="2692" customFormat="false" ht="15" hidden="false" customHeight="false" outlineLevel="0" collapsed="false">
      <c r="A2692" s="37" t="s">
        <v>253</v>
      </c>
      <c r="B2692" s="37" t="s">
        <v>260</v>
      </c>
      <c r="C2692" s="37" t="s">
        <v>180</v>
      </c>
      <c r="D2692" s="37" t="s">
        <v>124</v>
      </c>
      <c r="E2692" s="38" t="n">
        <f aca="false">'Matrice des notes'!AP78</f>
        <v>3</v>
      </c>
      <c r="F2692" s="37" t="s">
        <v>659</v>
      </c>
      <c r="G2692" s="39" t="s">
        <v>660</v>
      </c>
    </row>
    <row r="2693" customFormat="false" ht="15" hidden="false" customHeight="false" outlineLevel="0" collapsed="false">
      <c r="A2693" s="37" t="s">
        <v>253</v>
      </c>
      <c r="B2693" s="37" t="s">
        <v>261</v>
      </c>
      <c r="C2693" s="37" t="s">
        <v>178</v>
      </c>
      <c r="D2693" s="37" t="s">
        <v>7</v>
      </c>
      <c r="E2693" s="38" t="n">
        <f aca="false">'Matrice des notes'!D79</f>
        <v>3</v>
      </c>
      <c r="F2693" s="37" t="s">
        <v>637</v>
      </c>
      <c r="G2693" s="39" t="s">
        <v>1059</v>
      </c>
    </row>
    <row r="2694" customFormat="false" ht="22.35" hidden="false" customHeight="false" outlineLevel="0" collapsed="false">
      <c r="A2694" s="37" t="s">
        <v>253</v>
      </c>
      <c r="B2694" s="37" t="s">
        <v>261</v>
      </c>
      <c r="C2694" s="37" t="s">
        <v>178</v>
      </c>
      <c r="D2694" s="37" t="s">
        <v>11</v>
      </c>
      <c r="E2694" s="38" t="n">
        <f aca="false">'Matrice des notes'!E79</f>
        <v>4</v>
      </c>
      <c r="F2694" s="37" t="s">
        <v>1060</v>
      </c>
      <c r="G2694" s="39" t="s">
        <v>1061</v>
      </c>
    </row>
    <row r="2695" customFormat="false" ht="15" hidden="false" customHeight="false" outlineLevel="0" collapsed="false">
      <c r="A2695" s="37" t="s">
        <v>253</v>
      </c>
      <c r="B2695" s="37" t="s">
        <v>261</v>
      </c>
      <c r="C2695" s="37" t="s">
        <v>178</v>
      </c>
      <c r="D2695" s="37" t="s">
        <v>14</v>
      </c>
      <c r="E2695" s="38" t="n">
        <f aca="false">'Matrice des notes'!F79</f>
        <v>4</v>
      </c>
      <c r="F2695" s="37" t="s">
        <v>1008</v>
      </c>
      <c r="G2695" s="39" t="s">
        <v>1009</v>
      </c>
    </row>
    <row r="2696" customFormat="false" ht="15" hidden="false" customHeight="false" outlineLevel="0" collapsed="false">
      <c r="A2696" s="37" t="s">
        <v>253</v>
      </c>
      <c r="B2696" s="37" t="s">
        <v>261</v>
      </c>
      <c r="C2696" s="37" t="s">
        <v>178</v>
      </c>
      <c r="D2696" s="37" t="s">
        <v>17</v>
      </c>
      <c r="E2696" s="38" t="n">
        <f aca="false">'Matrice des notes'!G79</f>
        <v>4</v>
      </c>
      <c r="F2696" s="37" t="s">
        <v>623</v>
      </c>
      <c r="G2696" s="39" t="s">
        <v>1010</v>
      </c>
    </row>
    <row r="2697" customFormat="false" ht="22.35" hidden="false" customHeight="false" outlineLevel="0" collapsed="false">
      <c r="A2697" s="37" t="s">
        <v>253</v>
      </c>
      <c r="B2697" s="37" t="s">
        <v>261</v>
      </c>
      <c r="C2697" s="37" t="s">
        <v>178</v>
      </c>
      <c r="D2697" s="37" t="s">
        <v>20</v>
      </c>
      <c r="E2697" s="38" t="n">
        <f aca="false">'Matrice des notes'!H79</f>
        <v>4</v>
      </c>
      <c r="F2697" s="37" t="s">
        <v>1062</v>
      </c>
      <c r="G2697" s="39" t="s">
        <v>1063</v>
      </c>
    </row>
    <row r="2698" customFormat="false" ht="15" hidden="false" customHeight="false" outlineLevel="0" collapsed="false">
      <c r="A2698" s="37" t="s">
        <v>253</v>
      </c>
      <c r="B2698" s="37" t="s">
        <v>261</v>
      </c>
      <c r="C2698" s="37" t="s">
        <v>178</v>
      </c>
      <c r="D2698" s="37" t="s">
        <v>23</v>
      </c>
      <c r="E2698" s="38" t="n">
        <f aca="false">'Matrice des notes'!I79</f>
        <v>4</v>
      </c>
      <c r="F2698" s="37" t="s">
        <v>623</v>
      </c>
      <c r="G2698" s="39" t="s">
        <v>1010</v>
      </c>
    </row>
    <row r="2699" customFormat="false" ht="15" hidden="false" customHeight="false" outlineLevel="0" collapsed="false">
      <c r="A2699" s="37" t="s">
        <v>253</v>
      </c>
      <c r="B2699" s="37" t="s">
        <v>261</v>
      </c>
      <c r="C2699" s="37" t="s">
        <v>178</v>
      </c>
      <c r="D2699" s="37" t="s">
        <v>26</v>
      </c>
      <c r="E2699" s="38" t="n">
        <f aca="false">'Matrice des notes'!J79</f>
        <v>5</v>
      </c>
      <c r="F2699" s="37" t="s">
        <v>1013</v>
      </c>
      <c r="G2699" s="39" t="s">
        <v>1014</v>
      </c>
    </row>
    <row r="2700" customFormat="false" ht="15" hidden="false" customHeight="false" outlineLevel="0" collapsed="false">
      <c r="A2700" s="37" t="s">
        <v>253</v>
      </c>
      <c r="B2700" s="37" t="s">
        <v>261</v>
      </c>
      <c r="C2700" s="37" t="s">
        <v>178</v>
      </c>
      <c r="D2700" s="37" t="s">
        <v>30</v>
      </c>
      <c r="E2700" s="38" t="n">
        <f aca="false">'Matrice des notes'!K79</f>
        <v>5</v>
      </c>
      <c r="F2700" s="37" t="s">
        <v>1015</v>
      </c>
      <c r="G2700" s="39" t="s">
        <v>1016</v>
      </c>
    </row>
    <row r="2701" customFormat="false" ht="15" hidden="false" customHeight="false" outlineLevel="0" collapsed="false">
      <c r="A2701" s="37" t="s">
        <v>253</v>
      </c>
      <c r="B2701" s="37" t="s">
        <v>261</v>
      </c>
      <c r="C2701" s="37" t="s">
        <v>178</v>
      </c>
      <c r="D2701" s="37" t="s">
        <v>34</v>
      </c>
      <c r="E2701" s="38" t="n">
        <f aca="false">'Matrice des notes'!L79</f>
        <v>3</v>
      </c>
      <c r="F2701" s="37" t="s">
        <v>992</v>
      </c>
      <c r="G2701" s="39" t="s">
        <v>993</v>
      </c>
    </row>
    <row r="2702" customFormat="false" ht="15" hidden="false" customHeight="false" outlineLevel="0" collapsed="false">
      <c r="A2702" s="37" t="s">
        <v>253</v>
      </c>
      <c r="B2702" s="37" t="s">
        <v>261</v>
      </c>
      <c r="C2702" s="37" t="s">
        <v>178</v>
      </c>
      <c r="D2702" s="37" t="s">
        <v>37</v>
      </c>
      <c r="E2702" s="38" t="n">
        <f aca="false">'Matrice des notes'!M79</f>
        <v>2</v>
      </c>
      <c r="F2702" s="37" t="s">
        <v>994</v>
      </c>
      <c r="G2702" s="39" t="s">
        <v>1017</v>
      </c>
    </row>
    <row r="2703" customFormat="false" ht="15" hidden="false" customHeight="false" outlineLevel="0" collapsed="false">
      <c r="A2703" s="37" t="s">
        <v>253</v>
      </c>
      <c r="B2703" s="37" t="s">
        <v>261</v>
      </c>
      <c r="C2703" s="37" t="s">
        <v>178</v>
      </c>
      <c r="D2703" s="37" t="s">
        <v>40</v>
      </c>
      <c r="E2703" s="38" t="n">
        <f aca="false">'Matrice des notes'!N79</f>
        <v>3</v>
      </c>
      <c r="F2703" s="37" t="s">
        <v>637</v>
      </c>
      <c r="G2703" s="39" t="s">
        <v>1059</v>
      </c>
    </row>
    <row r="2704" customFormat="false" ht="15" hidden="false" customHeight="false" outlineLevel="0" collapsed="false">
      <c r="A2704" s="37" t="s">
        <v>253</v>
      </c>
      <c r="B2704" s="37" t="s">
        <v>261</v>
      </c>
      <c r="C2704" s="37" t="s">
        <v>178</v>
      </c>
      <c r="D2704" s="37" t="s">
        <v>43</v>
      </c>
      <c r="E2704" s="38" t="n">
        <f aca="false">'Matrice des notes'!O79</f>
        <v>3</v>
      </c>
      <c r="F2704" s="37" t="s">
        <v>635</v>
      </c>
      <c r="G2704" s="39" t="s">
        <v>724</v>
      </c>
    </row>
    <row r="2705" customFormat="false" ht="15" hidden="false" customHeight="false" outlineLevel="0" collapsed="false">
      <c r="A2705" s="37" t="s">
        <v>253</v>
      </c>
      <c r="B2705" s="37" t="s">
        <v>261</v>
      </c>
      <c r="C2705" s="37" t="s">
        <v>178</v>
      </c>
      <c r="D2705" s="37" t="s">
        <v>46</v>
      </c>
      <c r="E2705" s="38" t="n">
        <f aca="false">'Matrice des notes'!P79</f>
        <v>5</v>
      </c>
      <c r="F2705" s="37" t="s">
        <v>1019</v>
      </c>
      <c r="G2705" s="39" t="s">
        <v>1020</v>
      </c>
    </row>
    <row r="2706" customFormat="false" ht="22.35" hidden="false" customHeight="false" outlineLevel="0" collapsed="false">
      <c r="A2706" s="37" t="s">
        <v>253</v>
      </c>
      <c r="B2706" s="37" t="s">
        <v>261</v>
      </c>
      <c r="C2706" s="37" t="s">
        <v>179</v>
      </c>
      <c r="D2706" s="37" t="s">
        <v>49</v>
      </c>
      <c r="E2706" s="38" t="n">
        <f aca="false">'Matrice des notes'!Q79</f>
        <v>4</v>
      </c>
      <c r="F2706" s="37" t="s">
        <v>688</v>
      </c>
      <c r="G2706" s="39" t="s">
        <v>1021</v>
      </c>
    </row>
    <row r="2707" customFormat="false" ht="15" hidden="false" customHeight="false" outlineLevel="0" collapsed="false">
      <c r="A2707" s="37" t="s">
        <v>253</v>
      </c>
      <c r="B2707" s="37" t="s">
        <v>261</v>
      </c>
      <c r="C2707" s="37" t="s">
        <v>179</v>
      </c>
      <c r="D2707" s="37" t="s">
        <v>53</v>
      </c>
      <c r="E2707" s="38" t="n">
        <f aca="false">'Matrice des notes'!R79</f>
        <v>3</v>
      </c>
      <c r="F2707" s="37" t="s">
        <v>992</v>
      </c>
      <c r="G2707" s="39" t="s">
        <v>996</v>
      </c>
    </row>
    <row r="2708" customFormat="false" ht="22.35" hidden="false" customHeight="false" outlineLevel="0" collapsed="false">
      <c r="A2708" s="37" t="s">
        <v>253</v>
      </c>
      <c r="B2708" s="37" t="s">
        <v>261</v>
      </c>
      <c r="C2708" s="37" t="s">
        <v>179</v>
      </c>
      <c r="D2708" s="37" t="s">
        <v>56</v>
      </c>
      <c r="E2708" s="38" t="n">
        <f aca="false">'Matrice des notes'!S79</f>
        <v>4</v>
      </c>
      <c r="F2708" s="37" t="s">
        <v>643</v>
      </c>
      <c r="G2708" s="39" t="s">
        <v>1022</v>
      </c>
    </row>
    <row r="2709" customFormat="false" ht="15" hidden="false" customHeight="false" outlineLevel="0" collapsed="false">
      <c r="A2709" s="37" t="s">
        <v>253</v>
      </c>
      <c r="B2709" s="37" t="s">
        <v>261</v>
      </c>
      <c r="C2709" s="37" t="s">
        <v>179</v>
      </c>
      <c r="D2709" s="37" t="s">
        <v>59</v>
      </c>
      <c r="E2709" s="38" t="n">
        <f aca="false">'Matrice des notes'!T79</f>
        <v>4</v>
      </c>
      <c r="F2709" s="37" t="s">
        <v>623</v>
      </c>
      <c r="G2709" s="39" t="s">
        <v>1010</v>
      </c>
    </row>
    <row r="2710" customFormat="false" ht="22.35" hidden="false" customHeight="false" outlineLevel="0" collapsed="false">
      <c r="A2710" s="37" t="s">
        <v>253</v>
      </c>
      <c r="B2710" s="37" t="s">
        <v>261</v>
      </c>
      <c r="C2710" s="37" t="s">
        <v>179</v>
      </c>
      <c r="D2710" s="37" t="s">
        <v>62</v>
      </c>
      <c r="E2710" s="38" t="n">
        <f aca="false">'Matrice des notes'!U79</f>
        <v>4</v>
      </c>
      <c r="F2710" s="37" t="s">
        <v>621</v>
      </c>
      <c r="G2710" s="39" t="s">
        <v>1023</v>
      </c>
    </row>
    <row r="2711" customFormat="false" ht="15" hidden="false" customHeight="false" outlineLevel="0" collapsed="false">
      <c r="A2711" s="37" t="s">
        <v>253</v>
      </c>
      <c r="B2711" s="37" t="s">
        <v>261</v>
      </c>
      <c r="C2711" s="37" t="s">
        <v>179</v>
      </c>
      <c r="D2711" s="37" t="s">
        <v>65</v>
      </c>
      <c r="E2711" s="38" t="n">
        <f aca="false">'Matrice des notes'!V79</f>
        <v>3</v>
      </c>
      <c r="F2711" s="37" t="s">
        <v>997</v>
      </c>
      <c r="G2711" s="39" t="s">
        <v>1024</v>
      </c>
    </row>
    <row r="2712" customFormat="false" ht="15" hidden="false" customHeight="false" outlineLevel="0" collapsed="false">
      <c r="A2712" s="37" t="s">
        <v>253</v>
      </c>
      <c r="B2712" s="37" t="s">
        <v>261</v>
      </c>
      <c r="C2712" s="37" t="s">
        <v>179</v>
      </c>
      <c r="D2712" s="37" t="s">
        <v>68</v>
      </c>
      <c r="E2712" s="38" t="n">
        <f aca="false">'Matrice des notes'!W79</f>
        <v>2</v>
      </c>
      <c r="F2712" s="37" t="s">
        <v>649</v>
      </c>
      <c r="G2712" s="39" t="s">
        <v>650</v>
      </c>
    </row>
    <row r="2713" customFormat="false" ht="22.35" hidden="false" customHeight="false" outlineLevel="0" collapsed="false">
      <c r="A2713" s="37" t="s">
        <v>253</v>
      </c>
      <c r="B2713" s="37" t="s">
        <v>261</v>
      </c>
      <c r="C2713" s="37" t="s">
        <v>179</v>
      </c>
      <c r="D2713" s="37" t="s">
        <v>71</v>
      </c>
      <c r="E2713" s="38" t="n">
        <f aca="false">'Matrice des notes'!X79</f>
        <v>4</v>
      </c>
      <c r="F2713" s="37" t="s">
        <v>688</v>
      </c>
      <c r="G2713" s="39" t="s">
        <v>1025</v>
      </c>
    </row>
    <row r="2714" customFormat="false" ht="15" hidden="false" customHeight="false" outlineLevel="0" collapsed="false">
      <c r="A2714" s="37" t="s">
        <v>253</v>
      </c>
      <c r="B2714" s="37" t="s">
        <v>261</v>
      </c>
      <c r="C2714" s="37" t="s">
        <v>179</v>
      </c>
      <c r="D2714" s="37" t="s">
        <v>74</v>
      </c>
      <c r="E2714" s="38" t="n">
        <f aca="false">'Matrice des notes'!Y79</f>
        <v>4</v>
      </c>
      <c r="F2714" s="37" t="s">
        <v>1026</v>
      </c>
      <c r="G2714" s="39" t="s">
        <v>1027</v>
      </c>
    </row>
    <row r="2715" customFormat="false" ht="15" hidden="false" customHeight="false" outlineLevel="0" collapsed="false">
      <c r="A2715" s="37" t="s">
        <v>253</v>
      </c>
      <c r="B2715" s="37" t="s">
        <v>261</v>
      </c>
      <c r="C2715" s="37" t="s">
        <v>179</v>
      </c>
      <c r="D2715" s="37" t="s">
        <v>77</v>
      </c>
      <c r="E2715" s="38" t="n">
        <f aca="false">'Matrice des notes'!Z79</f>
        <v>5</v>
      </c>
      <c r="F2715" s="37" t="s">
        <v>1028</v>
      </c>
      <c r="G2715" s="39" t="s">
        <v>1029</v>
      </c>
    </row>
    <row r="2716" customFormat="false" ht="15" hidden="false" customHeight="false" outlineLevel="0" collapsed="false">
      <c r="A2716" s="37" t="s">
        <v>253</v>
      </c>
      <c r="B2716" s="37" t="s">
        <v>261</v>
      </c>
      <c r="C2716" s="37" t="s">
        <v>179</v>
      </c>
      <c r="D2716" s="37" t="s">
        <v>80</v>
      </c>
      <c r="E2716" s="38" t="n">
        <f aca="false">'Matrice des notes'!AA79</f>
        <v>3</v>
      </c>
      <c r="F2716" s="37" t="s">
        <v>1000</v>
      </c>
      <c r="G2716" s="39" t="s">
        <v>1030</v>
      </c>
    </row>
    <row r="2717" customFormat="false" ht="15" hidden="false" customHeight="false" outlineLevel="0" collapsed="false">
      <c r="A2717" s="37" t="s">
        <v>253</v>
      </c>
      <c r="B2717" s="37" t="s">
        <v>261</v>
      </c>
      <c r="C2717" s="37" t="s">
        <v>179</v>
      </c>
      <c r="D2717" s="37" t="s">
        <v>83</v>
      </c>
      <c r="E2717" s="38" t="n">
        <f aca="false">'Matrice des notes'!AB79</f>
        <v>3</v>
      </c>
      <c r="F2717" s="37" t="s">
        <v>652</v>
      </c>
      <c r="G2717" s="39" t="s">
        <v>653</v>
      </c>
    </row>
    <row r="2718" customFormat="false" ht="15" hidden="false" customHeight="false" outlineLevel="0" collapsed="false">
      <c r="A2718" s="37" t="s">
        <v>253</v>
      </c>
      <c r="B2718" s="37" t="s">
        <v>261</v>
      </c>
      <c r="C2718" s="37" t="s">
        <v>179</v>
      </c>
      <c r="D2718" s="37" t="s">
        <v>86</v>
      </c>
      <c r="E2718" s="38" t="n">
        <f aca="false">'Matrice des notes'!AC79</f>
        <v>2</v>
      </c>
      <c r="F2718" s="37" t="s">
        <v>652</v>
      </c>
      <c r="G2718" s="39" t="s">
        <v>653</v>
      </c>
    </row>
    <row r="2719" customFormat="false" ht="15" hidden="false" customHeight="false" outlineLevel="0" collapsed="false">
      <c r="A2719" s="37" t="s">
        <v>253</v>
      </c>
      <c r="B2719" s="37" t="s">
        <v>261</v>
      </c>
      <c r="C2719" s="37" t="s">
        <v>179</v>
      </c>
      <c r="D2719" s="37" t="s">
        <v>89</v>
      </c>
      <c r="E2719" s="38" t="n">
        <f aca="false">'Matrice des notes'!AD79</f>
        <v>3</v>
      </c>
      <c r="F2719" s="37" t="s">
        <v>652</v>
      </c>
      <c r="G2719" s="39" t="s">
        <v>653</v>
      </c>
    </row>
    <row r="2720" customFormat="false" ht="15" hidden="false" customHeight="false" outlineLevel="0" collapsed="false">
      <c r="A2720" s="37" t="s">
        <v>253</v>
      </c>
      <c r="B2720" s="37" t="s">
        <v>261</v>
      </c>
      <c r="C2720" s="37" t="s">
        <v>179</v>
      </c>
      <c r="D2720" s="37" t="s">
        <v>92</v>
      </c>
      <c r="E2720" s="38" t="n">
        <f aca="false">'Matrice des notes'!AE79</f>
        <v>2</v>
      </c>
      <c r="F2720" s="37" t="s">
        <v>652</v>
      </c>
      <c r="G2720" s="39" t="s">
        <v>653</v>
      </c>
    </row>
    <row r="2721" customFormat="false" ht="15" hidden="false" customHeight="false" outlineLevel="0" collapsed="false">
      <c r="A2721" s="37" t="s">
        <v>253</v>
      </c>
      <c r="B2721" s="37" t="s">
        <v>261</v>
      </c>
      <c r="C2721" s="37" t="s">
        <v>180</v>
      </c>
      <c r="D2721" s="37" t="s">
        <v>95</v>
      </c>
      <c r="E2721" s="38" t="n">
        <f aca="false">'Matrice des notes'!AF79</f>
        <v>1</v>
      </c>
      <c r="F2721" s="37" t="s">
        <v>631</v>
      </c>
      <c r="G2721" s="39" t="s">
        <v>654</v>
      </c>
    </row>
    <row r="2722" customFormat="false" ht="15" hidden="false" customHeight="false" outlineLevel="0" collapsed="false">
      <c r="A2722" s="37" t="s">
        <v>253</v>
      </c>
      <c r="B2722" s="37" t="s">
        <v>261</v>
      </c>
      <c r="C2722" s="37" t="s">
        <v>180</v>
      </c>
      <c r="D2722" s="37" t="s">
        <v>99</v>
      </c>
      <c r="E2722" s="38" t="n">
        <f aca="false">'Matrice des notes'!AG79</f>
        <v>1</v>
      </c>
      <c r="F2722" s="37" t="s">
        <v>655</v>
      </c>
      <c r="G2722" s="39" t="s">
        <v>656</v>
      </c>
    </row>
    <row r="2723" customFormat="false" ht="15" hidden="false" customHeight="false" outlineLevel="0" collapsed="false">
      <c r="A2723" s="37" t="s">
        <v>253</v>
      </c>
      <c r="B2723" s="37" t="s">
        <v>261</v>
      </c>
      <c r="C2723" s="37" t="s">
        <v>180</v>
      </c>
      <c r="D2723" s="37" t="s">
        <v>102</v>
      </c>
      <c r="E2723" s="38" t="n">
        <f aca="false">'Matrice des notes'!AH79</f>
        <v>1</v>
      </c>
      <c r="F2723" s="37" t="s">
        <v>655</v>
      </c>
      <c r="G2723" s="39" t="s">
        <v>656</v>
      </c>
    </row>
    <row r="2724" customFormat="false" ht="15" hidden="false" customHeight="false" outlineLevel="0" collapsed="false">
      <c r="A2724" s="37" t="s">
        <v>253</v>
      </c>
      <c r="B2724" s="37" t="s">
        <v>261</v>
      </c>
      <c r="C2724" s="37" t="s">
        <v>180</v>
      </c>
      <c r="D2724" s="37" t="s">
        <v>104</v>
      </c>
      <c r="E2724" s="38" t="n">
        <f aca="false">'Matrice des notes'!AI79</f>
        <v>1</v>
      </c>
      <c r="F2724" s="37" t="s">
        <v>631</v>
      </c>
      <c r="G2724" s="39" t="s">
        <v>654</v>
      </c>
    </row>
    <row r="2725" customFormat="false" ht="15" hidden="false" customHeight="false" outlineLevel="0" collapsed="false">
      <c r="A2725" s="37" t="s">
        <v>253</v>
      </c>
      <c r="B2725" s="37" t="s">
        <v>261</v>
      </c>
      <c r="C2725" s="37" t="s">
        <v>180</v>
      </c>
      <c r="D2725" s="37" t="s">
        <v>107</v>
      </c>
      <c r="E2725" s="38" t="n">
        <f aca="false">'Matrice des notes'!AJ79</f>
        <v>1</v>
      </c>
      <c r="F2725" s="37" t="s">
        <v>631</v>
      </c>
      <c r="G2725" s="39" t="s">
        <v>654</v>
      </c>
    </row>
    <row r="2726" customFormat="false" ht="15" hidden="false" customHeight="false" outlineLevel="0" collapsed="false">
      <c r="A2726" s="37" t="s">
        <v>253</v>
      </c>
      <c r="B2726" s="37" t="s">
        <v>261</v>
      </c>
      <c r="C2726" s="37" t="s">
        <v>180</v>
      </c>
      <c r="D2726" s="37" t="s">
        <v>110</v>
      </c>
      <c r="E2726" s="38" t="n">
        <f aca="false">'Matrice des notes'!AK79</f>
        <v>1</v>
      </c>
      <c r="F2726" s="37" t="s">
        <v>631</v>
      </c>
      <c r="G2726" s="39" t="s">
        <v>654</v>
      </c>
    </row>
    <row r="2727" customFormat="false" ht="15" hidden="false" customHeight="false" outlineLevel="0" collapsed="false">
      <c r="A2727" s="37" t="s">
        <v>253</v>
      </c>
      <c r="B2727" s="37" t="s">
        <v>261</v>
      </c>
      <c r="C2727" s="37" t="s">
        <v>180</v>
      </c>
      <c r="D2727" s="37" t="s">
        <v>113</v>
      </c>
      <c r="E2727" s="38" t="n">
        <f aca="false">'Matrice des notes'!AL79</f>
        <v>1</v>
      </c>
      <c r="F2727" s="37" t="s">
        <v>631</v>
      </c>
      <c r="G2727" s="39" t="s">
        <v>654</v>
      </c>
    </row>
    <row r="2728" customFormat="false" ht="15" hidden="false" customHeight="false" outlineLevel="0" collapsed="false">
      <c r="A2728" s="37" t="s">
        <v>253</v>
      </c>
      <c r="B2728" s="37" t="s">
        <v>261</v>
      </c>
      <c r="C2728" s="37" t="s">
        <v>180</v>
      </c>
      <c r="D2728" s="37" t="s">
        <v>116</v>
      </c>
      <c r="E2728" s="38" t="n">
        <f aca="false">'Matrice des notes'!AM79</f>
        <v>1</v>
      </c>
      <c r="F2728" s="37" t="s">
        <v>655</v>
      </c>
      <c r="G2728" s="39" t="s">
        <v>656</v>
      </c>
    </row>
    <row r="2729" customFormat="false" ht="15" hidden="false" customHeight="false" outlineLevel="0" collapsed="false">
      <c r="A2729" s="37" t="s">
        <v>253</v>
      </c>
      <c r="B2729" s="37" t="s">
        <v>261</v>
      </c>
      <c r="C2729" s="37" t="s">
        <v>180</v>
      </c>
      <c r="D2729" s="37" t="s">
        <v>119</v>
      </c>
      <c r="E2729" s="38" t="n">
        <f aca="false">'Matrice des notes'!AN79</f>
        <v>1</v>
      </c>
      <c r="F2729" s="37" t="s">
        <v>631</v>
      </c>
      <c r="G2729" s="39" t="s">
        <v>654</v>
      </c>
    </row>
    <row r="2730" customFormat="false" ht="15" hidden="false" customHeight="false" outlineLevel="0" collapsed="false">
      <c r="A2730" s="37" t="s">
        <v>253</v>
      </c>
      <c r="B2730" s="37" t="s">
        <v>261</v>
      </c>
      <c r="C2730" s="37" t="s">
        <v>180</v>
      </c>
      <c r="D2730" s="37" t="s">
        <v>121</v>
      </c>
      <c r="E2730" s="38" t="n">
        <f aca="false">'Matrice des notes'!AO79</f>
        <v>1</v>
      </c>
      <c r="F2730" s="37" t="s">
        <v>657</v>
      </c>
      <c r="G2730" s="39" t="s">
        <v>658</v>
      </c>
    </row>
    <row r="2731" customFormat="false" ht="15" hidden="false" customHeight="false" outlineLevel="0" collapsed="false">
      <c r="A2731" s="37" t="s">
        <v>253</v>
      </c>
      <c r="B2731" s="37" t="s">
        <v>261</v>
      </c>
      <c r="C2731" s="37" t="s">
        <v>180</v>
      </c>
      <c r="D2731" s="37" t="s">
        <v>124</v>
      </c>
      <c r="E2731" s="38" t="n">
        <f aca="false">'Matrice des notes'!AP79</f>
        <v>3</v>
      </c>
      <c r="F2731" s="37" t="s">
        <v>659</v>
      </c>
      <c r="G2731" s="39" t="s">
        <v>660</v>
      </c>
    </row>
    <row r="2732" customFormat="false" ht="15" hidden="false" customHeight="false" outlineLevel="0" collapsed="false">
      <c r="A2732" s="37" t="s">
        <v>262</v>
      </c>
      <c r="B2732" s="37" t="s">
        <v>264</v>
      </c>
      <c r="C2732" s="37" t="s">
        <v>178</v>
      </c>
      <c r="D2732" s="37" t="s">
        <v>7</v>
      </c>
      <c r="E2732" s="38" t="n">
        <f aca="false">'Matrice des notes'!D81</f>
        <v>1</v>
      </c>
      <c r="F2732" s="37" t="s">
        <v>635</v>
      </c>
      <c r="G2732" s="39" t="s">
        <v>1064</v>
      </c>
    </row>
    <row r="2733" customFormat="false" ht="15" hidden="false" customHeight="false" outlineLevel="0" collapsed="false">
      <c r="A2733" s="37" t="s">
        <v>262</v>
      </c>
      <c r="B2733" s="37" t="s">
        <v>264</v>
      </c>
      <c r="C2733" s="37" t="s">
        <v>178</v>
      </c>
      <c r="D2733" s="37" t="s">
        <v>11</v>
      </c>
      <c r="E2733" s="38" t="n">
        <f aca="false">'Matrice des notes'!E81</f>
        <v>1</v>
      </c>
      <c r="F2733" s="37" t="s">
        <v>635</v>
      </c>
      <c r="G2733" s="39" t="s">
        <v>1064</v>
      </c>
    </row>
    <row r="2734" customFormat="false" ht="15" hidden="false" customHeight="false" outlineLevel="0" collapsed="false">
      <c r="A2734" s="37" t="s">
        <v>262</v>
      </c>
      <c r="B2734" s="37" t="s">
        <v>264</v>
      </c>
      <c r="C2734" s="37" t="s">
        <v>178</v>
      </c>
      <c r="D2734" s="37" t="s">
        <v>14</v>
      </c>
      <c r="E2734" s="38" t="n">
        <f aca="false">'Matrice des notes'!F81</f>
        <v>1</v>
      </c>
      <c r="F2734" s="37" t="s">
        <v>635</v>
      </c>
      <c r="G2734" s="39" t="s">
        <v>1064</v>
      </c>
    </row>
    <row r="2735" customFormat="false" ht="15" hidden="false" customHeight="false" outlineLevel="0" collapsed="false">
      <c r="A2735" s="37" t="s">
        <v>262</v>
      </c>
      <c r="B2735" s="37" t="s">
        <v>264</v>
      </c>
      <c r="C2735" s="37" t="s">
        <v>178</v>
      </c>
      <c r="D2735" s="37" t="s">
        <v>17</v>
      </c>
      <c r="E2735" s="38" t="n">
        <f aca="false">'Matrice des notes'!G81</f>
        <v>1</v>
      </c>
      <c r="F2735" s="37" t="s">
        <v>635</v>
      </c>
      <c r="G2735" s="39" t="s">
        <v>1064</v>
      </c>
    </row>
    <row r="2736" customFormat="false" ht="15" hidden="false" customHeight="false" outlineLevel="0" collapsed="false">
      <c r="A2736" s="37" t="s">
        <v>262</v>
      </c>
      <c r="B2736" s="37" t="s">
        <v>264</v>
      </c>
      <c r="C2736" s="37" t="s">
        <v>178</v>
      </c>
      <c r="D2736" s="37" t="s">
        <v>20</v>
      </c>
      <c r="E2736" s="38" t="n">
        <f aca="false">'Matrice des notes'!H81</f>
        <v>1</v>
      </c>
      <c r="F2736" s="37" t="s">
        <v>635</v>
      </c>
      <c r="G2736" s="39" t="s">
        <v>1064</v>
      </c>
    </row>
    <row r="2737" customFormat="false" ht="15" hidden="false" customHeight="false" outlineLevel="0" collapsed="false">
      <c r="A2737" s="37" t="s">
        <v>262</v>
      </c>
      <c r="B2737" s="37" t="s">
        <v>264</v>
      </c>
      <c r="C2737" s="37" t="s">
        <v>178</v>
      </c>
      <c r="D2737" s="37" t="s">
        <v>23</v>
      </c>
      <c r="E2737" s="38" t="n">
        <f aca="false">'Matrice des notes'!I81</f>
        <v>1</v>
      </c>
      <c r="F2737" s="37" t="s">
        <v>635</v>
      </c>
      <c r="G2737" s="39" t="s">
        <v>1064</v>
      </c>
    </row>
    <row r="2738" customFormat="false" ht="15" hidden="false" customHeight="false" outlineLevel="0" collapsed="false">
      <c r="A2738" s="37" t="s">
        <v>262</v>
      </c>
      <c r="B2738" s="37" t="s">
        <v>264</v>
      </c>
      <c r="C2738" s="37" t="s">
        <v>178</v>
      </c>
      <c r="D2738" s="37" t="s">
        <v>26</v>
      </c>
      <c r="E2738" s="38" t="n">
        <f aca="false">'Matrice des notes'!J81</f>
        <v>1</v>
      </c>
      <c r="F2738" s="37" t="s">
        <v>635</v>
      </c>
      <c r="G2738" s="39" t="s">
        <v>1064</v>
      </c>
    </row>
    <row r="2739" customFormat="false" ht="15" hidden="false" customHeight="false" outlineLevel="0" collapsed="false">
      <c r="A2739" s="37" t="s">
        <v>262</v>
      </c>
      <c r="B2739" s="37" t="s">
        <v>264</v>
      </c>
      <c r="C2739" s="37" t="s">
        <v>178</v>
      </c>
      <c r="D2739" s="37" t="s">
        <v>30</v>
      </c>
      <c r="E2739" s="38" t="n">
        <f aca="false">'Matrice des notes'!K81</f>
        <v>1</v>
      </c>
      <c r="F2739" s="37" t="s">
        <v>635</v>
      </c>
      <c r="G2739" s="39" t="s">
        <v>1064</v>
      </c>
    </row>
    <row r="2740" customFormat="false" ht="15" hidden="false" customHeight="false" outlineLevel="0" collapsed="false">
      <c r="A2740" s="37" t="s">
        <v>262</v>
      </c>
      <c r="B2740" s="37" t="s">
        <v>264</v>
      </c>
      <c r="C2740" s="37" t="s">
        <v>178</v>
      </c>
      <c r="D2740" s="37" t="s">
        <v>34</v>
      </c>
      <c r="E2740" s="38" t="n">
        <f aca="false">'Matrice des notes'!L81</f>
        <v>1</v>
      </c>
      <c r="F2740" s="37" t="s">
        <v>635</v>
      </c>
      <c r="G2740" s="39" t="s">
        <v>1064</v>
      </c>
    </row>
    <row r="2741" customFormat="false" ht="15" hidden="false" customHeight="false" outlineLevel="0" collapsed="false">
      <c r="A2741" s="37" t="s">
        <v>262</v>
      </c>
      <c r="B2741" s="37" t="s">
        <v>264</v>
      </c>
      <c r="C2741" s="37" t="s">
        <v>178</v>
      </c>
      <c r="D2741" s="37" t="s">
        <v>37</v>
      </c>
      <c r="E2741" s="38" t="n">
        <f aca="false">'Matrice des notes'!M81</f>
        <v>3</v>
      </c>
      <c r="F2741" s="37" t="s">
        <v>1002</v>
      </c>
      <c r="G2741" s="39" t="s">
        <v>1065</v>
      </c>
    </row>
    <row r="2742" customFormat="false" ht="15" hidden="false" customHeight="false" outlineLevel="0" collapsed="false">
      <c r="A2742" s="37" t="s">
        <v>262</v>
      </c>
      <c r="B2742" s="37" t="s">
        <v>264</v>
      </c>
      <c r="C2742" s="37" t="s">
        <v>178</v>
      </c>
      <c r="D2742" s="37" t="s">
        <v>40</v>
      </c>
      <c r="E2742" s="38" t="n">
        <f aca="false">'Matrice des notes'!N81</f>
        <v>1</v>
      </c>
      <c r="F2742" s="37" t="s">
        <v>635</v>
      </c>
      <c r="G2742" s="39" t="s">
        <v>1064</v>
      </c>
    </row>
    <row r="2743" customFormat="false" ht="15" hidden="false" customHeight="false" outlineLevel="0" collapsed="false">
      <c r="A2743" s="37" t="s">
        <v>262</v>
      </c>
      <c r="B2743" s="37" t="s">
        <v>264</v>
      </c>
      <c r="C2743" s="37" t="s">
        <v>178</v>
      </c>
      <c r="D2743" s="37" t="s">
        <v>43</v>
      </c>
      <c r="E2743" s="38" t="n">
        <f aca="false">'Matrice des notes'!O81</f>
        <v>5</v>
      </c>
      <c r="F2743" s="37" t="s">
        <v>1066</v>
      </c>
      <c r="G2743" s="39" t="s">
        <v>1067</v>
      </c>
    </row>
    <row r="2744" customFormat="false" ht="15" hidden="false" customHeight="false" outlineLevel="0" collapsed="false">
      <c r="A2744" s="37" t="s">
        <v>262</v>
      </c>
      <c r="B2744" s="37" t="s">
        <v>264</v>
      </c>
      <c r="C2744" s="37" t="s">
        <v>178</v>
      </c>
      <c r="D2744" s="37" t="s">
        <v>46</v>
      </c>
      <c r="E2744" s="38" t="n">
        <f aca="false">'Matrice des notes'!P81</f>
        <v>1</v>
      </c>
      <c r="F2744" s="37" t="s">
        <v>635</v>
      </c>
      <c r="G2744" s="39" t="s">
        <v>1064</v>
      </c>
    </row>
    <row r="2745" customFormat="false" ht="15" hidden="false" customHeight="false" outlineLevel="0" collapsed="false">
      <c r="A2745" s="37" t="s">
        <v>262</v>
      </c>
      <c r="B2745" s="37" t="s">
        <v>264</v>
      </c>
      <c r="C2745" s="37" t="s">
        <v>179</v>
      </c>
      <c r="D2745" s="37" t="s">
        <v>49</v>
      </c>
      <c r="E2745" s="38" t="n">
        <f aca="false">'Matrice des notes'!Q81</f>
        <v>1</v>
      </c>
      <c r="F2745" s="37" t="s">
        <v>635</v>
      </c>
      <c r="G2745" s="39" t="s">
        <v>1064</v>
      </c>
    </row>
    <row r="2746" customFormat="false" ht="15" hidden="false" customHeight="false" outlineLevel="0" collapsed="false">
      <c r="A2746" s="37" t="s">
        <v>262</v>
      </c>
      <c r="B2746" s="37" t="s">
        <v>264</v>
      </c>
      <c r="C2746" s="37" t="s">
        <v>179</v>
      </c>
      <c r="D2746" s="37" t="s">
        <v>53</v>
      </c>
      <c r="E2746" s="38" t="n">
        <f aca="false">'Matrice des notes'!R81</f>
        <v>1</v>
      </c>
      <c r="F2746" s="37" t="s">
        <v>635</v>
      </c>
      <c r="G2746" s="39" t="s">
        <v>1064</v>
      </c>
    </row>
    <row r="2747" customFormat="false" ht="15" hidden="false" customHeight="false" outlineLevel="0" collapsed="false">
      <c r="A2747" s="37" t="s">
        <v>262</v>
      </c>
      <c r="B2747" s="37" t="s">
        <v>264</v>
      </c>
      <c r="C2747" s="37" t="s">
        <v>179</v>
      </c>
      <c r="D2747" s="37" t="s">
        <v>56</v>
      </c>
      <c r="E2747" s="38" t="n">
        <f aca="false">'Matrice des notes'!S81</f>
        <v>1</v>
      </c>
      <c r="F2747" s="37" t="s">
        <v>635</v>
      </c>
      <c r="G2747" s="39" t="s">
        <v>1064</v>
      </c>
    </row>
    <row r="2748" customFormat="false" ht="15" hidden="false" customHeight="false" outlineLevel="0" collapsed="false">
      <c r="A2748" s="37" t="s">
        <v>262</v>
      </c>
      <c r="B2748" s="37" t="s">
        <v>264</v>
      </c>
      <c r="C2748" s="37" t="s">
        <v>179</v>
      </c>
      <c r="D2748" s="37" t="s">
        <v>59</v>
      </c>
      <c r="E2748" s="38" t="n">
        <f aca="false">'Matrice des notes'!T81</f>
        <v>1</v>
      </c>
      <c r="F2748" s="37" t="s">
        <v>635</v>
      </c>
      <c r="G2748" s="39" t="s">
        <v>1064</v>
      </c>
    </row>
    <row r="2749" customFormat="false" ht="15" hidden="false" customHeight="false" outlineLevel="0" collapsed="false">
      <c r="A2749" s="37" t="s">
        <v>262</v>
      </c>
      <c r="B2749" s="37" t="s">
        <v>264</v>
      </c>
      <c r="C2749" s="37" t="s">
        <v>179</v>
      </c>
      <c r="D2749" s="37" t="s">
        <v>62</v>
      </c>
      <c r="E2749" s="38" t="n">
        <f aca="false">'Matrice des notes'!U81</f>
        <v>1</v>
      </c>
      <c r="F2749" s="37" t="s">
        <v>635</v>
      </c>
      <c r="G2749" s="39" t="s">
        <v>1064</v>
      </c>
    </row>
    <row r="2750" customFormat="false" ht="15" hidden="false" customHeight="false" outlineLevel="0" collapsed="false">
      <c r="A2750" s="37" t="s">
        <v>262</v>
      </c>
      <c r="B2750" s="37" t="s">
        <v>264</v>
      </c>
      <c r="C2750" s="37" t="s">
        <v>179</v>
      </c>
      <c r="D2750" s="37" t="s">
        <v>65</v>
      </c>
      <c r="E2750" s="38" t="n">
        <f aca="false">'Matrice des notes'!V81</f>
        <v>1</v>
      </c>
      <c r="F2750" s="37" t="s">
        <v>635</v>
      </c>
      <c r="G2750" s="39" t="s">
        <v>1064</v>
      </c>
    </row>
    <row r="2751" customFormat="false" ht="15" hidden="false" customHeight="false" outlineLevel="0" collapsed="false">
      <c r="A2751" s="37" t="s">
        <v>262</v>
      </c>
      <c r="B2751" s="37" t="s">
        <v>264</v>
      </c>
      <c r="C2751" s="37" t="s">
        <v>179</v>
      </c>
      <c r="D2751" s="37" t="s">
        <v>68</v>
      </c>
      <c r="E2751" s="38" t="n">
        <f aca="false">'Matrice des notes'!W81</f>
        <v>3</v>
      </c>
      <c r="F2751" s="37" t="s">
        <v>1068</v>
      </c>
      <c r="G2751" s="39" t="s">
        <v>1069</v>
      </c>
    </row>
    <row r="2752" customFormat="false" ht="15" hidden="false" customHeight="false" outlineLevel="0" collapsed="false">
      <c r="A2752" s="37" t="s">
        <v>262</v>
      </c>
      <c r="B2752" s="37" t="s">
        <v>264</v>
      </c>
      <c r="C2752" s="37" t="s">
        <v>179</v>
      </c>
      <c r="D2752" s="37" t="s">
        <v>71</v>
      </c>
      <c r="E2752" s="38" t="n">
        <f aca="false">'Matrice des notes'!X81</f>
        <v>1</v>
      </c>
      <c r="F2752" s="37" t="s">
        <v>635</v>
      </c>
      <c r="G2752" s="39" t="s">
        <v>1064</v>
      </c>
    </row>
    <row r="2753" customFormat="false" ht="15" hidden="false" customHeight="false" outlineLevel="0" collapsed="false">
      <c r="A2753" s="37" t="s">
        <v>262</v>
      </c>
      <c r="B2753" s="37" t="s">
        <v>264</v>
      </c>
      <c r="C2753" s="37" t="s">
        <v>179</v>
      </c>
      <c r="D2753" s="37" t="s">
        <v>74</v>
      </c>
      <c r="E2753" s="38" t="n">
        <f aca="false">'Matrice des notes'!Y81</f>
        <v>1</v>
      </c>
      <c r="F2753" s="37" t="s">
        <v>635</v>
      </c>
      <c r="G2753" s="39" t="s">
        <v>1064</v>
      </c>
    </row>
    <row r="2754" customFormat="false" ht="15" hidden="false" customHeight="false" outlineLevel="0" collapsed="false">
      <c r="A2754" s="37" t="s">
        <v>262</v>
      </c>
      <c r="B2754" s="37" t="s">
        <v>264</v>
      </c>
      <c r="C2754" s="37" t="s">
        <v>179</v>
      </c>
      <c r="D2754" s="37" t="s">
        <v>77</v>
      </c>
      <c r="E2754" s="38" t="n">
        <f aca="false">'Matrice des notes'!Z81</f>
        <v>1</v>
      </c>
      <c r="F2754" s="37" t="s">
        <v>635</v>
      </c>
      <c r="G2754" s="39" t="s">
        <v>1064</v>
      </c>
    </row>
    <row r="2755" customFormat="false" ht="15" hidden="false" customHeight="false" outlineLevel="0" collapsed="false">
      <c r="A2755" s="37" t="s">
        <v>262</v>
      </c>
      <c r="B2755" s="37" t="s">
        <v>264</v>
      </c>
      <c r="C2755" s="37" t="s">
        <v>179</v>
      </c>
      <c r="D2755" s="37" t="s">
        <v>80</v>
      </c>
      <c r="E2755" s="38" t="n">
        <f aca="false">'Matrice des notes'!AA81</f>
        <v>1</v>
      </c>
      <c r="F2755" s="37" t="s">
        <v>635</v>
      </c>
      <c r="G2755" s="39" t="s">
        <v>1064</v>
      </c>
    </row>
    <row r="2756" customFormat="false" ht="15" hidden="false" customHeight="false" outlineLevel="0" collapsed="false">
      <c r="A2756" s="37" t="s">
        <v>262</v>
      </c>
      <c r="B2756" s="37" t="s">
        <v>264</v>
      </c>
      <c r="C2756" s="37" t="s">
        <v>179</v>
      </c>
      <c r="D2756" s="37" t="s">
        <v>83</v>
      </c>
      <c r="E2756" s="38" t="n">
        <f aca="false">'Matrice des notes'!AB81</f>
        <v>1</v>
      </c>
      <c r="F2756" s="37" t="s">
        <v>635</v>
      </c>
      <c r="G2756" s="39" t="s">
        <v>1064</v>
      </c>
    </row>
    <row r="2757" customFormat="false" ht="15" hidden="false" customHeight="false" outlineLevel="0" collapsed="false">
      <c r="A2757" s="37" t="s">
        <v>262</v>
      </c>
      <c r="B2757" s="37" t="s">
        <v>264</v>
      </c>
      <c r="C2757" s="37" t="s">
        <v>179</v>
      </c>
      <c r="D2757" s="37" t="s">
        <v>86</v>
      </c>
      <c r="E2757" s="38" t="n">
        <f aca="false">'Matrice des notes'!AC81</f>
        <v>1</v>
      </c>
      <c r="F2757" s="37" t="s">
        <v>635</v>
      </c>
      <c r="G2757" s="39" t="s">
        <v>1064</v>
      </c>
    </row>
    <row r="2758" customFormat="false" ht="15" hidden="false" customHeight="false" outlineLevel="0" collapsed="false">
      <c r="A2758" s="37" t="s">
        <v>262</v>
      </c>
      <c r="B2758" s="37" t="s">
        <v>264</v>
      </c>
      <c r="C2758" s="37" t="s">
        <v>179</v>
      </c>
      <c r="D2758" s="37" t="s">
        <v>89</v>
      </c>
      <c r="E2758" s="38" t="n">
        <f aca="false">'Matrice des notes'!AD81</f>
        <v>1</v>
      </c>
      <c r="F2758" s="37" t="s">
        <v>635</v>
      </c>
      <c r="G2758" s="39" t="s">
        <v>1064</v>
      </c>
    </row>
    <row r="2759" customFormat="false" ht="15" hidden="false" customHeight="false" outlineLevel="0" collapsed="false">
      <c r="A2759" s="37" t="s">
        <v>262</v>
      </c>
      <c r="B2759" s="37" t="s">
        <v>264</v>
      </c>
      <c r="C2759" s="37" t="s">
        <v>179</v>
      </c>
      <c r="D2759" s="37" t="s">
        <v>92</v>
      </c>
      <c r="E2759" s="38" t="n">
        <f aca="false">'Matrice des notes'!AE81</f>
        <v>1</v>
      </c>
      <c r="F2759" s="37" t="s">
        <v>635</v>
      </c>
      <c r="G2759" s="39" t="s">
        <v>1064</v>
      </c>
    </row>
    <row r="2760" customFormat="false" ht="22.35" hidden="false" customHeight="false" outlineLevel="0" collapsed="false">
      <c r="A2760" s="37" t="s">
        <v>262</v>
      </c>
      <c r="B2760" s="37" t="s">
        <v>264</v>
      </c>
      <c r="C2760" s="37" t="s">
        <v>180</v>
      </c>
      <c r="D2760" s="37" t="s">
        <v>95</v>
      </c>
      <c r="E2760" s="38" t="n">
        <f aca="false">'Matrice des notes'!AF81</f>
        <v>5</v>
      </c>
      <c r="F2760" s="37" t="s">
        <v>1070</v>
      </c>
      <c r="G2760" s="39" t="s">
        <v>1071</v>
      </c>
    </row>
    <row r="2761" customFormat="false" ht="15" hidden="false" customHeight="false" outlineLevel="0" collapsed="false">
      <c r="A2761" s="37" t="s">
        <v>262</v>
      </c>
      <c r="B2761" s="37" t="s">
        <v>264</v>
      </c>
      <c r="C2761" s="37" t="s">
        <v>180</v>
      </c>
      <c r="D2761" s="37" t="s">
        <v>99</v>
      </c>
      <c r="E2761" s="38" t="n">
        <f aca="false">'Matrice des notes'!AG81</f>
        <v>2</v>
      </c>
      <c r="F2761" s="37" t="s">
        <v>1072</v>
      </c>
      <c r="G2761" s="39" t="s">
        <v>1073</v>
      </c>
    </row>
    <row r="2762" customFormat="false" ht="15" hidden="false" customHeight="false" outlineLevel="0" collapsed="false">
      <c r="A2762" s="37" t="s">
        <v>262</v>
      </c>
      <c r="B2762" s="37" t="s">
        <v>264</v>
      </c>
      <c r="C2762" s="37" t="s">
        <v>180</v>
      </c>
      <c r="D2762" s="37" t="s">
        <v>102</v>
      </c>
      <c r="E2762" s="38" t="n">
        <f aca="false">'Matrice des notes'!AH81</f>
        <v>2</v>
      </c>
      <c r="F2762" s="37" t="s">
        <v>1074</v>
      </c>
      <c r="G2762" s="39" t="s">
        <v>1075</v>
      </c>
    </row>
    <row r="2763" customFormat="false" ht="15" hidden="false" customHeight="false" outlineLevel="0" collapsed="false">
      <c r="A2763" s="37" t="s">
        <v>262</v>
      </c>
      <c r="B2763" s="37" t="s">
        <v>264</v>
      </c>
      <c r="C2763" s="37" t="s">
        <v>180</v>
      </c>
      <c r="D2763" s="37" t="s">
        <v>104</v>
      </c>
      <c r="E2763" s="38" t="n">
        <f aca="false">'Matrice des notes'!AI81</f>
        <v>2</v>
      </c>
      <c r="F2763" s="37" t="s">
        <v>1076</v>
      </c>
      <c r="G2763" s="39" t="s">
        <v>1077</v>
      </c>
    </row>
    <row r="2764" customFormat="false" ht="15" hidden="false" customHeight="false" outlineLevel="0" collapsed="false">
      <c r="A2764" s="37" t="s">
        <v>262</v>
      </c>
      <c r="B2764" s="37" t="s">
        <v>264</v>
      </c>
      <c r="C2764" s="37" t="s">
        <v>180</v>
      </c>
      <c r="D2764" s="37" t="s">
        <v>107</v>
      </c>
      <c r="E2764" s="38" t="n">
        <f aca="false">'Matrice des notes'!AJ81</f>
        <v>3</v>
      </c>
      <c r="F2764" s="37" t="s">
        <v>1002</v>
      </c>
      <c r="G2764" s="39" t="s">
        <v>1078</v>
      </c>
    </row>
    <row r="2765" customFormat="false" ht="22.35" hidden="false" customHeight="false" outlineLevel="0" collapsed="false">
      <c r="A2765" s="37" t="s">
        <v>262</v>
      </c>
      <c r="B2765" s="37" t="s">
        <v>264</v>
      </c>
      <c r="C2765" s="37" t="s">
        <v>180</v>
      </c>
      <c r="D2765" s="37" t="s">
        <v>110</v>
      </c>
      <c r="E2765" s="38" t="n">
        <f aca="false">'Matrice des notes'!AK81</f>
        <v>4</v>
      </c>
      <c r="F2765" s="37" t="s">
        <v>1079</v>
      </c>
      <c r="G2765" s="39" t="s">
        <v>1080</v>
      </c>
    </row>
    <row r="2766" customFormat="false" ht="15" hidden="false" customHeight="false" outlineLevel="0" collapsed="false">
      <c r="A2766" s="37" t="s">
        <v>262</v>
      </c>
      <c r="B2766" s="37" t="s">
        <v>264</v>
      </c>
      <c r="C2766" s="37" t="s">
        <v>180</v>
      </c>
      <c r="D2766" s="37" t="s">
        <v>113</v>
      </c>
      <c r="E2766" s="38" t="n">
        <f aca="false">'Matrice des notes'!AL81</f>
        <v>4</v>
      </c>
      <c r="F2766" s="37" t="s">
        <v>1081</v>
      </c>
      <c r="G2766" s="39" t="s">
        <v>1082</v>
      </c>
    </row>
    <row r="2767" customFormat="false" ht="15" hidden="false" customHeight="false" outlineLevel="0" collapsed="false">
      <c r="A2767" s="37" t="s">
        <v>262</v>
      </c>
      <c r="B2767" s="37" t="s">
        <v>264</v>
      </c>
      <c r="C2767" s="37" t="s">
        <v>180</v>
      </c>
      <c r="D2767" s="37" t="s">
        <v>116</v>
      </c>
      <c r="E2767" s="38" t="n">
        <f aca="false">'Matrice des notes'!AM81</f>
        <v>2</v>
      </c>
      <c r="F2767" s="37" t="s">
        <v>1072</v>
      </c>
      <c r="G2767" s="39" t="s">
        <v>1083</v>
      </c>
    </row>
    <row r="2768" customFormat="false" ht="15" hidden="false" customHeight="false" outlineLevel="0" collapsed="false">
      <c r="A2768" s="37" t="s">
        <v>262</v>
      </c>
      <c r="B2768" s="37" t="s">
        <v>264</v>
      </c>
      <c r="C2768" s="37" t="s">
        <v>180</v>
      </c>
      <c r="D2768" s="37" t="s">
        <v>119</v>
      </c>
      <c r="E2768" s="38" t="n">
        <f aca="false">'Matrice des notes'!AN81</f>
        <v>4</v>
      </c>
      <c r="F2768" s="37" t="s">
        <v>1084</v>
      </c>
      <c r="G2768" s="39" t="s">
        <v>1085</v>
      </c>
    </row>
    <row r="2769" customFormat="false" ht="15" hidden="false" customHeight="false" outlineLevel="0" collapsed="false">
      <c r="A2769" s="37" t="s">
        <v>262</v>
      </c>
      <c r="B2769" s="37" t="s">
        <v>264</v>
      </c>
      <c r="C2769" s="37" t="s">
        <v>180</v>
      </c>
      <c r="D2769" s="37" t="s">
        <v>121</v>
      </c>
      <c r="E2769" s="38" t="n">
        <f aca="false">'Matrice des notes'!AO81</f>
        <v>2</v>
      </c>
      <c r="F2769" s="37" t="s">
        <v>1086</v>
      </c>
      <c r="G2769" s="39" t="s">
        <v>1087</v>
      </c>
    </row>
    <row r="2770" customFormat="false" ht="15" hidden="false" customHeight="false" outlineLevel="0" collapsed="false">
      <c r="A2770" s="37" t="s">
        <v>262</v>
      </c>
      <c r="B2770" s="37" t="s">
        <v>264</v>
      </c>
      <c r="C2770" s="37" t="s">
        <v>180</v>
      </c>
      <c r="D2770" s="37" t="s">
        <v>124</v>
      </c>
      <c r="E2770" s="38" t="n">
        <f aca="false">'Matrice des notes'!AP81</f>
        <v>3</v>
      </c>
      <c r="F2770" s="37" t="s">
        <v>1088</v>
      </c>
      <c r="G2770" s="39" t="s">
        <v>1089</v>
      </c>
    </row>
  </sheetData>
  <autoFilter ref="A1:G2770"/>
  <conditionalFormatting sqref="E2:E2770">
    <cfRule type="cellIs" priority="2" operator="equal" aboveAverage="0" equalAverage="0" bottom="0" percent="0" rank="0" text="" dxfId="0">
      <formula>1</formula>
    </cfRule>
    <cfRule type="cellIs" priority="3" operator="equal" aboveAverage="0" equalAverage="0" bottom="0" percent="0" rank="0" text="" dxfId="1">
      <formula>2</formula>
    </cfRule>
    <cfRule type="cellIs" priority="4" operator="equal" aboveAverage="0" equalAverage="0" bottom="0" percent="0" rank="0" text="" dxfId="2">
      <formula>3</formula>
    </cfRule>
    <cfRule type="cellIs" priority="5" operator="equal" aboveAverage="0" equalAverage="0" bottom="0" percent="0" rank="0" text="" dxfId="3">
      <formula>4</formula>
    </cfRule>
    <cfRule type="cellIs" priority="6" operator="equal" aboveAverage="0" equalAverage="0" bottom="0" percent="0" rank="0" text="" dxfId="4">
      <formula>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80"/>
    <col collapsed="false" customWidth="true" hidden="false" outlineLevel="0" max="4" min="4" style="0" width="12"/>
    <col collapsed="false" customWidth="true" hidden="false" outlineLevel="0" max="5" min="5" style="0" width="60"/>
  </cols>
  <sheetData>
    <row r="1" customFormat="false" ht="17.35" hidden="false" customHeight="false" outlineLevel="0" collapsed="false">
      <c r="A1" s="6" t="s">
        <v>1090</v>
      </c>
    </row>
    <row r="2" customFormat="false" ht="15" hidden="false" customHeight="false" outlineLevel="0" collapsed="false">
      <c r="A2" s="7" t="s">
        <v>1091</v>
      </c>
    </row>
    <row r="4" customFormat="false" ht="23.85" hidden="false" customHeight="false" outlineLevel="0" collapsed="false">
      <c r="A4" s="1" t="s">
        <v>1092</v>
      </c>
      <c r="B4" s="1" t="s">
        <v>1093</v>
      </c>
      <c r="C4" s="1" t="s">
        <v>1094</v>
      </c>
      <c r="D4" s="1" t="s">
        <v>1095</v>
      </c>
      <c r="E4" s="1" t="s">
        <v>1096</v>
      </c>
    </row>
    <row r="5" customFormat="false" ht="32.8" hidden="false" customHeight="false" outlineLevel="0" collapsed="false">
      <c r="A5" s="34" t="n">
        <v>1</v>
      </c>
      <c r="B5" s="3" t="s">
        <v>1097</v>
      </c>
      <c r="C5" s="3" t="s">
        <v>1098</v>
      </c>
      <c r="D5" s="34" t="n">
        <f aca="false">SUMPRODUCT(--ISNUMBER(SEARCH(", P"&amp;A5&amp;",",", "&amp;'Détail (filtrable)'!$F$2:$F$2770&amp;",")))</f>
        <v>0</v>
      </c>
      <c r="E5" s="3" t="s">
        <v>1099</v>
      </c>
    </row>
    <row r="6" customFormat="false" ht="32.8" hidden="false" customHeight="false" outlineLevel="0" collapsed="false">
      <c r="A6" s="34" t="n">
        <v>2</v>
      </c>
      <c r="B6" s="3" t="s">
        <v>1100</v>
      </c>
      <c r="C6" s="3" t="s">
        <v>1101</v>
      </c>
      <c r="D6" s="34" t="n">
        <f aca="false">SUMPRODUCT(--ISNUMBER(SEARCH(", P"&amp;A6&amp;",",", "&amp;'Détail (filtrable)'!$F$2:$F$2770&amp;",")))</f>
        <v>6</v>
      </c>
      <c r="E6" s="3"/>
    </row>
    <row r="7" customFormat="false" ht="22.35" hidden="false" customHeight="false" outlineLevel="0" collapsed="false">
      <c r="A7" s="34" t="n">
        <v>3</v>
      </c>
      <c r="B7" s="3" t="s">
        <v>1102</v>
      </c>
      <c r="C7" s="3" t="s">
        <v>1103</v>
      </c>
      <c r="D7" s="34" t="n">
        <f aca="false">SUMPRODUCT(--ISNUMBER(SEARCH(", P"&amp;A7&amp;",",", "&amp;'Détail (filtrable)'!$F$2:$F$2770&amp;",")))</f>
        <v>279</v>
      </c>
      <c r="E7" s="3"/>
    </row>
    <row r="8" customFormat="false" ht="32.8" hidden="false" customHeight="false" outlineLevel="0" collapsed="false">
      <c r="A8" s="34" t="n">
        <v>4</v>
      </c>
      <c r="B8" s="3" t="s">
        <v>1104</v>
      </c>
      <c r="C8" s="3" t="s">
        <v>1105</v>
      </c>
      <c r="D8" s="34" t="n">
        <f aca="false">SUMPRODUCT(--ISNUMBER(SEARCH(", P"&amp;A8&amp;",",", "&amp;'Détail (filtrable)'!$F$2:$F$2770&amp;",")))</f>
        <v>97</v>
      </c>
      <c r="E8" s="3"/>
    </row>
    <row r="9" customFormat="false" ht="22.35" hidden="false" customHeight="false" outlineLevel="0" collapsed="false">
      <c r="A9" s="34" t="n">
        <v>5</v>
      </c>
      <c r="B9" s="3" t="s">
        <v>1106</v>
      </c>
      <c r="C9" s="3" t="s">
        <v>1107</v>
      </c>
      <c r="D9" s="34" t="n">
        <f aca="false">SUMPRODUCT(--ISNUMBER(SEARCH(", P"&amp;A9&amp;",",", "&amp;'Détail (filtrable)'!$F$2:$F$2770&amp;",")))</f>
        <v>111</v>
      </c>
      <c r="E9" s="3"/>
    </row>
    <row r="10" customFormat="false" ht="43.25" hidden="false" customHeight="false" outlineLevel="0" collapsed="false">
      <c r="A10" s="34" t="n">
        <v>6</v>
      </c>
      <c r="B10" s="3" t="s">
        <v>1108</v>
      </c>
      <c r="C10" s="3" t="s">
        <v>1109</v>
      </c>
      <c r="D10" s="34" t="n">
        <f aca="false">SUMPRODUCT(--ISNUMBER(SEARCH(", P"&amp;A10&amp;",",", "&amp;'Détail (filtrable)'!$F$2:$F$2770&amp;",")))</f>
        <v>41</v>
      </c>
      <c r="E10" s="3"/>
    </row>
    <row r="11" customFormat="false" ht="32.8" hidden="false" customHeight="false" outlineLevel="0" collapsed="false">
      <c r="A11" s="34" t="n">
        <v>7</v>
      </c>
      <c r="B11" s="3" t="s">
        <v>1110</v>
      </c>
      <c r="C11" s="3" t="s">
        <v>1111</v>
      </c>
      <c r="D11" s="34" t="n">
        <f aca="false">SUMPRODUCT(--ISNUMBER(SEARCH(", P"&amp;A11&amp;",",", "&amp;'Détail (filtrable)'!$F$2:$F$2770&amp;",")))</f>
        <v>82</v>
      </c>
      <c r="E11" s="3"/>
    </row>
    <row r="12" customFormat="false" ht="32.8" hidden="false" customHeight="false" outlineLevel="0" collapsed="false">
      <c r="A12" s="34" t="n">
        <v>8</v>
      </c>
      <c r="B12" s="3" t="s">
        <v>1112</v>
      </c>
      <c r="C12" s="3" t="s">
        <v>1113</v>
      </c>
      <c r="D12" s="34" t="n">
        <f aca="false">SUMPRODUCT(--ISNUMBER(SEARCH(", P"&amp;A12&amp;",",", "&amp;'Détail (filtrable)'!$F$2:$F$2770&amp;",")))</f>
        <v>0</v>
      </c>
      <c r="E12" s="3" t="s">
        <v>1114</v>
      </c>
    </row>
    <row r="13" customFormat="false" ht="32.8" hidden="false" customHeight="false" outlineLevel="0" collapsed="false">
      <c r="A13" s="34" t="n">
        <v>9</v>
      </c>
      <c r="B13" s="3" t="s">
        <v>1115</v>
      </c>
      <c r="C13" s="3" t="s">
        <v>1116</v>
      </c>
      <c r="D13" s="34" t="n">
        <f aca="false">SUMPRODUCT(--ISNUMBER(SEARCH(", P"&amp;A13&amp;",",", "&amp;'Détail (filtrable)'!$F$2:$F$2770&amp;",")))</f>
        <v>40</v>
      </c>
      <c r="E13" s="3"/>
    </row>
    <row r="14" customFormat="false" ht="32.8" hidden="false" customHeight="false" outlineLevel="0" collapsed="false">
      <c r="A14" s="34" t="n">
        <v>10</v>
      </c>
      <c r="B14" s="3" t="s">
        <v>1117</v>
      </c>
      <c r="C14" s="3" t="s">
        <v>1118</v>
      </c>
      <c r="D14" s="34" t="n">
        <f aca="false">SUMPRODUCT(--ISNUMBER(SEARCH(", P"&amp;A14&amp;",",", "&amp;'Détail (filtrable)'!$F$2:$F$2770&amp;",")))</f>
        <v>81</v>
      </c>
      <c r="E14" s="3"/>
    </row>
    <row r="15" customFormat="false" ht="32.8" hidden="false" customHeight="false" outlineLevel="0" collapsed="false">
      <c r="A15" s="34" t="n">
        <v>11</v>
      </c>
      <c r="B15" s="3" t="s">
        <v>1119</v>
      </c>
      <c r="C15" s="3" t="s">
        <v>1120</v>
      </c>
      <c r="D15" s="34" t="n">
        <f aca="false">SUMPRODUCT(--ISNUMBER(SEARCH(", P"&amp;A15&amp;",",", "&amp;'Détail (filtrable)'!$F$2:$F$2770&amp;",")))</f>
        <v>38</v>
      </c>
      <c r="E15" s="3"/>
    </row>
    <row r="16" customFormat="false" ht="22.35" hidden="false" customHeight="false" outlineLevel="0" collapsed="false">
      <c r="A16" s="34" t="n">
        <v>12</v>
      </c>
      <c r="B16" s="3" t="s">
        <v>1121</v>
      </c>
      <c r="C16" s="3" t="s">
        <v>1122</v>
      </c>
      <c r="D16" s="34" t="n">
        <f aca="false">SUMPRODUCT(--ISNUMBER(SEARCH(", P"&amp;A16&amp;",",", "&amp;'Détail (filtrable)'!$F$2:$F$2770&amp;",")))</f>
        <v>0</v>
      </c>
      <c r="E16" s="3" t="s">
        <v>1123</v>
      </c>
    </row>
    <row r="17" customFormat="false" ht="32.8" hidden="false" customHeight="false" outlineLevel="0" collapsed="false">
      <c r="A17" s="34" t="n">
        <v>13</v>
      </c>
      <c r="B17" s="3" t="s">
        <v>1124</v>
      </c>
      <c r="C17" s="3" t="s">
        <v>1125</v>
      </c>
      <c r="D17" s="34" t="n">
        <f aca="false">SUMPRODUCT(--ISNUMBER(SEARCH(", P"&amp;A17&amp;",",", "&amp;'Détail (filtrable)'!$F$2:$F$2770&amp;",")))</f>
        <v>37</v>
      </c>
      <c r="E17" s="3"/>
    </row>
    <row r="18" customFormat="false" ht="22.35" hidden="false" customHeight="false" outlineLevel="0" collapsed="false">
      <c r="A18" s="34" t="n">
        <v>14</v>
      </c>
      <c r="B18" s="3" t="s">
        <v>1126</v>
      </c>
      <c r="C18" s="3" t="s">
        <v>1127</v>
      </c>
      <c r="D18" s="34" t="n">
        <f aca="false">SUMPRODUCT(--ISNUMBER(SEARCH(", P"&amp;A18&amp;",",", "&amp;'Détail (filtrable)'!$F$2:$F$2770&amp;",")))</f>
        <v>26</v>
      </c>
      <c r="E18" s="3"/>
    </row>
    <row r="19" customFormat="false" ht="32.8" hidden="false" customHeight="false" outlineLevel="0" collapsed="false">
      <c r="A19" s="34" t="n">
        <v>15</v>
      </c>
      <c r="B19" s="3" t="s">
        <v>1128</v>
      </c>
      <c r="C19" s="3" t="s">
        <v>1129</v>
      </c>
      <c r="D19" s="34" t="n">
        <f aca="false">SUMPRODUCT(--ISNUMBER(SEARCH(", P"&amp;A19&amp;",",", "&amp;'Détail (filtrable)'!$F$2:$F$2770&amp;",")))</f>
        <v>213</v>
      </c>
      <c r="E19" s="3"/>
    </row>
    <row r="20" customFormat="false" ht="32.8" hidden="false" customHeight="false" outlineLevel="0" collapsed="false">
      <c r="A20" s="34" t="n">
        <v>16</v>
      </c>
      <c r="B20" s="3" t="s">
        <v>1130</v>
      </c>
      <c r="C20" s="3" t="s">
        <v>1131</v>
      </c>
      <c r="D20" s="34" t="n">
        <f aca="false">SUMPRODUCT(--ISNUMBER(SEARCH(", P"&amp;A20&amp;",",", "&amp;'Détail (filtrable)'!$F$2:$F$2770&amp;",")))</f>
        <v>0</v>
      </c>
      <c r="E20" s="3" t="s">
        <v>1132</v>
      </c>
    </row>
    <row r="21" customFormat="false" ht="22.35" hidden="false" customHeight="false" outlineLevel="0" collapsed="false">
      <c r="A21" s="34" t="n">
        <v>17</v>
      </c>
      <c r="B21" s="3" t="s">
        <v>1133</v>
      </c>
      <c r="C21" s="3" t="s">
        <v>1134</v>
      </c>
      <c r="D21" s="34" t="n">
        <f aca="false">SUMPRODUCT(--ISNUMBER(SEARCH(", P"&amp;A21&amp;",",", "&amp;'Détail (filtrable)'!$F$2:$F$2770&amp;",")))</f>
        <v>0</v>
      </c>
      <c r="E21" s="3" t="s">
        <v>1135</v>
      </c>
    </row>
    <row r="22" customFormat="false" ht="32.8" hidden="false" customHeight="false" outlineLevel="0" collapsed="false">
      <c r="A22" s="34" t="n">
        <v>18</v>
      </c>
      <c r="B22" s="3" t="s">
        <v>1136</v>
      </c>
      <c r="C22" s="3" t="s">
        <v>1137</v>
      </c>
      <c r="D22" s="34" t="n">
        <f aca="false">SUMPRODUCT(--ISNUMBER(SEARCH(", P"&amp;A22&amp;",",", "&amp;'Détail (filtrable)'!$F$2:$F$2770&amp;",")))</f>
        <v>24</v>
      </c>
      <c r="E22" s="3"/>
    </row>
    <row r="23" customFormat="false" ht="32.8" hidden="false" customHeight="false" outlineLevel="0" collapsed="false">
      <c r="A23" s="34" t="n">
        <v>19</v>
      </c>
      <c r="B23" s="3" t="s">
        <v>1138</v>
      </c>
      <c r="C23" s="3" t="s">
        <v>1139</v>
      </c>
      <c r="D23" s="34" t="n">
        <f aca="false">SUMPRODUCT(--ISNUMBER(SEARCH(", P"&amp;A23&amp;",",", "&amp;'Détail (filtrable)'!$F$2:$F$2770&amp;",")))</f>
        <v>389</v>
      </c>
      <c r="E23" s="3"/>
    </row>
    <row r="24" customFormat="false" ht="32.8" hidden="false" customHeight="false" outlineLevel="0" collapsed="false">
      <c r="A24" s="34" t="n">
        <v>20</v>
      </c>
      <c r="B24" s="3" t="s">
        <v>1140</v>
      </c>
      <c r="C24" s="3" t="s">
        <v>1141</v>
      </c>
      <c r="D24" s="34" t="n">
        <f aca="false">SUMPRODUCT(--ISNUMBER(SEARCH(", P"&amp;A24&amp;",",", "&amp;'Détail (filtrable)'!$F$2:$F$2770&amp;",")))</f>
        <v>634</v>
      </c>
      <c r="E24" s="3"/>
    </row>
    <row r="25" customFormat="false" ht="43.25" hidden="false" customHeight="false" outlineLevel="0" collapsed="false">
      <c r="A25" s="34" t="n">
        <v>21</v>
      </c>
      <c r="B25" s="3" t="s">
        <v>1142</v>
      </c>
      <c r="C25" s="3" t="s">
        <v>1143</v>
      </c>
      <c r="D25" s="34" t="n">
        <f aca="false">SUMPRODUCT(--ISNUMBER(SEARCH(", P"&amp;A25&amp;",",", "&amp;'Détail (filtrable)'!$F$2:$F$2770&amp;",")))</f>
        <v>99</v>
      </c>
      <c r="E25" s="3"/>
    </row>
    <row r="26" customFormat="false" ht="43.25" hidden="false" customHeight="false" outlineLevel="0" collapsed="false">
      <c r="A26" s="34" t="n">
        <v>22</v>
      </c>
      <c r="B26" s="3" t="s">
        <v>1144</v>
      </c>
      <c r="C26" s="3" t="s">
        <v>1145</v>
      </c>
      <c r="D26" s="34" t="n">
        <f aca="false">SUMPRODUCT(--ISNUMBER(SEARCH(", P"&amp;A26&amp;",",", "&amp;'Détail (filtrable)'!$F$2:$F$2770&amp;",")))</f>
        <v>851</v>
      </c>
      <c r="E26" s="3"/>
    </row>
    <row r="27" customFormat="false" ht="32.8" hidden="false" customHeight="false" outlineLevel="0" collapsed="false">
      <c r="A27" s="34" t="n">
        <v>23</v>
      </c>
      <c r="B27" s="3" t="s">
        <v>1146</v>
      </c>
      <c r="C27" s="3" t="s">
        <v>1147</v>
      </c>
      <c r="D27" s="34" t="n">
        <f aca="false">SUMPRODUCT(--ISNUMBER(SEARCH(", P"&amp;A27&amp;",",", "&amp;'Détail (filtrable)'!$F$2:$F$2770&amp;",")))</f>
        <v>287</v>
      </c>
      <c r="E27" s="3"/>
    </row>
    <row r="28" customFormat="false" ht="43.25" hidden="false" customHeight="false" outlineLevel="0" collapsed="false">
      <c r="A28" s="34" t="n">
        <v>24</v>
      </c>
      <c r="B28" s="3" t="s">
        <v>1148</v>
      </c>
      <c r="C28" s="3" t="s">
        <v>1149</v>
      </c>
      <c r="D28" s="34" t="n">
        <f aca="false">SUMPRODUCT(--ISNUMBER(SEARCH(", P"&amp;A28&amp;",",", "&amp;'Détail (filtrable)'!$F$2:$F$2770&amp;",")))</f>
        <v>81</v>
      </c>
      <c r="E28" s="3"/>
    </row>
    <row r="29" customFormat="false" ht="43.25" hidden="false" customHeight="false" outlineLevel="0" collapsed="false">
      <c r="A29" s="34" t="n">
        <v>25</v>
      </c>
      <c r="B29" s="3" t="s">
        <v>1150</v>
      </c>
      <c r="C29" s="3" t="s">
        <v>1151</v>
      </c>
      <c r="D29" s="34" t="n">
        <f aca="false">SUMPRODUCT(--ISNUMBER(SEARCH(", P"&amp;A29&amp;",",", "&amp;'Détail (filtrable)'!$F$2:$F$2770&amp;",")))</f>
        <v>31</v>
      </c>
      <c r="E29" s="3"/>
    </row>
    <row r="30" customFormat="false" ht="32.8" hidden="false" customHeight="false" outlineLevel="0" collapsed="false">
      <c r="A30" s="34" t="n">
        <v>26</v>
      </c>
      <c r="B30" s="3" t="s">
        <v>1152</v>
      </c>
      <c r="C30" s="3" t="s">
        <v>1153</v>
      </c>
      <c r="D30" s="34" t="n">
        <f aca="false">SUMPRODUCT(--ISNUMBER(SEARCH(", P"&amp;A30&amp;",",", "&amp;'Détail (filtrable)'!$F$2:$F$2770&amp;",")))</f>
        <v>4</v>
      </c>
      <c r="E30" s="3"/>
    </row>
    <row r="31" customFormat="false" ht="43.25" hidden="false" customHeight="false" outlineLevel="0" collapsed="false">
      <c r="A31" s="34" t="n">
        <v>27</v>
      </c>
      <c r="B31" s="3" t="s">
        <v>1154</v>
      </c>
      <c r="C31" s="3" t="s">
        <v>1155</v>
      </c>
      <c r="D31" s="34" t="n">
        <f aca="false">SUMPRODUCT(--ISNUMBER(SEARCH(", P"&amp;A31&amp;",",", "&amp;'Détail (filtrable)'!$F$2:$F$2770&amp;",")))</f>
        <v>329</v>
      </c>
      <c r="E31" s="3"/>
    </row>
    <row r="32" customFormat="false" ht="32.8" hidden="false" customHeight="false" outlineLevel="0" collapsed="false">
      <c r="A32" s="34" t="n">
        <v>28</v>
      </c>
      <c r="B32" s="3" t="s">
        <v>1156</v>
      </c>
      <c r="C32" s="3" t="s">
        <v>1157</v>
      </c>
      <c r="D32" s="34" t="n">
        <f aca="false">SUMPRODUCT(--ISNUMBER(SEARCH(", P"&amp;A32&amp;",",", "&amp;'Détail (filtrable)'!$F$2:$F$2770&amp;",")))</f>
        <v>21</v>
      </c>
      <c r="E32" s="3"/>
    </row>
    <row r="33" customFormat="false" ht="43.25" hidden="false" customHeight="false" outlineLevel="0" collapsed="false">
      <c r="A33" s="34" t="n">
        <v>29</v>
      </c>
      <c r="B33" s="3" t="s">
        <v>1158</v>
      </c>
      <c r="C33" s="3" t="s">
        <v>1159</v>
      </c>
      <c r="D33" s="34" t="n">
        <f aca="false">SUMPRODUCT(--ISNUMBER(SEARCH(", P"&amp;A33&amp;",",", "&amp;'Détail (filtrable)'!$F$2:$F$2770&amp;",")))</f>
        <v>235</v>
      </c>
      <c r="E33" s="3"/>
    </row>
    <row r="34" customFormat="false" ht="43.25" hidden="false" customHeight="false" outlineLevel="0" collapsed="false">
      <c r="A34" s="34" t="n">
        <v>30</v>
      </c>
      <c r="B34" s="3" t="s">
        <v>1160</v>
      </c>
      <c r="C34" s="3" t="s">
        <v>1161</v>
      </c>
      <c r="D34" s="34" t="n">
        <f aca="false">SUMPRODUCT(--ISNUMBER(SEARCH(", P"&amp;A34&amp;",",", "&amp;'Détail (filtrable)'!$F$2:$F$2770&amp;",")))</f>
        <v>87</v>
      </c>
      <c r="E34" s="3"/>
    </row>
    <row r="35" customFormat="false" ht="32.8" hidden="false" customHeight="false" outlineLevel="0" collapsed="false">
      <c r="A35" s="34" t="n">
        <v>31</v>
      </c>
      <c r="B35" s="3" t="s">
        <v>1162</v>
      </c>
      <c r="C35" s="3" t="s">
        <v>1163</v>
      </c>
      <c r="D35" s="34" t="n">
        <f aca="false">SUMPRODUCT(--ISNUMBER(SEARCH(", P"&amp;A35&amp;",",", "&amp;'Détail (filtrable)'!$F$2:$F$2770&amp;",")))</f>
        <v>4</v>
      </c>
      <c r="E35" s="3"/>
    </row>
    <row r="36" customFormat="false" ht="32.8" hidden="false" customHeight="false" outlineLevel="0" collapsed="false">
      <c r="A36" s="34" t="n">
        <v>32</v>
      </c>
      <c r="B36" s="3" t="s">
        <v>1164</v>
      </c>
      <c r="C36" s="3" t="s">
        <v>1165</v>
      </c>
      <c r="D36" s="34" t="n">
        <f aca="false">SUMPRODUCT(--ISNUMBER(SEARCH(", P"&amp;A36&amp;",",", "&amp;'Détail (filtrable)'!$F$2:$F$2770&amp;",")))</f>
        <v>0</v>
      </c>
      <c r="E36" s="3" t="s">
        <v>1166</v>
      </c>
    </row>
    <row r="37" customFormat="false" ht="32.8" hidden="false" customHeight="false" outlineLevel="0" collapsed="false">
      <c r="A37" s="34" t="n">
        <v>33</v>
      </c>
      <c r="B37" s="3" t="s">
        <v>1167</v>
      </c>
      <c r="C37" s="3" t="s">
        <v>1168</v>
      </c>
      <c r="D37" s="34" t="n">
        <f aca="false">SUMPRODUCT(--ISNUMBER(SEARCH(", P"&amp;A37&amp;",",", "&amp;'Détail (filtrable)'!$F$2:$F$2770&amp;",")))</f>
        <v>0</v>
      </c>
      <c r="E37" s="3" t="s">
        <v>1169</v>
      </c>
    </row>
    <row r="38" customFormat="false" ht="43.25" hidden="false" customHeight="false" outlineLevel="0" collapsed="false">
      <c r="A38" s="34" t="n">
        <v>34</v>
      </c>
      <c r="B38" s="3" t="s">
        <v>1170</v>
      </c>
      <c r="C38" s="3" t="s">
        <v>1171</v>
      </c>
      <c r="D38" s="34" t="n">
        <f aca="false">SUMPRODUCT(--ISNUMBER(SEARCH(", P"&amp;A38&amp;",",", "&amp;'Détail (filtrable)'!$F$2:$F$2770&amp;",")))</f>
        <v>167</v>
      </c>
      <c r="E38" s="3"/>
    </row>
    <row r="39" customFormat="false" ht="43.25" hidden="false" customHeight="false" outlineLevel="0" collapsed="false">
      <c r="A39" s="34" t="n">
        <v>35</v>
      </c>
      <c r="B39" s="3" t="s">
        <v>1172</v>
      </c>
      <c r="C39" s="3" t="s">
        <v>1173</v>
      </c>
      <c r="D39" s="34" t="n">
        <f aca="false">SUMPRODUCT(--ISNUMBER(SEARCH(", P"&amp;A39&amp;",",", "&amp;'Détail (filtrable)'!$F$2:$F$2770&amp;",")))</f>
        <v>172</v>
      </c>
      <c r="E39" s="3"/>
    </row>
    <row r="40" customFormat="false" ht="32.8" hidden="false" customHeight="false" outlineLevel="0" collapsed="false">
      <c r="A40" s="34" t="n">
        <v>36</v>
      </c>
      <c r="B40" s="3" t="s">
        <v>1174</v>
      </c>
      <c r="C40" s="3" t="s">
        <v>1175</v>
      </c>
      <c r="D40" s="34" t="n">
        <f aca="false">SUMPRODUCT(--ISNUMBER(SEARCH(", P"&amp;A40&amp;",",", "&amp;'Détail (filtrable)'!$F$2:$F$2770&amp;",")))</f>
        <v>0</v>
      </c>
      <c r="E40" s="3" t="s">
        <v>1176</v>
      </c>
    </row>
    <row r="41" customFormat="false" ht="53.7" hidden="false" customHeight="false" outlineLevel="0" collapsed="false">
      <c r="A41" s="34" t="n">
        <v>37</v>
      </c>
      <c r="B41" s="3" t="s">
        <v>1177</v>
      </c>
      <c r="C41" s="3" t="s">
        <v>1178</v>
      </c>
      <c r="D41" s="34" t="n">
        <f aca="false">SUMPRODUCT(--ISNUMBER(SEARCH(", P"&amp;A41&amp;",",", "&amp;'Détail (filtrable)'!$F$2:$F$2770&amp;",")))</f>
        <v>6</v>
      </c>
      <c r="E41" s="3"/>
    </row>
    <row r="42" customFormat="false" ht="43.25" hidden="false" customHeight="false" outlineLevel="0" collapsed="false">
      <c r="A42" s="34" t="n">
        <v>38</v>
      </c>
      <c r="B42" s="3" t="s">
        <v>1179</v>
      </c>
      <c r="C42" s="3" t="s">
        <v>1180</v>
      </c>
      <c r="D42" s="34" t="n">
        <f aca="false">SUMPRODUCT(--ISNUMBER(SEARCH(", P"&amp;A42&amp;",",", "&amp;'Détail (filtrable)'!$F$2:$F$2770&amp;",")))</f>
        <v>0</v>
      </c>
      <c r="E42" s="3" t="s">
        <v>1181</v>
      </c>
    </row>
    <row r="43" customFormat="false" ht="43.25" hidden="false" customHeight="false" outlineLevel="0" collapsed="false">
      <c r="A43" s="34" t="n">
        <v>39</v>
      </c>
      <c r="B43" s="3" t="s">
        <v>1182</v>
      </c>
      <c r="C43" s="3" t="s">
        <v>1183</v>
      </c>
      <c r="D43" s="34" t="n">
        <f aca="false">SUMPRODUCT(--ISNUMBER(SEARCH(", P"&amp;A43&amp;",",", "&amp;'Détail (filtrable)'!$F$2:$F$2770&amp;",")))</f>
        <v>8</v>
      </c>
      <c r="E43" s="3"/>
    </row>
    <row r="44" customFormat="false" ht="53.7" hidden="false" customHeight="false" outlineLevel="0" collapsed="false">
      <c r="A44" s="34" t="n">
        <v>40</v>
      </c>
      <c r="B44" s="3" t="s">
        <v>1184</v>
      </c>
      <c r="C44" s="3" t="s">
        <v>1185</v>
      </c>
      <c r="D44" s="34" t="n">
        <f aca="false">SUMPRODUCT(--ISNUMBER(SEARCH(", P"&amp;A44&amp;",",", "&amp;'Détail (filtrable)'!$F$2:$F$2770&amp;",")))</f>
        <v>42</v>
      </c>
      <c r="E44" s="3"/>
    </row>
    <row r="45" customFormat="false" ht="43.25" hidden="false" customHeight="false" outlineLevel="0" collapsed="false">
      <c r="A45" s="34" t="n">
        <v>41</v>
      </c>
      <c r="B45" s="3" t="s">
        <v>1186</v>
      </c>
      <c r="C45" s="3" t="s">
        <v>1187</v>
      </c>
      <c r="D45" s="34" t="n">
        <f aca="false">SUMPRODUCT(--ISNUMBER(SEARCH(", P"&amp;A45&amp;",",", "&amp;'Détail (filtrable)'!$F$2:$F$2770&amp;",")))</f>
        <v>46</v>
      </c>
      <c r="E45" s="3"/>
    </row>
    <row r="46" customFormat="false" ht="43.25" hidden="false" customHeight="false" outlineLevel="0" collapsed="false">
      <c r="A46" s="34" t="n">
        <v>42</v>
      </c>
      <c r="B46" s="3" t="s">
        <v>1188</v>
      </c>
      <c r="C46" s="3" t="s">
        <v>1189</v>
      </c>
      <c r="D46" s="34" t="n">
        <f aca="false">SUMPRODUCT(--ISNUMBER(SEARCH(", P"&amp;A46&amp;",",", "&amp;'Détail (filtrable)'!$F$2:$F$2770&amp;",")))</f>
        <v>15</v>
      </c>
      <c r="E46" s="3"/>
    </row>
    <row r="47" customFormat="false" ht="32.8" hidden="false" customHeight="false" outlineLevel="0" collapsed="false">
      <c r="A47" s="34" t="n">
        <v>43</v>
      </c>
      <c r="B47" s="3" t="s">
        <v>1190</v>
      </c>
      <c r="C47" s="3" t="s">
        <v>1191</v>
      </c>
      <c r="D47" s="34" t="n">
        <f aca="false">SUMPRODUCT(--ISNUMBER(SEARCH(", P"&amp;A47&amp;",",", "&amp;'Détail (filtrable)'!$F$2:$F$2770&amp;",")))</f>
        <v>32</v>
      </c>
      <c r="E4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7.35" hidden="false" customHeight="false" outlineLevel="0" collapsed="false">
      <c r="A1" s="6" t="s">
        <v>1192</v>
      </c>
    </row>
    <row r="2" customFormat="false" ht="15" hidden="false" customHeight="false" outlineLevel="0" collapsed="false">
      <c r="A2" s="7" t="s">
        <v>1193</v>
      </c>
    </row>
    <row r="4" customFormat="false" ht="15" hidden="false" customHeight="false" outlineLevel="0" collapsed="false">
      <c r="A4" s="1" t="s">
        <v>129</v>
      </c>
      <c r="B4" s="1" t="s">
        <v>130</v>
      </c>
    </row>
    <row r="5" customFormat="false" ht="35.05" hidden="false" customHeight="false" outlineLevel="0" collapsed="false">
      <c r="A5" s="8" t="s">
        <v>1194</v>
      </c>
      <c r="B5" s="2" t="s">
        <v>1195</v>
      </c>
    </row>
    <row r="6" customFormat="false" ht="79.85" hidden="false" customHeight="false" outlineLevel="0" collapsed="false">
      <c r="A6" s="8" t="s">
        <v>141</v>
      </c>
      <c r="B6" s="2" t="s">
        <v>1196</v>
      </c>
    </row>
    <row r="7" customFormat="false" ht="23.85" hidden="false" customHeight="false" outlineLevel="0" collapsed="false">
      <c r="A7" s="8" t="s">
        <v>1197</v>
      </c>
      <c r="B7" s="2" t="s">
        <v>1198</v>
      </c>
    </row>
    <row r="8" customFormat="false" ht="23.85" hidden="false" customHeight="false" outlineLevel="0" collapsed="false">
      <c r="A8" s="8" t="s">
        <v>1199</v>
      </c>
      <c r="B8" s="2" t="s">
        <v>1200</v>
      </c>
    </row>
    <row r="9" customFormat="false" ht="135.8" hidden="false" customHeight="false" outlineLevel="0" collapsed="false">
      <c r="A9" s="8" t="s">
        <v>1201</v>
      </c>
      <c r="B9" s="2" t="s">
        <v>1202</v>
      </c>
    </row>
    <row r="10" customFormat="false" ht="23.85" hidden="false" customHeight="false" outlineLevel="0" collapsed="false">
      <c r="A10" s="8" t="s">
        <v>1203</v>
      </c>
      <c r="B10" s="2" t="s">
        <v>1204</v>
      </c>
    </row>
    <row r="11" customFormat="false" ht="15" hidden="false" customHeight="false" outlineLevel="0" collapsed="false">
      <c r="A11" s="8" t="s">
        <v>1205</v>
      </c>
      <c r="B11" s="2" t="s">
        <v>1206</v>
      </c>
    </row>
    <row r="12" customFormat="false" ht="23.85" hidden="false" customHeight="false" outlineLevel="0" collapsed="false">
      <c r="A12" s="8" t="s">
        <v>1207</v>
      </c>
      <c r="B12" s="2" t="s">
        <v>1208</v>
      </c>
    </row>
    <row r="13" customFormat="false" ht="23.85" hidden="false" customHeight="false" outlineLevel="0" collapsed="false">
      <c r="A13" s="8" t="s">
        <v>1209</v>
      </c>
      <c r="B13" s="2" t="s">
        <v>1210</v>
      </c>
    </row>
    <row r="14" customFormat="false" ht="23.85" hidden="false" customHeight="false" outlineLevel="0" collapsed="false">
      <c r="A14" s="8" t="s">
        <v>1211</v>
      </c>
      <c r="B14" s="2" t="s">
        <v>1212</v>
      </c>
    </row>
    <row r="15" customFormat="false" ht="15" hidden="false" customHeight="false" outlineLevel="0" collapsed="false">
      <c r="A15" s="8" t="s">
        <v>1213</v>
      </c>
      <c r="B15" s="2" t="s">
        <v>1214</v>
      </c>
    </row>
    <row r="16" customFormat="false" ht="46.25" hidden="false" customHeight="false" outlineLevel="0" collapsed="false">
      <c r="A16" s="8" t="s">
        <v>1215</v>
      </c>
      <c r="B16" s="2" t="s">
        <v>1216</v>
      </c>
    </row>
    <row r="17" customFormat="false" ht="23.85" hidden="false" customHeight="false" outlineLevel="0" collapsed="false">
      <c r="A17" s="8" t="s">
        <v>1217</v>
      </c>
      <c r="B17" s="2" t="s">
        <v>1218</v>
      </c>
    </row>
    <row r="18" customFormat="false" ht="46.25" hidden="false" customHeight="false" outlineLevel="0" collapsed="false">
      <c r="A18" s="8" t="s">
        <v>1219</v>
      </c>
      <c r="B18" s="2" t="s">
        <v>1220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2026-09-29T12:41:54Z</dcterms:created>
  <dc:creator>openpyxl</dc:creator>
  <dc:description/>
  <dc:language>en-US</dc:language>
  <cp:lastModifiedBy/>
  <dcterms:modified xsi:type="dcterms:W3CDTF">2026-09-29T12:41:55Z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